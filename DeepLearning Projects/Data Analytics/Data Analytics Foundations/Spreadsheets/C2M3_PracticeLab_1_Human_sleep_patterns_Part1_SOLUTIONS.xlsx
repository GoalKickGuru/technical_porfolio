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olutions – REM Sleep CI" sheetId="3" state="visible" r:id="rId5"/>
    <sheet name="Code Examples (Python &amp; R)" sheetId="4" state="visible" r:id="rId6"/>
    <sheet name="Theory Quick Reference" sheetId="5" state="visible" r:id="rId7"/>
  </sheets>
  <definedNames>
    <definedName function="false" hidden="true" localSheetId="1" name="_xlnm._FilterDatabase" vbProcedure="false">Data!$A$1:$G$180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<sst xmlns="http://schemas.openxmlformats.org/spreadsheetml/2006/main" count="317" uniqueCount="316">
  <si>
    <t xml:space="preserve">Assignment: Human sleep patterns and stress – Part 1  |  COMPLETE SOLUTIONS</t>
  </si>
  <si>
    <t xml:space="preserve">Background</t>
  </si>
  <si>
    <t xml:space="preserve">In order to monitor whether they experience stress during sleep, your friend has been recording some sleep variables using a wearable fitness and health tracker for the past 6 months. However, they have no idea how to interpret the data. That's why they've asked you, their data analyst friend, to help them out. They gave you access to their daily measurements. Your goal is to study the different features and help your friend understand if they are suffering from stress during sleep or not.</t>
  </si>
  <si>
    <t xml:space="preserve">Features (every row = one night)</t>
  </si>
  <si>
    <t xml:space="preserve">• DATE – Date of the evening (Excel serial / datetime)</t>
  </si>
  <si>
    <t xml:space="preserve">• SLEEP SCORE – based on FitBit app</t>
  </si>
  <si>
    <t xml:space="preserve">• HOURS OF SLEEP – how many hours spent asleep</t>
  </si>
  <si>
    <t xml:space="preserve">• REM SLEEP – % of sleep spent in REM  ← focus of this lab</t>
  </si>
  <si>
    <t xml:space="preserve">• DEEP SLEEP – % of sleep spent in Deep</t>
  </si>
  <si>
    <t xml:space="preserve">• HEART RATE BELOW RESTING – % of heart rate below resting</t>
  </si>
  <si>
    <t xml:space="preserve">• SLEEP TIME – Sleep and wake time window</t>
  </si>
  <si>
    <t xml:space="preserve">Learning Objectives (Part 1 – Confidence Intervals for a Mean)</t>
  </si>
  <si>
    <t xml:space="preserve">1. Compute sample mean (x̄), sample standard deviation (s) and sample size (n) for the REM SLEEP variable.</t>
  </si>
  <si>
    <t xml:space="preserve">2. Construct a 95 % confidence interval for the true mean REM sleep percentage using the large-sample z-procedure.</t>
  </si>
  <si>
    <t xml:space="preserve">3. Construct a 90 % confidence interval and compare widths.</t>
  </si>
  <si>
    <t xml:space="preserve">4. Interpret the intervals in the context of normal REM sleep (20–25 %) vs possible stress-related reduction (15–20 %).</t>
  </si>
  <si>
    <t xml:space="preserve">5. Understand the trade-off between confidence level and interval width.</t>
  </si>
  <si>
    <t xml:space="preserve">How to use this Solutions workbook</t>
  </si>
  <si>
    <t xml:space="preserve">• Sheet "Data" contains the full 179-day dataset (identical to the practice lab).</t>
  </si>
  <si>
    <t xml:space="preserve">• Sheet "Solutions – REM Sleep CI" contains the completed calculations with LIVE Excel / Google Sheets formulas.</t>
  </si>
  <si>
    <t xml:space="preserve">  All sample statistics and confidence-interval bounds update automatically if you change the data.</t>
  </si>
  <si>
    <t xml:space="preserve">• Sheet "Code Examples (Python &amp; R)" shows how to reproduce every calculation programmatically.</t>
  </si>
  <si>
    <t xml:space="preserve">• Sheet "Theory Quick Reference" summarises the statistical concepts (sampling distribution, SE, z-critical values, CI interpretation).</t>
  </si>
  <si>
    <t xml:space="preserve">• Google Sheets compatible: all formulas use AVERAGE, STDEV, COUNT, SQRT – fully portable.</t>
  </si>
  <si>
    <t xml:space="preserve">• Reflection answers are included so you can check your understanding of interval width and centre.</t>
  </si>
  <si>
    <t xml:space="preserve">Important note on the z-procedure</t>
  </si>
  <si>
    <t xml:space="preserve">Because the sample size is large (n = 179 ≫ 30) the Central Limit Theorem guarantees that the sampling distribution of the sample mean is approximately normal. Therefore we may safely use the standard normal (z) critical values instead of the t-distribution. (The difference between z* = 1.96 and the corresponding t* with 178 df is negligible.)</t>
  </si>
  <si>
    <t xml:space="preserve">Practical everyday takeaway</t>
  </si>
  <si>
    <t xml:space="preserve">Whenever you collect a moderately large sample of continuous measurements (sleep %, blood pressure, delivery times, etc.) you can form a confidence interval around the sample mean to quantify the uncertainty in your estimate of the population average. A narrower interval (higher n or lower confidence level) gives more precise statements; a wider interval gives higher certainty that the true mean is captured.</t>
  </si>
  <si>
    <t xml:space="preserve">DATE</t>
  </si>
  <si>
    <t xml:space="preserve">SLEEP SCORE</t>
  </si>
  <si>
    <t xml:space="preserve">HOURS OF SLEEP</t>
  </si>
  <si>
    <t xml:space="preserve">REM SLEEP</t>
  </si>
  <si>
    <t xml:space="preserve">DEEP SLEEP</t>
  </si>
  <si>
    <t xml:space="preserve">HEART RATE BELOW RESTING</t>
  </si>
  <si>
    <t xml:space="preserve">SLEEP TIME</t>
  </si>
  <si>
    <t xml:space="preserve">9:49pm - 6:01am</t>
  </si>
  <si>
    <t xml:space="preserve">9:50pm - 7:26am</t>
  </si>
  <si>
    <t xml:space="preserve">11:29pm - 9:54am</t>
  </si>
  <si>
    <t xml:space="preserve">10:12pm - 5:49am</t>
  </si>
  <si>
    <t xml:space="preserve">9:45pm - 5:43am</t>
  </si>
  <si>
    <t xml:space="preserve">9:22pm - 6:14am</t>
  </si>
  <si>
    <t xml:space="preserve">10:05pm - 6:55am</t>
  </si>
  <si>
    <t xml:space="preserve">9:42pm - 6:36am</t>
  </si>
  <si>
    <t xml:space="preserve">11:27pm - 8:36am</t>
  </si>
  <si>
    <t xml:space="preserve">12:53am - 8:39am</t>
  </si>
  <si>
    <t xml:space="preserve">9:35pm - 6:02am</t>
  </si>
  <si>
    <t xml:space="preserve">9:52pm - 7:10am</t>
  </si>
  <si>
    <t xml:space="preserve">10:51pm - 8:02am</t>
  </si>
  <si>
    <t xml:space="preserve">9:35pm - 5:58am</t>
  </si>
  <si>
    <t xml:space="preserve">11:37pm - 8:52am</t>
  </si>
  <si>
    <t xml:space="preserve">9:43pm - 8:35am</t>
  </si>
  <si>
    <t xml:space="preserve">10:50pm - 7:21am</t>
  </si>
  <si>
    <t xml:space="preserve">10:14pm - 7:04am</t>
  </si>
  <si>
    <t xml:space="preserve">10:04pm - 7:08am</t>
  </si>
  <si>
    <t xml:space="preserve">12:37am - 8:42am</t>
  </si>
  <si>
    <t xml:space="preserve">10:36pm - 7:37am</t>
  </si>
  <si>
    <t xml:space="preserve">9:00pm - 5:54am</t>
  </si>
  <si>
    <t xml:space="preserve">10:10pm - 7:22am</t>
  </si>
  <si>
    <t xml:space="preserve">12:10am - 9:46am</t>
  </si>
  <si>
    <t xml:space="preserve">9:52pm - 6:55am</t>
  </si>
  <si>
    <t xml:space="preserve">9:32pm - 6:00am</t>
  </si>
  <si>
    <t xml:space="preserve">9:19pm - 5:49am</t>
  </si>
  <si>
    <t xml:space="preserve">10:02pm - 5:46am</t>
  </si>
  <si>
    <t xml:space="preserve">10:15pm - 7:24am</t>
  </si>
  <si>
    <t xml:space="preserve">11:08pm - 7:04am</t>
  </si>
  <si>
    <t xml:space="preserve">10:56pm - 7:20am</t>
  </si>
  <si>
    <t xml:space="preserve">10:45pm - 6:58am</t>
  </si>
  <si>
    <t xml:space="preserve">10:51pm - 7:02am</t>
  </si>
  <si>
    <t xml:space="preserve">9:53pm - 7:17am</t>
  </si>
  <si>
    <t xml:space="preserve">11:54pm - 8:16am</t>
  </si>
  <si>
    <t xml:space="preserve">11:28pm - 7:47am</t>
  </si>
  <si>
    <t xml:space="preserve">10:09pm - 7:18am</t>
  </si>
  <si>
    <t xml:space="preserve">11:40pm - 7:33</t>
  </si>
  <si>
    <t xml:space="preserve">10:47pm - 7:27am</t>
  </si>
  <si>
    <t xml:space="preserve">10:27pm - 7:07am</t>
  </si>
  <si>
    <t xml:space="preserve">11:44pm - 9:05am</t>
  </si>
  <si>
    <t xml:space="preserve">12:21am - 8:18am</t>
  </si>
  <si>
    <t xml:space="preserve">10:13pm - 7:47am</t>
  </si>
  <si>
    <t xml:space="preserve">11:19pm - 7:54am</t>
  </si>
  <si>
    <t xml:space="preserve">11:00pm - 6:58am</t>
  </si>
  <si>
    <t xml:space="preserve">12:38am - 8:18am</t>
  </si>
  <si>
    <t xml:space="preserve">11:54pm - 8:10am</t>
  </si>
  <si>
    <t xml:space="preserve">10:44pm - 8:16am</t>
  </si>
  <si>
    <t xml:space="preserve">11:57pm - 7:57am</t>
  </si>
  <si>
    <t xml:space="preserve">12:42am - 8:51am</t>
  </si>
  <si>
    <t xml:space="preserve">10:25pm - 8:01am</t>
  </si>
  <si>
    <t xml:space="preserve">11:01pm - 7:42am</t>
  </si>
  <si>
    <t xml:space="preserve">11:24pm - 9:18am</t>
  </si>
  <si>
    <t xml:space="preserve">11:20pm - 9:56am</t>
  </si>
  <si>
    <t xml:space="preserve">01:19am - 9:06am</t>
  </si>
  <si>
    <t xml:space="preserve">12:14am - 9:08am</t>
  </si>
  <si>
    <t xml:space="preserve">12:00am - 8:09am</t>
  </si>
  <si>
    <t xml:space="preserve">11:16pm - 7:02</t>
  </si>
  <si>
    <t xml:space="preserve">10:51pm - 7:09am</t>
  </si>
  <si>
    <t xml:space="preserve">11:34pm - 8:18am</t>
  </si>
  <si>
    <t xml:space="preserve">10:28pm - 7:29am</t>
  </si>
  <si>
    <t xml:space="preserve">10:18pm - 7:11am</t>
  </si>
  <si>
    <t xml:space="preserve">10:21pm - 6:50am</t>
  </si>
  <si>
    <t xml:space="preserve">11:00pm - 5:29am</t>
  </si>
  <si>
    <t xml:space="preserve">11:09pm - 9:56am</t>
  </si>
  <si>
    <t xml:space="preserve">12:41am - 8:20am</t>
  </si>
  <si>
    <t xml:space="preserve">12:12am - 8:05am</t>
  </si>
  <si>
    <t xml:space="preserve">10:33pm - 7:47am</t>
  </si>
  <si>
    <t xml:space="preserve">12:12am - 7:52am</t>
  </si>
  <si>
    <t xml:space="preserve">11:13pm - 7:45am</t>
  </si>
  <si>
    <t xml:space="preserve">10:24pm - 5:58am</t>
  </si>
  <si>
    <t xml:space="preserve">9:49pm - 7:44am</t>
  </si>
  <si>
    <t xml:space="preserve">10:43pm - 8:53am</t>
  </si>
  <si>
    <t xml:space="preserve">10:47pm - 8:08am</t>
  </si>
  <si>
    <t xml:space="preserve">12:48am - 8:36am</t>
  </si>
  <si>
    <t xml:space="preserve">12:16am - 8:29am</t>
  </si>
  <si>
    <t xml:space="preserve">11:17pm - 7:10am</t>
  </si>
  <si>
    <t xml:space="preserve">10:23pm - 7:33am</t>
  </si>
  <si>
    <t xml:space="preserve">11:06pm - 7:02am</t>
  </si>
  <si>
    <t xml:space="preserve">10:20pm - 7:47am</t>
  </si>
  <si>
    <t xml:space="preserve">10:12pm - 7:33am</t>
  </si>
  <si>
    <t xml:space="preserve">11:40pm - 8:53am</t>
  </si>
  <si>
    <t xml:space="preserve">10:34pm - 7:23am</t>
  </si>
  <si>
    <t xml:space="preserve">10:55pm - 7:31am</t>
  </si>
  <si>
    <t xml:space="preserve">10:23pm - 6:43am</t>
  </si>
  <si>
    <t xml:space="preserve">10:28pm - 7:15am</t>
  </si>
  <si>
    <t xml:space="preserve">11:05pm - 8:10am</t>
  </si>
  <si>
    <t xml:space="preserve">9:59pm - 8:11am</t>
  </si>
  <si>
    <t xml:space="preserve">10:58pm - 8:11am</t>
  </si>
  <si>
    <t xml:space="preserve">06:10am - 10:52am</t>
  </si>
  <si>
    <t xml:space="preserve">02:51am - 11:59am</t>
  </si>
  <si>
    <t xml:space="preserve">11:27pm - 08:28am</t>
  </si>
  <si>
    <t xml:space="preserve">10:52pm - 07:19am</t>
  </si>
  <si>
    <t xml:space="preserve">10:42pm - 06:57am</t>
  </si>
  <si>
    <t xml:space="preserve">11:59pm - 07:53am</t>
  </si>
  <si>
    <t xml:space="preserve">10:10pm - 5:58am</t>
  </si>
  <si>
    <t xml:space="preserve">11:04pm - 8:05am</t>
  </si>
  <si>
    <t xml:space="preserve">11:13pm - 8:06am</t>
  </si>
  <si>
    <t xml:space="preserve">10:37pm - 7:09am</t>
  </si>
  <si>
    <t xml:space="preserve">11:29pm - 7:13am</t>
  </si>
  <si>
    <t xml:space="preserve">10:37pm - 7:26am</t>
  </si>
  <si>
    <t xml:space="preserve">11:16pm - 7:35am</t>
  </si>
  <si>
    <t xml:space="preserve">10:59pm - 7:02am</t>
  </si>
  <si>
    <t xml:space="preserve">11:47pm - 8:03am</t>
  </si>
  <si>
    <t xml:space="preserve">10:49pm - 7:40am</t>
  </si>
  <si>
    <t xml:space="preserve">11:22pm - 8:27am</t>
  </si>
  <si>
    <t xml:space="preserve">11:04pm - 7:35am</t>
  </si>
  <si>
    <t xml:space="preserve">10:13pm - 7:02am</t>
  </si>
  <si>
    <t xml:space="preserve">11:35pm - 9:04am</t>
  </si>
  <si>
    <t xml:space="preserve">11:54pm - 7:22am</t>
  </si>
  <si>
    <t xml:space="preserve">10:47pm - 8:01am</t>
  </si>
  <si>
    <t xml:space="preserve">11:50pm - 8:51am</t>
  </si>
  <si>
    <t xml:space="preserve">10:27pm - 7:32am</t>
  </si>
  <si>
    <t xml:space="preserve">10:08pm - 7:02am</t>
  </si>
  <si>
    <t xml:space="preserve">10:41pm - 6:35am</t>
  </si>
  <si>
    <t xml:space="preserve">10:25pm - 6:07am</t>
  </si>
  <si>
    <t xml:space="preserve">10:20pm - 7:05am</t>
  </si>
  <si>
    <t xml:space="preserve">11:49pm - 8:26am</t>
  </si>
  <si>
    <t xml:space="preserve">10:27pm - 8:26am</t>
  </si>
  <si>
    <t xml:space="preserve">11:28pm - 7:50am</t>
  </si>
  <si>
    <t xml:space="preserve">11:32pm - 7:42am</t>
  </si>
  <si>
    <t xml:space="preserve">11:02pm - 7:41am</t>
  </si>
  <si>
    <t xml:space="preserve">11:07pm - 8:01am</t>
  </si>
  <si>
    <t xml:space="preserve">10:42pm - 8:44am</t>
  </si>
  <si>
    <t xml:space="preserve">11:33pm - 9:10am</t>
  </si>
  <si>
    <t xml:space="preserve">11:45pm - 8:29am</t>
  </si>
  <si>
    <t xml:space="preserve">1:40am - 8:14am</t>
  </si>
  <si>
    <t xml:space="preserve">12:22am - 9:47am</t>
  </si>
  <si>
    <t xml:space="preserve">11:01pm - 7:59am</t>
  </si>
  <si>
    <t xml:space="preserve">10:50pm - 8:13am</t>
  </si>
  <si>
    <t xml:space="preserve">12:42am - 9:16am</t>
  </si>
  <si>
    <t xml:space="preserve">11:47pm - 9:11am</t>
  </si>
  <si>
    <t xml:space="preserve">10:47pm - 7:16am</t>
  </si>
  <si>
    <t xml:space="preserve">10:46pm - 7:22am</t>
  </si>
  <si>
    <t xml:space="preserve">10:26pm - 7:10am</t>
  </si>
  <si>
    <t xml:space="preserve">10:32pm - 8:13am</t>
  </si>
  <si>
    <t xml:space="preserve">10:47pm - 6:58am</t>
  </si>
  <si>
    <t xml:space="preserve">11:57pm - 9:14am</t>
  </si>
  <si>
    <t xml:space="preserve">10:36pm - 8:13am</t>
  </si>
  <si>
    <t xml:space="preserve">10:58pm - 7:00am</t>
  </si>
  <si>
    <t xml:space="preserve">10:27pm - 6:46am</t>
  </si>
  <si>
    <t xml:space="preserve">11:42pm - 8:32am</t>
  </si>
  <si>
    <t xml:space="preserve">11:25pm - 8:42am</t>
  </si>
  <si>
    <t xml:space="preserve">10:52pm - 9:12am</t>
  </si>
  <si>
    <t xml:space="preserve">12:04am - 8:02am</t>
  </si>
  <si>
    <t xml:space="preserve">10:12pm - 5:51am</t>
  </si>
  <si>
    <t xml:space="preserve">10:00pm - 5:51am</t>
  </si>
  <si>
    <t xml:space="preserve">10:08pm - 5:29am</t>
  </si>
  <si>
    <t xml:space="preserve">9:41pm - 5:56am</t>
  </si>
  <si>
    <t xml:space="preserve">10:41pm - 7:54am</t>
  </si>
  <si>
    <t xml:space="preserve">10:40pm - 7:55am</t>
  </si>
  <si>
    <t xml:space="preserve">11:03pm - 7:16am</t>
  </si>
  <si>
    <t xml:space="preserve">10:55pm - 6:56am</t>
  </si>
  <si>
    <t xml:space="preserve">10:14pm - 9:01am</t>
  </si>
  <si>
    <t xml:space="preserve">11:21 - 8:45am</t>
  </si>
  <si>
    <t xml:space="preserve">11:18pm - 6:57am</t>
  </si>
  <si>
    <t xml:space="preserve">11:50pm - 7:40am</t>
  </si>
  <si>
    <t xml:space="preserve">11:14pm - 7:16am</t>
  </si>
  <si>
    <t xml:space="preserve">11:16pm - 7:29am</t>
  </si>
  <si>
    <t xml:space="preserve">10:47pm - 6:32am</t>
  </si>
  <si>
    <t xml:space="preserve">10:21pm - 6:47am</t>
  </si>
  <si>
    <t xml:space="preserve">11:34pm - 6:51am</t>
  </si>
  <si>
    <t xml:space="preserve">10:54pm - 6:48am</t>
  </si>
  <si>
    <t xml:space="preserve">10:45pm - 6:57am</t>
  </si>
  <si>
    <t xml:space="preserve">11-38pm - 8:23am</t>
  </si>
  <si>
    <t xml:space="preserve">11:50pm - 7:50am</t>
  </si>
  <si>
    <t xml:space="preserve">10:42pm - 6:51am</t>
  </si>
  <si>
    <t xml:space="preserve">10:49pm - 6:37am</t>
  </si>
  <si>
    <t xml:space="preserve">10:53pm - 7:59am</t>
  </si>
  <si>
    <t xml:space="preserve">11:13pm - 8:07am</t>
  </si>
  <si>
    <t xml:space="preserve">10:12pm - 7:32am</t>
  </si>
  <si>
    <t xml:space="preserve">11:53pm - 9:15am</t>
  </si>
  <si>
    <t xml:space="preserve">11:36pm - 7:13am</t>
  </si>
  <si>
    <t xml:space="preserve">12:50am - 8:27am</t>
  </si>
  <si>
    <t xml:space="preserve">12:53am - 10:35am</t>
  </si>
  <si>
    <t xml:space="preserve">12:51am - 10:04am</t>
  </si>
  <si>
    <t xml:space="preserve">12:02am - 6:59am</t>
  </si>
  <si>
    <t xml:space="preserve">11:00pm - 7:38am</t>
  </si>
  <si>
    <t xml:space="preserve">11:16pm - 7:06am</t>
  </si>
  <si>
    <t xml:space="preserve">Exercise 1 – REM Sleep  |  COMPLETE SOLUTIONS</t>
  </si>
  <si>
    <t xml:space="preserve">REM sleep is crucial for cognitive functions like memory consolidation, emotional regulation, and learning, and stress might reduce REM sleep. Normally, REM sleep should account for 20–25 % of a person's sleep time; however, if a person is undergoing significant stress, this may be reduced to 15–20 %. Let's see how your friend is doing!</t>
  </si>
  <si>
    <t xml:space="preserve">1. Sample statistics for REM SLEEP</t>
  </si>
  <si>
    <t xml:space="preserve">Statistic</t>
  </si>
  <si>
    <t xml:space="preserve">Symbol</t>
  </si>
  <si>
    <t xml:space="preserve">Value (live formula)</t>
  </si>
  <si>
    <t xml:space="preserve">Google Sheets / Excel formula used</t>
  </si>
  <si>
    <t xml:space="preserve">Interpretation</t>
  </si>
  <si>
    <t xml:space="preserve">Sample mean</t>
  </si>
  <si>
    <t xml:space="preserve">x̄</t>
  </si>
  <si>
    <t xml:space="preserve">AVERAGE(Data!D:D)</t>
  </si>
  <si>
    <t xml:space="preserve">Average % of sleep spent in REM across the 179 nights</t>
  </si>
  <si>
    <t xml:space="preserve">Sample standard deviation</t>
  </si>
  <si>
    <t xml:space="preserve">s</t>
  </si>
  <si>
    <t xml:space="preserve">STDEV(Data!D:D)   (sample; uses n−1)</t>
  </si>
  <si>
    <t xml:space="preserve">Spread of the observed REM percentages</t>
  </si>
  <si>
    <t xml:space="preserve">Sample size</t>
  </si>
  <si>
    <t xml:space="preserve">n</t>
  </si>
  <si>
    <t xml:space="preserve">COUNT(Data!D:D)</t>
  </si>
  <si>
    <t xml:space="preserve">Number of complete observations (no missing values)</t>
  </si>
  <si>
    <t xml:space="preserve">Note: STDEV (or STDEV.S) computes the sample standard deviation (divisor = n−1). This is the correct choice for a confidence interval. Google Sheets and Excel both support STDEV / STDEV.S.</t>
  </si>
  <si>
    <t xml:space="preserve">2. Confidence intervals for the population mean REM sleep %</t>
  </si>
  <si>
    <t xml:space="preserve">Formula:  CI = x̄  ±  z* · (s / √n)     where  z* is the critical value from the standard normal distribution</t>
  </si>
  <si>
    <t xml:space="preserve">Confidence level</t>
  </si>
  <si>
    <t xml:space="preserve">z-score (critical value)</t>
  </si>
  <si>
    <t xml:space="preserve">Margin of error  z*·s/√n</t>
  </si>
  <si>
    <t xml:space="preserve">Lower bound  x̄ − ME</t>
  </si>
  <si>
    <t xml:space="preserve">Upper bound  x̄ + ME</t>
  </si>
  <si>
    <t xml:space="preserve">Width of interval</t>
  </si>
  <si>
    <t xml:space="preserve">95 %</t>
  </si>
  <si>
    <t xml:space="preserve">90 %</t>
  </si>
  <si>
    <t xml:space="preserve">Colour key:  Yellow cells = inputs (z critical values you can change).  Green cells = live formulas that pull from the sample statistics above (and ultimately from the Data sheet).</t>
  </si>
  <si>
    <t xml:space="preserve">3. Lab checklist – exact cell mapping (original practice-sheet layout)</t>
  </si>
  <si>
    <t xml:space="preserve">In the original practice sheet the calculations were placed as follows. The formulas below reproduce those cells exactly (Google Sheets / Excel compatible).</t>
  </si>
  <si>
    <t xml:space="preserve">Original cell</t>
  </si>
  <si>
    <t xml:space="preserve">Required calculation</t>
  </si>
  <si>
    <t xml:space="preserve">Formula (Google Sheets compatible)</t>
  </si>
  <si>
    <t xml:space="preserve">Result (live)</t>
  </si>
  <si>
    <t xml:space="preserve">C17</t>
  </si>
  <si>
    <t xml:space="preserve">Sample mean of REM</t>
  </si>
  <si>
    <t xml:space="preserve">D17</t>
  </si>
  <si>
    <t xml:space="preserve">Sample std. dev. of REM</t>
  </si>
  <si>
    <t xml:space="preserve">E17</t>
  </si>
  <si>
    <t xml:space="preserve">Sample size n</t>
  </si>
  <si>
    <t xml:space="preserve">C21</t>
  </si>
  <si>
    <t xml:space="preserve">z for 95 % (verify)</t>
  </si>
  <si>
    <t xml:space="preserve">1.96</t>
  </si>
  <si>
    <t xml:space="preserve">D21</t>
  </si>
  <si>
    <t xml:space="preserve">Margin of error 95 %</t>
  </si>
  <si>
    <t xml:space="preserve">E21</t>
  </si>
  <si>
    <t xml:space="preserve">Lower bound 95 %</t>
  </si>
  <si>
    <t xml:space="preserve">F21</t>
  </si>
  <si>
    <t xml:space="preserve">Upper bound 95 %</t>
  </si>
  <si>
    <t xml:space="preserve">C22</t>
  </si>
  <si>
    <t xml:space="preserve">z for 90 % (verify)</t>
  </si>
  <si>
    <t xml:space="preserve">1.645</t>
  </si>
  <si>
    <t xml:space="preserve">D22</t>
  </si>
  <si>
    <t xml:space="preserve">Margin of error 90 %</t>
  </si>
  <si>
    <t xml:space="preserve">E22</t>
  </si>
  <si>
    <t xml:space="preserve">Lower bound 90 %</t>
  </si>
  <si>
    <t xml:space="preserve">F22</t>
  </si>
  <si>
    <t xml:space="preserve">Upper bound 90 %</t>
  </si>
  <si>
    <t xml:space="preserve">4. Reflection answers</t>
  </si>
  <si>
    <t xml:space="preserve">8.a. Which is the narrower interval? Why?</t>
  </si>
  <si>
    <t xml:space="preserve">The 90 % confidence interval is narrower.  Because the confidence level is lower, the critical value z* is smaller (1.645 &lt; 1.96). Consequently the margin of error z*·s/√n is smaller and the interval that must be covered is shorter.  There is a fundamental trade-off: higher confidence requires a wider interval.</t>
  </si>
  <si>
    <t xml:space="preserve">8.b. What can you say about the center of the intervals?</t>
  </si>
  <si>
    <t xml:space="preserve">Both intervals are centred on exactly the same value – the sample mean x̄ ≈ 19.39 %.  Changing the confidence level only changes how far you move left and right from that common centre; the centre itself is independent of the confidence level.</t>
  </si>
  <si>
    <t xml:space="preserve">8.c. Can you be confident that your friend is having issues with their REM sleep? (Is it below 20 %?)</t>
  </si>
  <si>
    <t xml:space="preserve">Both the 90 % and the 95 % confidence intervals lie entirely below 20 % (upper bounds ≈ 19.87 % and ≈ 19.96 % respectively).  This is suggestive that the true mean REM percentage is below the conventional “healthy” lower threshold of 20 %.  However, a formal hypothesis test (which you will learn in the next module) is the proper way to quantify the strength of evidence against the claim that the mean is ≥ 20 %.  A confidence interval that excludes 20 % already gives strong practical indication of a problem, but the p-value from a one-sided test will give a precise probability statement.</t>
  </si>
  <si>
    <t xml:space="preserve">Visual summary of the two intervals relative to the 20 % threshold</t>
  </si>
  <si>
    <t xml:space="preserve">Threshold</t>
  </si>
  <si>
    <t xml:space="preserve">20 % (normal lower bound)</t>
  </si>
  <si>
    <t xml:space="preserve">95 % CI</t>
  </si>
  <si>
    <t xml:space="preserve">≈ [18.82 , 19.96]   ← entirely below 20 %</t>
  </si>
  <si>
    <t xml:space="preserve">90 % CI</t>
  </si>
  <si>
    <t xml:space="preserve">≈ [18.91 , 19.87]   ← entirely below 20 %</t>
  </si>
  <si>
    <t xml:space="preserve">Point estimate</t>
  </si>
  <si>
    <t xml:space="preserve">x̄ ≈ 19.39 %</t>
  </si>
  <si>
    <t xml:space="preserve">Code Examples – Reproducing the REM-sleep confidence intervals in Python &amp; R</t>
  </si>
  <si>
    <t xml:space="preserve">Python (pandas + numpy / scipy)</t>
  </si>
  <si>
    <t xml:space="preserve">import pandas as pd
import numpy as np
from scipy import stats   # optional, for alternative z or t critical values
# Load the data (adjust path as needed)
df = pd.read_excel("C2M3_PracticeLab_1_Human_sleep_patterns_Part1_SOLUTIONS.xlsx",
                   sheet_name="Data")
rem = df["REM SLEEP"].dropna()
# Sample statistics
n     = len(rem)
xbar  = rem.mean()
s     = rem.std(ddof=1)          # sample SD (n-1)
print(f"n = {n}")
print(f"x̄ = {xbar:.6f}")
print(f"s = {s:.6f}")
# Critical values
z95 = 1.96
z90 = 1.645
# or: z95 = stats.norm.ppf(0.975)
# Margins of error and CIs
se   = s / np.sqrt(n)
me95 = z95 * se
me90 = z90 * se
ci95 = (xbar - me95, xbar + me95)
ci90 = (xbar - me90, xbar + me90)
print(f"95% CI: [{ci95[0]:.4f}, {ci95[1]:.4f}]  width = {2*me95:.4f}")
print(f"90% CI: [{ci90[0]:.4f}, {ci90[1]:.4f}]  width = {2*me90:.4f}")
# Interpretation helper
print("\nBoth intervals lie entirely below 20 % → suggestive of reduced REM.")</t>
  </si>
  <si>
    <t xml:space="preserve">R</t>
  </si>
  <si>
    <t xml:space="preserve"># Install if needed: install.packages(c("readxl", "dplyr"))
library(readxl)
library(dplyr)
df  &lt;- read_excel("C2M3_PracticeLab_1_Human_sleep_patterns_Part1_SOLUTIONS.xlsx",
                  sheet = "Data")
rem &lt;- df$`REM SLEEP` %&gt;% na.omit()
n    &lt;- length(rem)
xbar &lt;- mean(rem)
s    &lt;- sd(rem)                 # sample SD
cat(sprintf("n = %d\nx̄ = %.6f\ns = %.6f\n", n, xbar, s))
z95 &lt;- 1.96
z90 &lt;- 1.645
# or: z95 &lt;- qnorm(0.975)
se   &lt;- s / sqrt(n)
me95 &lt;- z95 * se
me90 &lt;- z90 * se
ci95 &lt;- c(xbar - me95, xbar + me95)
ci90 &lt;- c(xbar - me90, xbar + me90)
cat(sprintf("95%% CI: [%.4f, %.4f]  width = %.4f\n", ci95[1], ci95[2], 2*me95))
cat(sprintf("90%% CI: [%.4f, %.4f]  width = %.4f\n", ci90[1], ci90[2], 2*me90))</t>
  </si>
  <si>
    <t xml:space="preserve">Google Sheets one-liners (enter in any empty cell)</t>
  </si>
  <si>
    <t xml:space="preserve">Mean:          =AVERAGE(Data!D:D)
Sample SD:     =STDEV(Data!D:D)
n:             =COUNT(Data!D:D)
SE:            =STDEV(Data!D:D)/SQRT(COUNT(Data!D:D))
ME 95 %:       =1.96*STDEV(Data!D:D)/SQRT(COUNT(Data!D:D))
Lower 95 %:    =AVERAGE(Data!D:D)-1.96*STDEV(Data!D:D)/SQRT(COUNT(Data!D:D))
Upper 95 %:    =AVERAGE(Data!D:D)+1.96*STDEV(Data!D:D)/SQRT(COUNT(Data!D:D))
(same pattern with 1.645 for 90 %)</t>
  </si>
  <si>
    <t xml:space="preserve">Confidence Intervals for a Population Mean – Quick Reference</t>
  </si>
  <si>
    <t xml:space="preserve">The sample mean x̄ is the best single-number estimate of the unknown population mean μ.</t>
  </si>
  <si>
    <t xml:space="preserve">Standard error of the mean</t>
  </si>
  <si>
    <t xml:space="preserve">SE = s / √n
It quantifies how much the sample mean is expected to vary from sample to sample. Larger n → smaller SE.</t>
  </si>
  <si>
    <t xml:space="preserve">z-based confidence interval (large-sample / known-σ approximation)</t>
  </si>
  <si>
    <t xml:space="preserve">CI = x̄ ± z* · (s / √n)
• z* is the critical value from the standard normal distribution that leaves (1−α)/2 probability in each tail.
• Common values: 90 % → z* = 1.645,  95 % → z* = 1.96,  99 % → z* = 2.576.</t>
  </si>
  <si>
    <t xml:space="preserve">Interpretation of a 95 % CI</t>
  </si>
  <si>
    <t xml:space="preserve">“We are 95 % confident that the interval (L, U) contains the true population mean μ.”
This means that if we repeated the whole sampling process many times, about 95 % of the intervals constructed would contain μ.</t>
  </si>
  <si>
    <t xml:space="preserve">Width of the interval</t>
  </si>
  <si>
    <t xml:space="preserve">Width = 2 · z* · (s / √n)
• Higher confidence level → larger z* → wider interval
• Larger sample size n → smaller SE → narrower interval
• Smaller population SD (or sample s) → narrower interval</t>
  </si>
  <si>
    <t xml:space="preserve">Why we used z (not t) in this lab</t>
  </si>
  <si>
    <t xml:space="preserve">n = 179 is large. The difference between z* = 1.96 and the corresponding t* (df = 178) ≈ 1.973 is negligible for practical purposes. The course therefore uses the simpler z-procedure.</t>
  </si>
  <si>
    <t xml:space="preserve">Google Sheets / Excel functions used</t>
  </si>
  <si>
    <t xml:space="preserve">AVERAGE(range)          – sample mean
STDEV(range) or STDEV.S  – sample standard deviation (n−1)
COUNT(range)            – sample size
SQRT(number)            – square root
NORM.S.INV(0.975)       – can be used to obtain z* = 1.96 dynamically</t>
  </si>
  <si>
    <t xml:space="preserve">When to apply this in everyday life</t>
  </si>
  <si>
    <t xml:space="preserve">• Average sleep duration of a team / class
• Mean customer satisfaction score after a product change
• Average delivery time for a logistics route
• Mean blood-pressure reading over a monitoring period
Always report the interval, not only the point estimate, so decision-makers see the uncertainty.</t>
  </si>
</sst>
</file>

<file path=xl/styles.xml><?xml version="1.0" encoding="utf-8"?>
<styleSheet xmlns="http://schemas.openxmlformats.org/spreadsheetml/2006/main">
  <numFmts count="7">
    <numFmt numFmtId="164" formatCode="General"/>
    <numFmt numFmtId="165" formatCode="yyyy\-mm\-dd"/>
    <numFmt numFmtId="166" formatCode="0"/>
    <numFmt numFmtId="167" formatCode="0.00"/>
    <numFmt numFmtId="168" formatCode="0.0000"/>
    <numFmt numFmtId="169" formatCode="General"/>
    <numFmt numFmtId="170" formatCode="0.000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2"/>
      <color rgb="FF1F4E79"/>
      <name val="Arial"/>
      <family val="0"/>
      <charset val="1"/>
    </font>
    <font>
      <sz val="10"/>
      <name val="Arial"/>
      <family val="0"/>
      <charset val="1"/>
    </font>
    <font>
      <b val="true"/>
      <sz val="10"/>
      <color rgb="FFFFFFFF"/>
      <name val="Arial"/>
      <family val="0"/>
      <charset val="1"/>
    </font>
    <font>
      <b val="true"/>
      <sz val="11"/>
      <color rgb="FF2F5496"/>
      <name val="Arial"/>
      <family val="0"/>
      <charset val="1"/>
    </font>
    <font>
      <sz val="10"/>
      <color rgb="FF006600"/>
      <name val="Arial"/>
      <family val="0"/>
      <charset val="1"/>
    </font>
    <font>
      <i val="true"/>
      <sz val="9"/>
      <color rgb="FF555555"/>
      <name val="Arial"/>
      <family val="0"/>
      <charset val="1"/>
    </font>
    <font>
      <i val="true"/>
      <sz val="10"/>
      <name val="Arial"/>
      <family val="0"/>
      <charset val="1"/>
    </font>
    <font>
      <b val="true"/>
      <sz val="9"/>
      <color rgb="FFFFFFFF"/>
      <name val="Arial"/>
      <family val="0"/>
      <charset val="1"/>
    </font>
    <font>
      <sz val="10"/>
      <color rgb="FF0000FF"/>
      <name val="Arial"/>
      <family val="0"/>
      <charset val="1"/>
    </font>
    <font>
      <i val="true"/>
      <sz val="9"/>
      <name val="Arial"/>
      <family val="0"/>
      <charset val="1"/>
    </font>
    <font>
      <b val="true"/>
      <sz val="10"/>
      <name val="Arial"/>
      <family val="0"/>
      <charset val="1"/>
    </font>
    <font>
      <sz val="9"/>
      <name val="Consolas"/>
      <family val="0"/>
      <charset val="1"/>
    </font>
  </fonts>
  <fills count="8">
    <fill>
      <patternFill patternType="none"/>
    </fill>
    <fill>
      <patternFill patternType="gray125"/>
    </fill>
    <fill>
      <patternFill patternType="solid">
        <fgColor rgb="FF1F4E79"/>
        <bgColor rgb="FF2F5496"/>
      </patternFill>
    </fill>
    <fill>
      <patternFill patternType="solid">
        <fgColor rgb="FFD6EAF8"/>
        <bgColor rgb="FFD5F5E3"/>
      </patternFill>
    </fill>
    <fill>
      <patternFill patternType="solid">
        <fgColor rgb="FF2E86AB"/>
        <bgColor rgb="FF008080"/>
      </patternFill>
    </fill>
    <fill>
      <patternFill patternType="solid">
        <fgColor rgb="FFD5F5E3"/>
        <bgColor rgb="FFD6EAF8"/>
      </patternFill>
    </fill>
    <fill>
      <patternFill patternType="solid">
        <fgColor rgb="FFFCF3CF"/>
        <bgColor rgb="FFFDEBD0"/>
      </patternFill>
    </fill>
    <fill>
      <patternFill patternType="solid">
        <fgColor rgb="FFFDEBD0"/>
        <bgColor rgb="FFFCF3C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8" fontId="9"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9" fontId="9" fillId="5"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70" fontId="9" fillId="5"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center" vertical="center" textRotation="0" wrapText="true" indent="0" shrinkToFit="false"/>
      <protection locked="true" hidden="false"/>
    </xf>
    <xf numFmtId="169" fontId="16"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6600"/>
      <rgbColor rgb="FF000080"/>
      <rgbColor rgb="FF808000"/>
      <rgbColor rgb="FF800080"/>
      <rgbColor rgb="FF008080"/>
      <rgbColor rgb="FFBFBFBF"/>
      <rgbColor rgb="FF808080"/>
      <rgbColor rgb="FF9999FF"/>
      <rgbColor rgb="FF993366"/>
      <rgbColor rgb="FFFCF3CF"/>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5E3"/>
      <rgbColor rgb="FFFDEBD0"/>
      <rgbColor rgb="FF99CCFF"/>
      <rgbColor rgb="FFFF99CC"/>
      <rgbColor rgb="FFCC99FF"/>
      <rgbColor rgb="FFFFCC99"/>
      <rgbColor rgb="FF3366FF"/>
      <rgbColor rgb="FF33CCCC"/>
      <rgbColor rgb="FF99CC00"/>
      <rgbColor rgb="FFFFCC00"/>
      <rgbColor rgb="FFFF9900"/>
      <rgbColor rgb="FFFF6600"/>
      <rgbColor rgb="FF555555"/>
      <rgbColor rgb="FF969696"/>
      <rgbColor rgb="FF1F4E79"/>
      <rgbColor rgb="FF2E86AB"/>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7" min="2" style="0" width="18"/>
  </cols>
  <sheetData>
    <row r="1" customFormat="false" ht="27.75" hidden="false" customHeight="true" outlineLevel="0" collapsed="false">
      <c r="A1" s="1" t="s">
        <v>0</v>
      </c>
      <c r="B1" s="1"/>
      <c r="C1" s="1"/>
      <c r="D1" s="1"/>
      <c r="E1" s="1"/>
      <c r="F1" s="1"/>
      <c r="G1" s="1"/>
    </row>
    <row r="3" customFormat="false" ht="15" hidden="false" customHeight="false" outlineLevel="0" collapsed="false">
      <c r="A3" s="2" t="s">
        <v>1</v>
      </c>
    </row>
    <row r="4" customFormat="false" ht="60" hidden="false" customHeight="true" outlineLevel="0" collapsed="false">
      <c r="A4" s="3" t="s">
        <v>2</v>
      </c>
      <c r="B4" s="3"/>
      <c r="C4" s="3"/>
      <c r="D4" s="3"/>
      <c r="E4" s="3"/>
      <c r="F4" s="3"/>
      <c r="G4" s="3"/>
    </row>
    <row r="6" customFormat="false" ht="15" hidden="false" customHeight="false" outlineLevel="0" collapsed="false">
      <c r="A6" s="2" t="s">
        <v>3</v>
      </c>
    </row>
    <row r="7" customFormat="false" ht="15" hidden="false" customHeight="false" outlineLevel="0" collapsed="false">
      <c r="A7" s="4" t="s">
        <v>4</v>
      </c>
    </row>
    <row r="8" customFormat="false" ht="15" hidden="false" customHeight="false" outlineLevel="0" collapsed="false">
      <c r="A8" s="4" t="s">
        <v>5</v>
      </c>
    </row>
    <row r="9" customFormat="false" ht="15" hidden="false" customHeight="false" outlineLevel="0" collapsed="false">
      <c r="A9" s="4" t="s">
        <v>6</v>
      </c>
    </row>
    <row r="10" customFormat="false" ht="15" hidden="false" customHeight="false" outlineLevel="0" collapsed="false">
      <c r="A10" s="4" t="s">
        <v>7</v>
      </c>
    </row>
    <row r="11" customFormat="false" ht="15" hidden="false" customHeight="false" outlineLevel="0" collapsed="false">
      <c r="A11" s="4" t="s">
        <v>8</v>
      </c>
    </row>
    <row r="12" customFormat="false" ht="15" hidden="false" customHeight="false" outlineLevel="0" collapsed="false">
      <c r="A12" s="4" t="s">
        <v>9</v>
      </c>
    </row>
    <row r="13" customFormat="false" ht="15" hidden="false" customHeight="false" outlineLevel="0" collapsed="false">
      <c r="A13" s="4" t="s">
        <v>10</v>
      </c>
    </row>
    <row r="15" customFormat="false" ht="15" hidden="false" customHeight="false" outlineLevel="0" collapsed="false">
      <c r="A15" s="2"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2" customFormat="false" ht="15" hidden="false" customHeight="false" outlineLevel="0" collapsed="false">
      <c r="A22" s="2" t="s">
        <v>17</v>
      </c>
    </row>
    <row r="23" customFormat="false" ht="15" hidden="false" customHeight="false" outlineLevel="0" collapsed="false">
      <c r="A23" s="4" t="s">
        <v>18</v>
      </c>
    </row>
    <row r="24" customFormat="false" ht="15" hidden="false" customHeight="false" outlineLevel="0" collapsed="false">
      <c r="A24" s="4" t="s">
        <v>19</v>
      </c>
    </row>
    <row r="25" customFormat="false" ht="15" hidden="false" customHeight="false" outlineLevel="0" collapsed="false">
      <c r="A25" s="4" t="s">
        <v>20</v>
      </c>
    </row>
    <row r="26" customFormat="false" ht="15" hidden="false" customHeight="false" outlineLevel="0" collapsed="false">
      <c r="A26" s="4" t="s">
        <v>21</v>
      </c>
    </row>
    <row r="27" customFormat="false" ht="15" hidden="false" customHeight="false" outlineLevel="0" collapsed="false">
      <c r="A27" s="4" t="s">
        <v>22</v>
      </c>
    </row>
    <row r="28" customFormat="false" ht="15" hidden="false" customHeight="false" outlineLevel="0" collapsed="false">
      <c r="A28" s="4" t="s">
        <v>23</v>
      </c>
    </row>
    <row r="29" customFormat="false" ht="15" hidden="false" customHeight="false" outlineLevel="0" collapsed="false">
      <c r="A29" s="4" t="s">
        <v>24</v>
      </c>
    </row>
    <row r="31" customFormat="false" ht="15" hidden="false" customHeight="false" outlineLevel="0" collapsed="false">
      <c r="A31" s="2" t="s">
        <v>25</v>
      </c>
    </row>
    <row r="32" customFormat="false" ht="45" hidden="false" customHeight="true" outlineLevel="0" collapsed="false">
      <c r="A32" s="3" t="s">
        <v>26</v>
      </c>
      <c r="B32" s="3"/>
      <c r="C32" s="3"/>
      <c r="D32" s="3"/>
      <c r="E32" s="3"/>
      <c r="F32" s="3"/>
      <c r="G32" s="3"/>
    </row>
    <row r="34" customFormat="false" ht="15" hidden="false" customHeight="false" outlineLevel="0" collapsed="false">
      <c r="A34" s="2" t="s">
        <v>27</v>
      </c>
    </row>
    <row r="35" customFormat="false" ht="49.5" hidden="false" customHeight="true" outlineLevel="0" collapsed="false">
      <c r="A35" s="3" t="s">
        <v>28</v>
      </c>
      <c r="B35" s="3"/>
      <c r="C35" s="3"/>
      <c r="D35" s="3"/>
      <c r="E35" s="3"/>
      <c r="F35" s="3"/>
      <c r="G35" s="3"/>
    </row>
  </sheetData>
  <mergeCells count="4">
    <mergeCell ref="A1:G1"/>
    <mergeCell ref="A4:G4"/>
    <mergeCell ref="A32:G32"/>
    <mergeCell ref="A35:G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6" min="2" style="0" width="14"/>
    <col collapsed="false" customWidth="true" hidden="false" outlineLevel="0" max="7" min="7" style="0" width="22"/>
  </cols>
  <sheetData>
    <row r="1" customFormat="false" ht="46.25" hidden="false" customHeight="false" outlineLevel="0" collapsed="false">
      <c r="A1" s="5" t="s">
        <v>29</v>
      </c>
      <c r="B1" s="5" t="s">
        <v>30</v>
      </c>
      <c r="C1" s="5" t="s">
        <v>31</v>
      </c>
      <c r="D1" s="5" t="s">
        <v>32</v>
      </c>
      <c r="E1" s="5" t="s">
        <v>33</v>
      </c>
      <c r="F1" s="5" t="s">
        <v>34</v>
      </c>
      <c r="G1" s="5" t="s">
        <v>35</v>
      </c>
    </row>
    <row r="2" customFormat="false" ht="15" hidden="false" customHeight="false" outlineLevel="0" collapsed="false">
      <c r="A2" s="6" t="n">
        <v>44652</v>
      </c>
      <c r="B2" s="7" t="n">
        <v>90</v>
      </c>
      <c r="C2" s="8" t="n">
        <v>7.37</v>
      </c>
      <c r="D2" s="7" t="n">
        <v>18</v>
      </c>
      <c r="E2" s="7" t="n">
        <v>21</v>
      </c>
      <c r="F2" s="7" t="n">
        <v>98</v>
      </c>
      <c r="G2" s="4" t="s">
        <v>36</v>
      </c>
    </row>
    <row r="3" customFormat="false" ht="15" hidden="false" customHeight="false" outlineLevel="0" collapsed="false">
      <c r="A3" s="6" t="n">
        <v>44653</v>
      </c>
      <c r="B3" s="7" t="n">
        <v>89</v>
      </c>
      <c r="C3" s="8" t="n">
        <v>8.67</v>
      </c>
      <c r="D3" s="7" t="n">
        <v>21</v>
      </c>
      <c r="E3" s="7" t="n">
        <v>21</v>
      </c>
      <c r="F3" s="7" t="n">
        <v>73</v>
      </c>
      <c r="G3" s="4" t="s">
        <v>37</v>
      </c>
    </row>
    <row r="4" customFormat="false" ht="15" hidden="false" customHeight="false" outlineLevel="0" collapsed="false">
      <c r="A4" s="6" t="n">
        <v>44654</v>
      </c>
      <c r="B4" s="7" t="n">
        <v>81</v>
      </c>
      <c r="C4" s="8" t="n">
        <v>8.87</v>
      </c>
      <c r="D4" s="7" t="n">
        <v>21</v>
      </c>
      <c r="E4" s="7" t="n">
        <v>17</v>
      </c>
      <c r="F4" s="7" t="n">
        <v>26</v>
      </c>
      <c r="G4" s="4" t="s">
        <v>38</v>
      </c>
    </row>
    <row r="5" customFormat="false" ht="15" hidden="false" customHeight="false" outlineLevel="0" collapsed="false">
      <c r="A5" s="6" t="n">
        <v>44655</v>
      </c>
      <c r="B5" s="7" t="n">
        <v>83</v>
      </c>
      <c r="C5" s="8" t="n">
        <v>6.83</v>
      </c>
      <c r="D5" s="7" t="n">
        <v>17</v>
      </c>
      <c r="E5" s="7" t="n">
        <v>19</v>
      </c>
      <c r="F5" s="7" t="n">
        <v>99</v>
      </c>
      <c r="G5" s="4" t="s">
        <v>39</v>
      </c>
    </row>
    <row r="6" customFormat="false" ht="15" hidden="false" customHeight="false" outlineLevel="0" collapsed="false">
      <c r="A6" s="6" t="n">
        <v>44656</v>
      </c>
      <c r="B6" s="7" t="n">
        <v>84</v>
      </c>
      <c r="C6" s="8" t="n">
        <v>6.95</v>
      </c>
      <c r="D6" s="7" t="n">
        <v>18</v>
      </c>
      <c r="E6" s="7" t="n">
        <v>21</v>
      </c>
      <c r="F6" s="7" t="n">
        <v>97</v>
      </c>
      <c r="G6" s="4" t="s">
        <v>40</v>
      </c>
    </row>
    <row r="7" customFormat="false" ht="15" hidden="false" customHeight="false" outlineLevel="0" collapsed="false">
      <c r="A7" s="6" t="n">
        <v>44657</v>
      </c>
      <c r="B7" s="7" t="n">
        <v>83</v>
      </c>
      <c r="C7" s="8" t="n">
        <v>7.45</v>
      </c>
      <c r="D7" s="7" t="n">
        <v>17</v>
      </c>
      <c r="E7" s="7" t="n">
        <v>19</v>
      </c>
      <c r="F7" s="7" t="n">
        <v>77</v>
      </c>
      <c r="G7" s="4" t="s">
        <v>41</v>
      </c>
    </row>
    <row r="8" customFormat="false" ht="15" hidden="false" customHeight="false" outlineLevel="0" collapsed="false">
      <c r="A8" s="6" t="n">
        <v>44658</v>
      </c>
      <c r="B8" s="7" t="n">
        <v>87</v>
      </c>
      <c r="C8" s="8" t="n">
        <v>7.95</v>
      </c>
      <c r="D8" s="7" t="n">
        <v>22</v>
      </c>
      <c r="E8" s="7" t="n">
        <v>14</v>
      </c>
      <c r="F8" s="7" t="n">
        <v>68</v>
      </c>
      <c r="G8" s="4" t="s">
        <v>42</v>
      </c>
    </row>
    <row r="9" customFormat="false" ht="15" hidden="false" customHeight="false" outlineLevel="0" collapsed="false">
      <c r="A9" s="6" t="n">
        <v>44659</v>
      </c>
      <c r="B9" s="7" t="n">
        <v>83</v>
      </c>
      <c r="C9" s="8" t="n">
        <v>7.45</v>
      </c>
      <c r="D9" s="7" t="n">
        <v>19</v>
      </c>
      <c r="E9" s="7" t="n">
        <v>18</v>
      </c>
      <c r="F9" s="7" t="n">
        <v>71</v>
      </c>
      <c r="G9" s="4" t="s">
        <v>43</v>
      </c>
    </row>
    <row r="10" customFormat="false" ht="15" hidden="false" customHeight="false" outlineLevel="0" collapsed="false">
      <c r="A10" s="6" t="n">
        <v>44660</v>
      </c>
      <c r="B10" s="7" t="n">
        <v>87</v>
      </c>
      <c r="C10" s="8" t="n">
        <v>8.2</v>
      </c>
      <c r="D10" s="7" t="n">
        <v>19</v>
      </c>
      <c r="E10" s="7" t="n">
        <v>15</v>
      </c>
      <c r="F10" s="7" t="n">
        <v>71</v>
      </c>
      <c r="G10" s="4" t="s">
        <v>44</v>
      </c>
    </row>
    <row r="11" customFormat="false" ht="15" hidden="false" customHeight="false" outlineLevel="0" collapsed="false">
      <c r="A11" s="6" t="n">
        <v>44661</v>
      </c>
      <c r="B11" s="7" t="n">
        <v>83</v>
      </c>
      <c r="C11" s="8" t="n">
        <v>6.95</v>
      </c>
      <c r="D11" s="7" t="n">
        <v>15</v>
      </c>
      <c r="E11" s="7" t="n">
        <v>18</v>
      </c>
      <c r="F11" s="7" t="n">
        <v>96</v>
      </c>
      <c r="G11" s="4" t="s">
        <v>45</v>
      </c>
    </row>
    <row r="12" customFormat="false" ht="15" hidden="false" customHeight="false" outlineLevel="0" collapsed="false">
      <c r="A12" s="6" t="n">
        <v>44662</v>
      </c>
      <c r="B12" s="7" t="n">
        <v>88</v>
      </c>
      <c r="C12" s="8" t="n">
        <v>7.65</v>
      </c>
      <c r="D12" s="7" t="n">
        <v>17</v>
      </c>
      <c r="E12" s="7" t="n">
        <v>19</v>
      </c>
      <c r="F12" s="7" t="n">
        <v>98</v>
      </c>
      <c r="G12" s="4" t="s">
        <v>46</v>
      </c>
    </row>
    <row r="13" customFormat="false" ht="15" hidden="false" customHeight="false" outlineLevel="0" collapsed="false">
      <c r="A13" s="6" t="n">
        <v>44663</v>
      </c>
      <c r="B13" s="7" t="n">
        <v>86</v>
      </c>
      <c r="C13" s="8" t="n">
        <v>8</v>
      </c>
      <c r="D13" s="7" t="n">
        <v>20</v>
      </c>
      <c r="E13" s="7" t="n">
        <v>19</v>
      </c>
      <c r="F13" s="7" t="n">
        <v>73</v>
      </c>
      <c r="G13" s="4" t="s">
        <v>47</v>
      </c>
    </row>
    <row r="14" customFormat="false" ht="15" hidden="false" customHeight="false" outlineLevel="0" collapsed="false">
      <c r="A14" s="6" t="n">
        <v>44664</v>
      </c>
      <c r="B14" s="7" t="n">
        <v>82</v>
      </c>
      <c r="C14" s="8" t="n">
        <v>7.8</v>
      </c>
      <c r="D14" s="7" t="n">
        <v>11</v>
      </c>
      <c r="E14" s="7" t="n">
        <v>13</v>
      </c>
      <c r="F14" s="7" t="n">
        <v>73</v>
      </c>
      <c r="G14" s="4" t="s">
        <v>48</v>
      </c>
    </row>
    <row r="15" customFormat="false" ht="15" hidden="false" customHeight="false" outlineLevel="0" collapsed="false">
      <c r="A15" s="6" t="n">
        <v>44665</v>
      </c>
      <c r="B15" s="7" t="n">
        <v>83</v>
      </c>
      <c r="C15" s="8" t="n">
        <v>7.32</v>
      </c>
      <c r="D15" s="7" t="n">
        <v>19</v>
      </c>
      <c r="E15" s="7" t="n">
        <v>23</v>
      </c>
      <c r="F15" s="7" t="n">
        <v>77</v>
      </c>
      <c r="G15" s="4" t="s">
        <v>49</v>
      </c>
    </row>
    <row r="16" customFormat="false" ht="15" hidden="false" customHeight="false" outlineLevel="0" collapsed="false">
      <c r="A16" s="6" t="n">
        <v>44666</v>
      </c>
      <c r="B16" s="7" t="n">
        <v>82</v>
      </c>
      <c r="C16" s="8" t="n">
        <v>8.07</v>
      </c>
      <c r="D16" s="7" t="n">
        <v>17</v>
      </c>
      <c r="E16" s="7" t="n">
        <v>19</v>
      </c>
      <c r="F16" s="7" t="n">
        <v>57</v>
      </c>
      <c r="G16" s="4" t="s">
        <v>50</v>
      </c>
    </row>
    <row r="17" customFormat="false" ht="15" hidden="false" customHeight="false" outlineLevel="0" collapsed="false">
      <c r="A17" s="6" t="n">
        <v>44667</v>
      </c>
      <c r="B17" s="7" t="n">
        <v>90</v>
      </c>
      <c r="C17" s="8" t="n">
        <v>9.65</v>
      </c>
      <c r="D17" s="7" t="n">
        <v>21</v>
      </c>
      <c r="E17" s="7" t="n">
        <v>17</v>
      </c>
      <c r="F17" s="7" t="n">
        <v>96</v>
      </c>
      <c r="G17" s="4" t="s">
        <v>51</v>
      </c>
    </row>
    <row r="18" customFormat="false" ht="15" hidden="false" customHeight="false" outlineLevel="0" collapsed="false">
      <c r="A18" s="6" t="n">
        <v>44668</v>
      </c>
      <c r="B18" s="7" t="n">
        <v>91</v>
      </c>
      <c r="C18" s="8" t="n">
        <v>7.53</v>
      </c>
      <c r="D18" s="7" t="n">
        <v>24</v>
      </c>
      <c r="E18" s="7" t="n">
        <v>14</v>
      </c>
      <c r="F18" s="7" t="n">
        <v>99</v>
      </c>
      <c r="G18" s="4" t="s">
        <v>52</v>
      </c>
    </row>
    <row r="19" customFormat="false" ht="15" hidden="false" customHeight="false" outlineLevel="0" collapsed="false">
      <c r="A19" s="6" t="n">
        <v>44669</v>
      </c>
      <c r="B19" s="7" t="n">
        <v>89</v>
      </c>
      <c r="C19" s="8" t="n">
        <v>7.98</v>
      </c>
      <c r="D19" s="7" t="n">
        <v>17</v>
      </c>
      <c r="E19" s="7" t="n">
        <v>18</v>
      </c>
      <c r="F19" s="7" t="n">
        <v>95</v>
      </c>
      <c r="G19" s="4" t="s">
        <v>53</v>
      </c>
    </row>
    <row r="20" customFormat="false" ht="15" hidden="false" customHeight="false" outlineLevel="0" collapsed="false">
      <c r="A20" s="6" t="n">
        <v>44670</v>
      </c>
      <c r="B20" s="7" t="n">
        <v>82</v>
      </c>
      <c r="C20" s="8" t="n">
        <v>7.98</v>
      </c>
      <c r="D20" s="7" t="n">
        <v>15</v>
      </c>
      <c r="E20" s="7" t="n">
        <v>17</v>
      </c>
      <c r="F20" s="7" t="n">
        <v>45</v>
      </c>
      <c r="G20" s="4" t="s">
        <v>54</v>
      </c>
    </row>
    <row r="21" customFormat="false" ht="15" hidden="false" customHeight="false" outlineLevel="0" collapsed="false">
      <c r="A21" s="6" t="n">
        <v>44671</v>
      </c>
      <c r="B21" s="7" t="n">
        <v>75</v>
      </c>
      <c r="C21" s="8" t="n">
        <v>6.9</v>
      </c>
      <c r="D21" s="7" t="n">
        <v>20</v>
      </c>
      <c r="E21" s="7" t="n">
        <v>15</v>
      </c>
      <c r="F21" s="7" t="n">
        <v>9</v>
      </c>
      <c r="G21" s="4" t="s">
        <v>55</v>
      </c>
    </row>
    <row r="22" customFormat="false" ht="15" hidden="false" customHeight="false" outlineLevel="0" collapsed="false">
      <c r="A22" s="6" t="n">
        <v>44672</v>
      </c>
      <c r="B22" s="7" t="n">
        <v>93</v>
      </c>
      <c r="C22" s="8" t="n">
        <v>7.98</v>
      </c>
      <c r="D22" s="7" t="n">
        <v>22</v>
      </c>
      <c r="E22" s="7" t="n">
        <v>24</v>
      </c>
      <c r="F22" s="7" t="n">
        <v>99</v>
      </c>
      <c r="G22" s="4" t="s">
        <v>56</v>
      </c>
    </row>
    <row r="23" customFormat="false" ht="15" hidden="false" customHeight="false" outlineLevel="0" collapsed="false">
      <c r="A23" s="6" t="n">
        <v>44673</v>
      </c>
      <c r="B23" s="7" t="n">
        <v>87</v>
      </c>
      <c r="C23" s="8" t="n">
        <v>7.73</v>
      </c>
      <c r="D23" s="7" t="n">
        <v>19</v>
      </c>
      <c r="E23" s="7" t="n">
        <v>8</v>
      </c>
      <c r="F23" s="7" t="n">
        <v>88</v>
      </c>
      <c r="G23" s="4" t="s">
        <v>57</v>
      </c>
    </row>
    <row r="24" customFormat="false" ht="15" hidden="false" customHeight="false" outlineLevel="0" collapsed="false">
      <c r="A24" s="6" t="n">
        <v>44674</v>
      </c>
      <c r="B24" s="7" t="n">
        <v>79</v>
      </c>
      <c r="C24" s="8" t="n">
        <v>7.92</v>
      </c>
      <c r="D24" s="7" t="n">
        <v>8</v>
      </c>
      <c r="E24" s="7" t="n">
        <v>12</v>
      </c>
      <c r="F24" s="7" t="n">
        <v>57</v>
      </c>
      <c r="G24" s="4" t="s">
        <v>58</v>
      </c>
    </row>
    <row r="25" customFormat="false" ht="15" hidden="false" customHeight="false" outlineLevel="0" collapsed="false">
      <c r="A25" s="6" t="n">
        <v>44675</v>
      </c>
      <c r="B25" s="7" t="n">
        <v>81</v>
      </c>
      <c r="C25" s="8" t="n">
        <v>8.28</v>
      </c>
      <c r="D25" s="7" t="n">
        <v>13</v>
      </c>
      <c r="E25" s="7" t="n">
        <v>15</v>
      </c>
      <c r="F25" s="7" t="n">
        <v>64</v>
      </c>
      <c r="G25" s="4" t="s">
        <v>59</v>
      </c>
    </row>
    <row r="26" customFormat="false" ht="15" hidden="false" customHeight="false" outlineLevel="0" collapsed="false">
      <c r="A26" s="6" t="n">
        <v>44676</v>
      </c>
      <c r="B26" s="7" t="n">
        <v>84</v>
      </c>
      <c r="C26" s="8" t="n">
        <v>7.65</v>
      </c>
      <c r="D26" s="7" t="n">
        <v>16</v>
      </c>
      <c r="E26" s="7" t="n">
        <v>20</v>
      </c>
      <c r="F26" s="7" t="n">
        <v>70</v>
      </c>
      <c r="G26" s="4" t="s">
        <v>60</v>
      </c>
    </row>
    <row r="27" customFormat="false" ht="15" hidden="false" customHeight="false" outlineLevel="0" collapsed="false">
      <c r="A27" s="6" t="n">
        <v>44677</v>
      </c>
      <c r="B27" s="7" t="n">
        <v>85</v>
      </c>
      <c r="C27" s="8" t="n">
        <v>7.3</v>
      </c>
      <c r="D27" s="7" t="n">
        <v>22</v>
      </c>
      <c r="E27" s="7" t="n">
        <v>14</v>
      </c>
      <c r="F27" s="7" t="n">
        <v>100</v>
      </c>
      <c r="G27" s="4" t="s">
        <v>61</v>
      </c>
    </row>
    <row r="28" customFormat="false" ht="15" hidden="false" customHeight="false" outlineLevel="0" collapsed="false">
      <c r="A28" s="6" t="n">
        <v>44678</v>
      </c>
      <c r="B28" s="7" t="n">
        <v>90</v>
      </c>
      <c r="C28" s="8" t="n">
        <v>7.57</v>
      </c>
      <c r="D28" s="7" t="n">
        <v>24</v>
      </c>
      <c r="E28" s="7" t="n">
        <v>19</v>
      </c>
      <c r="F28" s="7" t="n">
        <v>98</v>
      </c>
      <c r="G28" s="4" t="s">
        <v>62</v>
      </c>
    </row>
    <row r="29" customFormat="false" ht="15" hidden="false" customHeight="false" outlineLevel="0" collapsed="false">
      <c r="A29" s="6" t="n">
        <v>44679</v>
      </c>
      <c r="B29" s="7" t="n">
        <v>87</v>
      </c>
      <c r="C29" s="8" t="n">
        <v>6.9</v>
      </c>
      <c r="D29" s="7" t="n">
        <v>21</v>
      </c>
      <c r="E29" s="7" t="n">
        <v>22</v>
      </c>
      <c r="F29" s="7" t="n">
        <v>90</v>
      </c>
      <c r="G29" s="4" t="s">
        <v>63</v>
      </c>
    </row>
    <row r="30" customFormat="false" ht="15" hidden="false" customHeight="false" outlineLevel="0" collapsed="false">
      <c r="A30" s="6" t="n">
        <v>44680</v>
      </c>
      <c r="B30" s="7" t="n">
        <v>86</v>
      </c>
      <c r="C30" s="8" t="n">
        <v>7.75</v>
      </c>
      <c r="D30" s="7" t="n">
        <v>19</v>
      </c>
      <c r="E30" s="7" t="n">
        <v>17</v>
      </c>
      <c r="F30" s="7" t="n">
        <v>95</v>
      </c>
      <c r="G30" s="4" t="s">
        <v>64</v>
      </c>
    </row>
    <row r="31" customFormat="false" ht="15" hidden="false" customHeight="false" outlineLevel="0" collapsed="false">
      <c r="A31" s="6" t="n">
        <v>44681</v>
      </c>
      <c r="B31" s="7" t="n">
        <v>89</v>
      </c>
      <c r="C31" s="8" t="n">
        <v>7.18</v>
      </c>
      <c r="D31" s="7" t="n">
        <v>22</v>
      </c>
      <c r="E31" s="7" t="n">
        <v>18</v>
      </c>
      <c r="F31" s="7" t="n">
        <v>75</v>
      </c>
      <c r="G31" s="4" t="s">
        <v>65</v>
      </c>
    </row>
    <row r="32" customFormat="false" ht="15" hidden="false" customHeight="false" outlineLevel="0" collapsed="false">
      <c r="A32" s="6" t="n">
        <v>44531</v>
      </c>
      <c r="B32" s="7" t="n">
        <v>91</v>
      </c>
      <c r="C32" s="8" t="n">
        <v>7.55</v>
      </c>
      <c r="D32" s="7" t="n">
        <v>23</v>
      </c>
      <c r="E32" s="7" t="n">
        <v>19</v>
      </c>
      <c r="F32" s="7" t="n">
        <v>98</v>
      </c>
      <c r="G32" s="4" t="s">
        <v>66</v>
      </c>
    </row>
    <row r="33" customFormat="false" ht="15" hidden="false" customHeight="false" outlineLevel="0" collapsed="false">
      <c r="A33" s="6" t="n">
        <v>44532</v>
      </c>
      <c r="B33" s="7" t="n">
        <v>81</v>
      </c>
      <c r="C33" s="8" t="n">
        <v>7.28</v>
      </c>
      <c r="D33" s="7" t="n">
        <v>16</v>
      </c>
      <c r="E33" s="7" t="n">
        <v>13</v>
      </c>
      <c r="F33" s="7" t="n">
        <v>94</v>
      </c>
      <c r="G33" s="4" t="s">
        <v>67</v>
      </c>
    </row>
    <row r="34" customFormat="false" ht="15" hidden="false" customHeight="false" outlineLevel="0" collapsed="false">
      <c r="A34" s="6" t="n">
        <v>44533</v>
      </c>
      <c r="B34" s="7" t="n">
        <v>80</v>
      </c>
      <c r="C34" s="8" t="n">
        <v>7.28</v>
      </c>
      <c r="D34" s="7" t="n">
        <v>15</v>
      </c>
      <c r="E34" s="7" t="n">
        <v>17</v>
      </c>
      <c r="F34" s="7" t="n">
        <v>78</v>
      </c>
      <c r="G34" s="4" t="s">
        <v>68</v>
      </c>
    </row>
    <row r="35" customFormat="false" ht="15" hidden="false" customHeight="false" outlineLevel="0" collapsed="false">
      <c r="A35" s="6" t="n">
        <v>44534</v>
      </c>
      <c r="B35" s="7" t="n">
        <v>85</v>
      </c>
      <c r="C35" s="8" t="n">
        <v>8.38</v>
      </c>
      <c r="D35" s="7" t="n">
        <v>20</v>
      </c>
      <c r="E35" s="7" t="n">
        <v>15</v>
      </c>
      <c r="F35" s="7" t="n">
        <v>58</v>
      </c>
      <c r="G35" s="4" t="s">
        <v>69</v>
      </c>
    </row>
    <row r="36" customFormat="false" ht="15" hidden="false" customHeight="false" outlineLevel="0" collapsed="false">
      <c r="A36" s="6" t="n">
        <v>44535</v>
      </c>
      <c r="B36" s="7" t="n">
        <v>82</v>
      </c>
      <c r="C36" s="8" t="n">
        <v>7.32</v>
      </c>
      <c r="D36" s="7" t="n">
        <v>20</v>
      </c>
      <c r="E36" s="7" t="n">
        <v>12</v>
      </c>
      <c r="F36" s="7" t="n">
        <v>79</v>
      </c>
      <c r="G36" s="4" t="s">
        <v>70</v>
      </c>
    </row>
    <row r="37" customFormat="false" ht="15" hidden="false" customHeight="false" outlineLevel="0" collapsed="false">
      <c r="A37" s="6" t="n">
        <v>44536</v>
      </c>
      <c r="B37" s="7" t="n">
        <v>80</v>
      </c>
      <c r="C37" s="8" t="n">
        <v>7.3</v>
      </c>
      <c r="D37" s="7" t="n">
        <v>18</v>
      </c>
      <c r="E37" s="7" t="n">
        <v>16</v>
      </c>
      <c r="F37" s="7" t="n">
        <v>56</v>
      </c>
      <c r="G37" s="4" t="s">
        <v>71</v>
      </c>
    </row>
    <row r="38" customFormat="false" ht="15" hidden="false" customHeight="false" outlineLevel="0" collapsed="false">
      <c r="A38" s="6" t="n">
        <v>44537</v>
      </c>
      <c r="B38" s="7" t="n">
        <v>89</v>
      </c>
      <c r="C38" s="8" t="n">
        <v>8.03</v>
      </c>
      <c r="D38" s="7" t="n">
        <v>21</v>
      </c>
      <c r="E38" s="7" t="n">
        <v>11</v>
      </c>
      <c r="F38" s="7" t="n">
        <v>94</v>
      </c>
      <c r="G38" s="4" t="s">
        <v>72</v>
      </c>
    </row>
    <row r="39" customFormat="false" ht="15" hidden="false" customHeight="false" outlineLevel="0" collapsed="false">
      <c r="A39" s="6" t="n">
        <v>44538</v>
      </c>
      <c r="B39" s="7" t="n">
        <v>85</v>
      </c>
      <c r="C39" s="8" t="n">
        <v>6.78</v>
      </c>
      <c r="D39" s="7" t="n">
        <v>22</v>
      </c>
      <c r="E39" s="7" t="n">
        <v>16</v>
      </c>
      <c r="F39" s="7" t="n">
        <v>94</v>
      </c>
      <c r="G39" s="4" t="s">
        <v>73</v>
      </c>
    </row>
    <row r="40" customFormat="false" ht="15" hidden="false" customHeight="false" outlineLevel="0" collapsed="false">
      <c r="A40" s="6" t="n">
        <v>44539</v>
      </c>
      <c r="B40" s="7" t="n">
        <v>85</v>
      </c>
      <c r="C40" s="8" t="n">
        <v>7.53</v>
      </c>
      <c r="D40" s="7" t="n">
        <v>12</v>
      </c>
      <c r="E40" s="7" t="n">
        <v>14</v>
      </c>
      <c r="F40" s="7" t="n">
        <v>96</v>
      </c>
      <c r="G40" s="4" t="s">
        <v>74</v>
      </c>
    </row>
    <row r="41" customFormat="false" ht="15" hidden="false" customHeight="false" outlineLevel="0" collapsed="false">
      <c r="A41" s="6" t="n">
        <v>44540</v>
      </c>
      <c r="B41" s="7" t="n">
        <v>87</v>
      </c>
      <c r="C41" s="8" t="n">
        <v>7.75</v>
      </c>
      <c r="D41" s="7" t="n">
        <v>20</v>
      </c>
      <c r="E41" s="7" t="n">
        <v>13</v>
      </c>
      <c r="F41" s="7" t="n">
        <v>75</v>
      </c>
      <c r="G41" s="4" t="s">
        <v>75</v>
      </c>
    </row>
    <row r="42" customFormat="false" ht="15" hidden="false" customHeight="false" outlineLevel="0" collapsed="false">
      <c r="A42" s="6" t="n">
        <v>44541</v>
      </c>
      <c r="B42" s="7" t="n">
        <v>78</v>
      </c>
      <c r="C42" s="8" t="n">
        <v>7.95</v>
      </c>
      <c r="D42" s="7" t="n">
        <v>13</v>
      </c>
      <c r="E42" s="7" t="n">
        <v>10</v>
      </c>
      <c r="F42" s="7" t="n">
        <v>45</v>
      </c>
      <c r="G42" s="4" t="s">
        <v>76</v>
      </c>
    </row>
    <row r="43" customFormat="false" ht="15" hidden="false" customHeight="false" outlineLevel="0" collapsed="false">
      <c r="A43" s="6" t="n">
        <v>44542</v>
      </c>
      <c r="B43" s="7" t="n">
        <v>85</v>
      </c>
      <c r="C43" s="8" t="n">
        <v>6.78</v>
      </c>
      <c r="D43" s="7" t="n">
        <v>24</v>
      </c>
      <c r="E43" s="7" t="n">
        <v>17</v>
      </c>
      <c r="F43" s="7" t="n">
        <v>74</v>
      </c>
      <c r="G43" s="4" t="s">
        <v>77</v>
      </c>
    </row>
    <row r="44" customFormat="false" ht="15" hidden="false" customHeight="false" outlineLevel="0" collapsed="false">
      <c r="A44" s="6" t="n">
        <v>44543</v>
      </c>
      <c r="B44" s="7" t="n">
        <v>87</v>
      </c>
      <c r="C44" s="8" t="n">
        <v>8.55</v>
      </c>
      <c r="D44" s="7" t="n">
        <v>21</v>
      </c>
      <c r="E44" s="7" t="n">
        <v>15</v>
      </c>
      <c r="F44" s="7" t="n">
        <v>83</v>
      </c>
      <c r="G44" s="4" t="s">
        <v>78</v>
      </c>
    </row>
    <row r="45" customFormat="false" ht="15" hidden="false" customHeight="false" outlineLevel="0" collapsed="false">
      <c r="A45" s="6" t="n">
        <v>44544</v>
      </c>
      <c r="B45" s="7" t="n">
        <v>83</v>
      </c>
      <c r="C45" s="8" t="n">
        <v>7.55</v>
      </c>
      <c r="D45" s="7" t="n">
        <v>12</v>
      </c>
      <c r="E45" s="7" t="n">
        <v>20</v>
      </c>
      <c r="F45" s="7" t="n">
        <v>76</v>
      </c>
      <c r="G45" s="4" t="s">
        <v>79</v>
      </c>
    </row>
    <row r="46" customFormat="false" ht="15" hidden="false" customHeight="false" outlineLevel="0" collapsed="false">
      <c r="A46" s="6" t="n">
        <v>44545</v>
      </c>
      <c r="B46" s="7" t="n">
        <v>79</v>
      </c>
      <c r="C46" s="8" t="n">
        <v>7.13</v>
      </c>
      <c r="D46" s="7" t="n">
        <v>26</v>
      </c>
      <c r="E46" s="7" t="n">
        <v>19</v>
      </c>
      <c r="F46" s="7" t="n">
        <v>31</v>
      </c>
      <c r="G46" s="4" t="s">
        <v>80</v>
      </c>
    </row>
    <row r="47" customFormat="false" ht="15" hidden="false" customHeight="false" outlineLevel="0" collapsed="false">
      <c r="A47" s="6" t="n">
        <v>44546</v>
      </c>
      <c r="B47" s="7" t="n">
        <v>74</v>
      </c>
      <c r="C47" s="8" t="n">
        <v>6.57</v>
      </c>
      <c r="D47" s="7" t="n">
        <v>16</v>
      </c>
      <c r="E47" s="7" t="n">
        <v>23</v>
      </c>
      <c r="F47" s="7" t="n">
        <v>0</v>
      </c>
      <c r="G47" s="4" t="s">
        <v>81</v>
      </c>
    </row>
    <row r="48" customFormat="false" ht="15" hidden="false" customHeight="false" outlineLevel="0" collapsed="false">
      <c r="A48" s="6" t="n">
        <v>44547</v>
      </c>
      <c r="B48" s="7" t="n">
        <v>84</v>
      </c>
      <c r="C48" s="8" t="n">
        <v>7.3</v>
      </c>
      <c r="D48" s="7" t="n">
        <v>21</v>
      </c>
      <c r="E48" s="7" t="n">
        <v>16</v>
      </c>
      <c r="F48" s="7" t="n">
        <v>79</v>
      </c>
      <c r="G48" s="4" t="s">
        <v>82</v>
      </c>
    </row>
    <row r="49" customFormat="false" ht="15" hidden="false" customHeight="false" outlineLevel="0" collapsed="false">
      <c r="A49" s="6" t="n">
        <v>44548</v>
      </c>
      <c r="B49" s="7" t="n">
        <v>87</v>
      </c>
      <c r="C49" s="8" t="n">
        <v>8.23</v>
      </c>
      <c r="D49" s="7" t="n">
        <v>16</v>
      </c>
      <c r="E49" s="7" t="n">
        <v>18</v>
      </c>
      <c r="F49" s="7" t="n">
        <v>99</v>
      </c>
      <c r="G49" s="4" t="s">
        <v>83</v>
      </c>
    </row>
    <row r="50" customFormat="false" ht="15" hidden="false" customHeight="false" outlineLevel="0" collapsed="false">
      <c r="A50" s="6" t="n">
        <v>44549</v>
      </c>
      <c r="B50" s="7" t="n">
        <v>83</v>
      </c>
      <c r="C50" s="8" t="n">
        <v>7.13</v>
      </c>
      <c r="D50" s="7" t="n">
        <v>29</v>
      </c>
      <c r="E50" s="7" t="n">
        <v>17</v>
      </c>
      <c r="F50" s="7" t="n">
        <v>65</v>
      </c>
      <c r="G50" s="4" t="s">
        <v>84</v>
      </c>
    </row>
    <row r="51" customFormat="false" ht="15" hidden="false" customHeight="false" outlineLevel="0" collapsed="false">
      <c r="A51" s="6" t="n">
        <v>44550</v>
      </c>
      <c r="B51" s="7" t="n">
        <v>85</v>
      </c>
      <c r="C51" s="8" t="n">
        <v>7.1</v>
      </c>
      <c r="D51" s="7" t="n">
        <v>23</v>
      </c>
      <c r="E51" s="7" t="n">
        <v>14</v>
      </c>
      <c r="F51" s="7" t="n">
        <v>98</v>
      </c>
      <c r="G51" s="4" t="s">
        <v>85</v>
      </c>
    </row>
    <row r="52" customFormat="false" ht="15" hidden="false" customHeight="false" outlineLevel="0" collapsed="false">
      <c r="A52" s="6" t="n">
        <v>44551</v>
      </c>
      <c r="B52" s="7" t="n">
        <v>91</v>
      </c>
      <c r="C52" s="8" t="n">
        <v>8.43</v>
      </c>
      <c r="D52" s="7" t="n">
        <v>21</v>
      </c>
      <c r="E52" s="7" t="n">
        <v>19</v>
      </c>
      <c r="F52" s="7" t="n">
        <v>96</v>
      </c>
      <c r="G52" s="4" t="s">
        <v>86</v>
      </c>
    </row>
    <row r="53" customFormat="false" ht="15" hidden="false" customHeight="false" outlineLevel="0" collapsed="false">
      <c r="A53" s="6" t="n">
        <v>44552</v>
      </c>
      <c r="B53" s="7" t="n">
        <v>88</v>
      </c>
      <c r="C53" s="8" t="n">
        <v>7.48</v>
      </c>
      <c r="D53" s="7" t="n">
        <v>22</v>
      </c>
      <c r="E53" s="7" t="n">
        <v>16</v>
      </c>
      <c r="F53" s="7" t="n">
        <v>90</v>
      </c>
      <c r="G53" s="4" t="s">
        <v>87</v>
      </c>
    </row>
    <row r="54" customFormat="false" ht="15" hidden="false" customHeight="false" outlineLevel="0" collapsed="false">
      <c r="A54" s="6" t="n">
        <v>44553</v>
      </c>
      <c r="B54" s="7" t="n">
        <v>89</v>
      </c>
      <c r="C54" s="8" t="n">
        <v>8.62</v>
      </c>
      <c r="D54" s="7" t="n">
        <v>20</v>
      </c>
      <c r="E54" s="7" t="n">
        <v>19</v>
      </c>
      <c r="F54" s="7" t="n">
        <v>95</v>
      </c>
      <c r="G54" s="4" t="s">
        <v>88</v>
      </c>
    </row>
    <row r="55" customFormat="false" ht="15" hidden="false" customHeight="false" outlineLevel="0" collapsed="false">
      <c r="A55" s="6" t="n">
        <v>44554</v>
      </c>
      <c r="B55" s="7" t="n">
        <v>78</v>
      </c>
      <c r="C55" s="8" t="n">
        <v>9.05</v>
      </c>
      <c r="D55" s="7" t="n">
        <v>12</v>
      </c>
      <c r="E55" s="7" t="n">
        <v>18</v>
      </c>
      <c r="F55" s="7" t="n">
        <v>52</v>
      </c>
      <c r="G55" s="4" t="s">
        <v>89</v>
      </c>
    </row>
    <row r="56" customFormat="false" ht="15" hidden="false" customHeight="false" outlineLevel="0" collapsed="false">
      <c r="A56" s="6" t="n">
        <v>44555</v>
      </c>
      <c r="B56" s="7" t="n">
        <v>75</v>
      </c>
      <c r="C56" s="8" t="n">
        <v>6.65</v>
      </c>
      <c r="D56" s="7" t="n">
        <v>16</v>
      </c>
      <c r="E56" s="7" t="n">
        <v>14</v>
      </c>
      <c r="F56" s="7" t="n">
        <v>50</v>
      </c>
      <c r="G56" s="4" t="s">
        <v>90</v>
      </c>
    </row>
    <row r="57" customFormat="false" ht="15" hidden="false" customHeight="false" outlineLevel="0" collapsed="false">
      <c r="A57" s="6" t="n">
        <v>44556</v>
      </c>
      <c r="B57" s="7" t="n">
        <v>91</v>
      </c>
      <c r="C57" s="8" t="n">
        <v>7.85</v>
      </c>
      <c r="D57" s="7" t="n">
        <v>21</v>
      </c>
      <c r="E57" s="7" t="n">
        <v>27</v>
      </c>
      <c r="F57" s="7" t="n">
        <v>83</v>
      </c>
      <c r="G57" s="4" t="s">
        <v>91</v>
      </c>
    </row>
    <row r="58" customFormat="false" ht="15" hidden="false" customHeight="false" outlineLevel="0" collapsed="false">
      <c r="A58" s="6" t="n">
        <v>44557</v>
      </c>
      <c r="B58" s="7" t="n">
        <v>83</v>
      </c>
      <c r="C58" s="8" t="n">
        <v>7.1</v>
      </c>
      <c r="D58" s="7" t="n">
        <v>20</v>
      </c>
      <c r="E58" s="7" t="n">
        <v>16</v>
      </c>
      <c r="F58" s="7" t="n">
        <v>90</v>
      </c>
      <c r="G58" s="4" t="s">
        <v>92</v>
      </c>
    </row>
    <row r="59" customFormat="false" ht="15" hidden="false" customHeight="false" outlineLevel="0" collapsed="false">
      <c r="A59" s="6" t="n">
        <v>44558</v>
      </c>
      <c r="B59" s="7" t="n">
        <v>85</v>
      </c>
      <c r="C59" s="8" t="n">
        <v>6.95</v>
      </c>
      <c r="D59" s="7" t="n">
        <v>20</v>
      </c>
      <c r="E59" s="7" t="n">
        <v>18</v>
      </c>
      <c r="F59" s="7" t="n">
        <v>99</v>
      </c>
      <c r="G59" s="4" t="s">
        <v>93</v>
      </c>
    </row>
    <row r="60" customFormat="false" ht="15" hidden="false" customHeight="false" outlineLevel="0" collapsed="false">
      <c r="A60" s="6" t="n">
        <v>44559</v>
      </c>
      <c r="B60" s="7" t="n">
        <v>91</v>
      </c>
      <c r="C60" s="8" t="n">
        <v>7.38</v>
      </c>
      <c r="D60" s="7" t="n">
        <v>26</v>
      </c>
      <c r="E60" s="7" t="n">
        <v>16</v>
      </c>
      <c r="F60" s="7" t="n">
        <v>98</v>
      </c>
      <c r="G60" s="4" t="s">
        <v>94</v>
      </c>
    </row>
    <row r="61" customFormat="false" ht="15" hidden="false" customHeight="false" outlineLevel="0" collapsed="false">
      <c r="A61" s="6" t="n">
        <v>44560</v>
      </c>
      <c r="B61" s="7" t="n">
        <v>87</v>
      </c>
      <c r="C61" s="8" t="n">
        <v>7.8</v>
      </c>
      <c r="D61" s="7" t="n">
        <v>22</v>
      </c>
      <c r="E61" s="7" t="n">
        <v>21</v>
      </c>
      <c r="F61" s="7" t="n">
        <v>60</v>
      </c>
      <c r="G61" s="4" t="s">
        <v>95</v>
      </c>
    </row>
    <row r="62" customFormat="false" ht="15" hidden="false" customHeight="false" outlineLevel="0" collapsed="false">
      <c r="A62" s="6" t="n">
        <v>44561</v>
      </c>
      <c r="B62" s="7" t="n">
        <v>89</v>
      </c>
      <c r="C62" s="8" t="n">
        <v>8.15</v>
      </c>
      <c r="D62" s="7" t="n">
        <v>23</v>
      </c>
      <c r="E62" s="7" t="n">
        <v>19</v>
      </c>
      <c r="F62" s="7" t="n">
        <v>70</v>
      </c>
      <c r="G62" s="4" t="s">
        <v>96</v>
      </c>
    </row>
    <row r="63" customFormat="false" ht="15" hidden="false" customHeight="false" outlineLevel="0" collapsed="false">
      <c r="A63" s="6" t="n">
        <v>44593</v>
      </c>
      <c r="B63" s="7" t="n">
        <v>87</v>
      </c>
      <c r="C63" s="8" t="n">
        <v>7.5</v>
      </c>
      <c r="D63" s="7" t="n">
        <v>18</v>
      </c>
      <c r="E63" s="7" t="n">
        <v>17</v>
      </c>
      <c r="F63" s="7" t="n">
        <v>98</v>
      </c>
      <c r="G63" s="4" t="s">
        <v>97</v>
      </c>
    </row>
    <row r="64" customFormat="false" ht="15" hidden="false" customHeight="false" outlineLevel="0" collapsed="false">
      <c r="A64" s="6" t="n">
        <v>44594</v>
      </c>
      <c r="B64" s="7" t="n">
        <v>90</v>
      </c>
      <c r="C64" s="8" t="n">
        <v>7.45</v>
      </c>
      <c r="D64" s="7" t="n">
        <v>20</v>
      </c>
      <c r="E64" s="7" t="n">
        <v>18</v>
      </c>
      <c r="F64" s="7" t="n">
        <v>88</v>
      </c>
      <c r="G64" s="4" t="s">
        <v>98</v>
      </c>
    </row>
    <row r="65" customFormat="false" ht="15" hidden="false" customHeight="false" outlineLevel="0" collapsed="false">
      <c r="A65" s="6" t="n">
        <v>44595</v>
      </c>
      <c r="B65" s="7" t="n">
        <v>66</v>
      </c>
      <c r="C65" s="8" t="n">
        <v>5.65</v>
      </c>
      <c r="D65" s="7" t="n">
        <v>16</v>
      </c>
      <c r="E65" s="7" t="n">
        <v>0</v>
      </c>
      <c r="F65" s="7" t="n">
        <v>13</v>
      </c>
      <c r="G65" s="4" t="s">
        <v>99</v>
      </c>
    </row>
    <row r="66" customFormat="false" ht="15" hidden="false" customHeight="false" outlineLevel="0" collapsed="false">
      <c r="A66" s="6" t="n">
        <v>44596</v>
      </c>
      <c r="B66" s="7" t="n">
        <v>87</v>
      </c>
      <c r="C66" s="8" t="n">
        <v>9.22</v>
      </c>
      <c r="D66" s="7" t="n">
        <v>18</v>
      </c>
      <c r="E66" s="7" t="n">
        <v>19</v>
      </c>
      <c r="F66" s="7" t="n">
        <v>96</v>
      </c>
      <c r="G66" s="4" t="s">
        <v>100</v>
      </c>
    </row>
    <row r="67" customFormat="false" ht="15" hidden="false" customHeight="false" outlineLevel="0" collapsed="false">
      <c r="A67" s="6" t="n">
        <v>44597</v>
      </c>
      <c r="B67" s="7" t="n">
        <v>85</v>
      </c>
      <c r="C67" s="8" t="n">
        <v>6.83</v>
      </c>
      <c r="D67" s="7" t="n">
        <v>23</v>
      </c>
      <c r="E67" s="7" t="n">
        <v>19</v>
      </c>
      <c r="F67" s="7" t="n">
        <v>93</v>
      </c>
      <c r="G67" s="4" t="s">
        <v>101</v>
      </c>
    </row>
    <row r="68" customFormat="false" ht="15" hidden="false" customHeight="false" outlineLevel="0" collapsed="false">
      <c r="A68" s="6" t="n">
        <v>44598</v>
      </c>
      <c r="B68" s="7" t="n">
        <v>78</v>
      </c>
      <c r="C68" s="8" t="n">
        <v>6.72</v>
      </c>
      <c r="D68" s="7" t="n">
        <v>17</v>
      </c>
      <c r="E68" s="7" t="n">
        <v>18</v>
      </c>
      <c r="F68" s="7" t="n">
        <v>70</v>
      </c>
      <c r="G68" s="4" t="s">
        <v>102</v>
      </c>
    </row>
    <row r="69" customFormat="false" ht="15" hidden="false" customHeight="false" outlineLevel="0" collapsed="false">
      <c r="A69" s="6" t="n">
        <v>44599</v>
      </c>
      <c r="B69" s="7" t="n">
        <v>87</v>
      </c>
      <c r="C69" s="8" t="n">
        <v>8.27</v>
      </c>
      <c r="D69" s="7" t="n">
        <v>19</v>
      </c>
      <c r="E69" s="7" t="n">
        <v>15</v>
      </c>
      <c r="F69" s="7" t="n">
        <v>79</v>
      </c>
      <c r="G69" s="4" t="s">
        <v>103</v>
      </c>
    </row>
    <row r="70" customFormat="false" ht="15" hidden="false" customHeight="false" outlineLevel="0" collapsed="false">
      <c r="A70" s="6" t="n">
        <v>44600</v>
      </c>
      <c r="B70" s="7" t="n">
        <v>83</v>
      </c>
      <c r="C70" s="8" t="n">
        <v>6.68</v>
      </c>
      <c r="D70" s="7" t="n">
        <v>23</v>
      </c>
      <c r="E70" s="7" t="n">
        <v>15</v>
      </c>
      <c r="F70" s="7" t="n">
        <v>94</v>
      </c>
      <c r="G70" s="4" t="s">
        <v>104</v>
      </c>
    </row>
    <row r="71" customFormat="false" ht="15" hidden="false" customHeight="false" outlineLevel="0" collapsed="false">
      <c r="A71" s="6" t="n">
        <v>44601</v>
      </c>
      <c r="B71" s="7" t="n">
        <v>81</v>
      </c>
      <c r="C71" s="8" t="n">
        <v>7.3</v>
      </c>
      <c r="D71" s="7" t="n">
        <v>21</v>
      </c>
      <c r="E71" s="7" t="n">
        <v>13</v>
      </c>
      <c r="F71" s="7" t="n">
        <v>89</v>
      </c>
      <c r="G71" s="4" t="s">
        <v>105</v>
      </c>
    </row>
    <row r="72" customFormat="false" ht="15" hidden="false" customHeight="false" outlineLevel="0" collapsed="false">
      <c r="A72" s="6" t="n">
        <v>44602</v>
      </c>
      <c r="B72" s="7" t="n">
        <v>83</v>
      </c>
      <c r="C72" s="8" t="n">
        <v>6.58</v>
      </c>
      <c r="D72" s="7" t="n">
        <v>20</v>
      </c>
      <c r="E72" s="7" t="n">
        <v>21</v>
      </c>
      <c r="F72" s="7" t="n">
        <v>85</v>
      </c>
      <c r="G72" s="4" t="s">
        <v>106</v>
      </c>
    </row>
    <row r="73" customFormat="false" ht="15" hidden="false" customHeight="false" outlineLevel="0" collapsed="false">
      <c r="A73" s="6" t="n">
        <v>44603</v>
      </c>
      <c r="B73" s="7" t="n">
        <v>86</v>
      </c>
      <c r="C73" s="8" t="n">
        <v>8.85</v>
      </c>
      <c r="D73" s="7" t="n">
        <v>23</v>
      </c>
      <c r="E73" s="7" t="n">
        <v>21</v>
      </c>
      <c r="F73" s="7" t="n">
        <v>42</v>
      </c>
      <c r="G73" s="4" t="s">
        <v>107</v>
      </c>
    </row>
    <row r="74" customFormat="false" ht="15" hidden="false" customHeight="false" outlineLevel="0" collapsed="false">
      <c r="A74" s="6" t="n">
        <v>44604</v>
      </c>
      <c r="B74" s="7" t="n">
        <v>84</v>
      </c>
      <c r="C74" s="8" t="n">
        <v>8.82</v>
      </c>
      <c r="D74" s="7" t="n">
        <v>24</v>
      </c>
      <c r="E74" s="7" t="n">
        <v>18</v>
      </c>
      <c r="F74" s="7" t="n">
        <v>35</v>
      </c>
      <c r="G74" s="4" t="s">
        <v>108</v>
      </c>
    </row>
    <row r="75" customFormat="false" ht="15" hidden="false" customHeight="false" outlineLevel="0" collapsed="false">
      <c r="A75" s="6" t="n">
        <v>44605</v>
      </c>
      <c r="B75" s="7" t="n">
        <v>89</v>
      </c>
      <c r="C75" s="8" t="n">
        <v>8.07</v>
      </c>
      <c r="D75" s="7" t="n">
        <v>24</v>
      </c>
      <c r="E75" s="7" t="n">
        <v>16</v>
      </c>
      <c r="F75" s="7" t="n">
        <v>97</v>
      </c>
      <c r="G75" s="4" t="s">
        <v>109</v>
      </c>
    </row>
    <row r="76" customFormat="false" ht="15" hidden="false" customHeight="false" outlineLevel="0" collapsed="false">
      <c r="A76" s="6" t="n">
        <v>44606</v>
      </c>
      <c r="B76" s="7" t="n">
        <v>78</v>
      </c>
      <c r="C76" s="8" t="n">
        <v>6.7</v>
      </c>
      <c r="D76" s="7" t="n">
        <v>17</v>
      </c>
      <c r="E76" s="7" t="n">
        <v>19</v>
      </c>
      <c r="F76" s="7" t="n">
        <v>52</v>
      </c>
      <c r="G76" s="4" t="s">
        <v>110</v>
      </c>
    </row>
    <row r="77" customFormat="false" ht="15" hidden="false" customHeight="false" outlineLevel="0" collapsed="false">
      <c r="A77" s="6" t="n">
        <v>44607</v>
      </c>
      <c r="B77" s="7" t="n">
        <v>81</v>
      </c>
      <c r="C77" s="8" t="n">
        <v>7.12</v>
      </c>
      <c r="D77" s="7" t="n">
        <v>15</v>
      </c>
      <c r="E77" s="7" t="n">
        <v>20</v>
      </c>
      <c r="F77" s="7" t="n">
        <v>98</v>
      </c>
      <c r="G77" s="4" t="s">
        <v>111</v>
      </c>
    </row>
    <row r="78" customFormat="false" ht="15" hidden="false" customHeight="false" outlineLevel="0" collapsed="false">
      <c r="A78" s="6" t="n">
        <v>44608</v>
      </c>
      <c r="B78" s="7" t="n">
        <v>85</v>
      </c>
      <c r="C78" s="8" t="n">
        <v>6.82</v>
      </c>
      <c r="D78" s="7" t="n">
        <v>18</v>
      </c>
      <c r="E78" s="7" t="n">
        <v>15</v>
      </c>
      <c r="F78" s="7" t="n">
        <v>98</v>
      </c>
      <c r="G78" s="4" t="s">
        <v>112</v>
      </c>
    </row>
    <row r="79" customFormat="false" ht="15" hidden="false" customHeight="false" outlineLevel="0" collapsed="false">
      <c r="A79" s="6" t="n">
        <v>44609</v>
      </c>
      <c r="B79" s="7" t="n">
        <v>89</v>
      </c>
      <c r="C79" s="8" t="n">
        <v>8.02</v>
      </c>
      <c r="D79" s="7" t="n">
        <v>22</v>
      </c>
      <c r="E79" s="7" t="n">
        <v>14</v>
      </c>
      <c r="F79" s="7" t="n">
        <v>89</v>
      </c>
      <c r="G79" s="4" t="s">
        <v>113</v>
      </c>
    </row>
    <row r="80" customFormat="false" ht="15" hidden="false" customHeight="false" outlineLevel="0" collapsed="false">
      <c r="A80" s="6" t="n">
        <v>44610</v>
      </c>
      <c r="B80" s="7" t="n">
        <v>80</v>
      </c>
      <c r="C80" s="8" t="n">
        <v>6.9</v>
      </c>
      <c r="D80" s="7" t="n">
        <v>13</v>
      </c>
      <c r="E80" s="7" t="n">
        <v>15</v>
      </c>
      <c r="F80" s="7" t="n">
        <v>77</v>
      </c>
      <c r="G80" s="4" t="s">
        <v>114</v>
      </c>
    </row>
    <row r="81" customFormat="false" ht="15" hidden="false" customHeight="false" outlineLevel="0" collapsed="false">
      <c r="A81" s="6" t="n">
        <v>44611</v>
      </c>
      <c r="B81" s="7" t="n">
        <v>88</v>
      </c>
      <c r="C81" s="8" t="n">
        <v>8.3</v>
      </c>
      <c r="D81" s="7" t="n">
        <v>23</v>
      </c>
      <c r="E81" s="7" t="n">
        <v>20</v>
      </c>
      <c r="F81" s="7" t="n">
        <v>71</v>
      </c>
      <c r="G81" s="4" t="s">
        <v>115</v>
      </c>
    </row>
    <row r="82" customFormat="false" ht="15" hidden="false" customHeight="false" outlineLevel="0" collapsed="false">
      <c r="A82" s="6" t="n">
        <v>44612</v>
      </c>
      <c r="B82" s="7" t="n">
        <v>85</v>
      </c>
      <c r="C82" s="8" t="n">
        <v>8.07</v>
      </c>
      <c r="D82" s="7" t="n">
        <v>17</v>
      </c>
      <c r="E82" s="7" t="n">
        <v>21</v>
      </c>
      <c r="F82" s="7" t="n">
        <v>76</v>
      </c>
      <c r="G82" s="4" t="s">
        <v>116</v>
      </c>
    </row>
    <row r="83" customFormat="false" ht="15" hidden="false" customHeight="false" outlineLevel="0" collapsed="false">
      <c r="A83" s="6" t="n">
        <v>44613</v>
      </c>
      <c r="B83" s="7" t="n">
        <v>83</v>
      </c>
      <c r="C83" s="8" t="n">
        <v>8.2</v>
      </c>
      <c r="D83" s="7" t="n">
        <v>22</v>
      </c>
      <c r="E83" s="7" t="n">
        <v>13</v>
      </c>
      <c r="F83" s="7" t="n">
        <v>40</v>
      </c>
      <c r="G83" s="4" t="s">
        <v>117</v>
      </c>
    </row>
    <row r="84" customFormat="false" ht="15" hidden="false" customHeight="false" outlineLevel="0" collapsed="false">
      <c r="A84" s="6" t="n">
        <v>44614</v>
      </c>
      <c r="B84" s="7" t="n">
        <v>89</v>
      </c>
      <c r="C84" s="8" t="n">
        <v>7.82</v>
      </c>
      <c r="D84" s="7" t="n">
        <v>20</v>
      </c>
      <c r="E84" s="7" t="n">
        <v>17</v>
      </c>
      <c r="F84" s="7" t="n">
        <v>96</v>
      </c>
      <c r="G84" s="4" t="s">
        <v>118</v>
      </c>
    </row>
    <row r="85" customFormat="false" ht="15" hidden="false" customHeight="false" outlineLevel="0" collapsed="false">
      <c r="A85" s="6" t="n">
        <v>44615</v>
      </c>
      <c r="B85" s="7" t="n">
        <v>81</v>
      </c>
      <c r="C85" s="8" t="n">
        <v>7.27</v>
      </c>
      <c r="D85" s="7" t="n">
        <v>19</v>
      </c>
      <c r="E85" s="7" t="n">
        <v>16</v>
      </c>
      <c r="F85" s="7" t="n">
        <v>96</v>
      </c>
      <c r="G85" s="4" t="s">
        <v>119</v>
      </c>
    </row>
    <row r="86" customFormat="false" ht="15" hidden="false" customHeight="false" outlineLevel="0" collapsed="false">
      <c r="A86" s="6" t="n">
        <v>44616</v>
      </c>
      <c r="B86" s="7" t="n">
        <v>84</v>
      </c>
      <c r="C86" s="8" t="n">
        <v>7.3</v>
      </c>
      <c r="D86" s="7" t="n">
        <v>19</v>
      </c>
      <c r="E86" s="7" t="n">
        <v>19</v>
      </c>
      <c r="F86" s="7" t="n">
        <v>96</v>
      </c>
      <c r="G86" s="4" t="s">
        <v>120</v>
      </c>
    </row>
    <row r="87" customFormat="false" ht="15" hidden="false" customHeight="false" outlineLevel="0" collapsed="false">
      <c r="A87" s="6" t="n">
        <v>44617</v>
      </c>
      <c r="B87" s="7" t="n">
        <v>90</v>
      </c>
      <c r="C87" s="8" t="n">
        <v>7.77</v>
      </c>
      <c r="D87" s="7" t="n">
        <v>20</v>
      </c>
      <c r="E87" s="7" t="n">
        <v>21</v>
      </c>
      <c r="F87" s="7" t="n">
        <v>98</v>
      </c>
      <c r="G87" s="4" t="s">
        <v>121</v>
      </c>
    </row>
    <row r="88" customFormat="false" ht="15" hidden="false" customHeight="false" outlineLevel="0" collapsed="false">
      <c r="A88" s="6" t="n">
        <v>44618</v>
      </c>
      <c r="B88" s="7" t="n">
        <v>82</v>
      </c>
      <c r="C88" s="8" t="n">
        <v>8.03</v>
      </c>
      <c r="D88" s="7" t="n">
        <v>16</v>
      </c>
      <c r="E88" s="7" t="n">
        <v>16</v>
      </c>
      <c r="F88" s="7" t="n">
        <v>57</v>
      </c>
      <c r="G88" s="4" t="s">
        <v>122</v>
      </c>
    </row>
    <row r="89" customFormat="false" ht="15" hidden="false" customHeight="false" outlineLevel="0" collapsed="false">
      <c r="A89" s="6" t="n">
        <v>44619</v>
      </c>
      <c r="B89" s="7" t="n">
        <v>85</v>
      </c>
      <c r="C89" s="8" t="n">
        <v>8.9</v>
      </c>
      <c r="D89" s="7" t="n">
        <v>18</v>
      </c>
      <c r="E89" s="7" t="n">
        <v>17</v>
      </c>
      <c r="F89" s="7" t="n">
        <v>81</v>
      </c>
      <c r="G89" s="4" t="s">
        <v>123</v>
      </c>
    </row>
    <row r="90" customFormat="false" ht="15" hidden="false" customHeight="false" outlineLevel="0" collapsed="false">
      <c r="A90" s="6" t="n">
        <v>44620</v>
      </c>
      <c r="B90" s="7" t="n">
        <v>82</v>
      </c>
      <c r="C90" s="8" t="n">
        <v>7.95</v>
      </c>
      <c r="D90" s="7" t="n">
        <v>19</v>
      </c>
      <c r="E90" s="7" t="n">
        <v>13</v>
      </c>
      <c r="F90" s="7" t="n">
        <v>54</v>
      </c>
      <c r="G90" s="4" t="s">
        <v>124</v>
      </c>
    </row>
    <row r="91" customFormat="false" ht="15" hidden="false" customHeight="false" outlineLevel="0" collapsed="false">
      <c r="A91" s="6" t="n">
        <v>44562</v>
      </c>
      <c r="B91" s="7" t="n">
        <v>63</v>
      </c>
      <c r="C91" s="8" t="n">
        <v>4.22</v>
      </c>
      <c r="D91" s="7" t="n">
        <v>15</v>
      </c>
      <c r="E91" s="7" t="n">
        <v>18</v>
      </c>
      <c r="F91" s="7" t="n">
        <v>0</v>
      </c>
      <c r="G91" s="4" t="s">
        <v>125</v>
      </c>
    </row>
    <row r="92" customFormat="false" ht="15" hidden="false" customHeight="false" outlineLevel="0" collapsed="false">
      <c r="A92" s="6" t="n">
        <v>44563</v>
      </c>
      <c r="B92" s="7" t="n">
        <v>90</v>
      </c>
      <c r="C92" s="8" t="n">
        <v>8.15</v>
      </c>
      <c r="D92" s="7" t="n">
        <v>22</v>
      </c>
      <c r="E92" s="7" t="n">
        <v>18</v>
      </c>
      <c r="F92" s="7" t="n">
        <v>92</v>
      </c>
      <c r="G92" s="4" t="s">
        <v>126</v>
      </c>
    </row>
    <row r="93" customFormat="false" ht="15" hidden="false" customHeight="false" outlineLevel="0" collapsed="false">
      <c r="A93" s="6" t="n">
        <v>44564</v>
      </c>
      <c r="B93" s="7" t="n">
        <v>83</v>
      </c>
      <c r="C93" s="8" t="n">
        <v>7.45</v>
      </c>
      <c r="D93" s="7" t="n">
        <v>16</v>
      </c>
      <c r="E93" s="7" t="n">
        <v>13</v>
      </c>
      <c r="F93" s="7" t="n">
        <v>96</v>
      </c>
      <c r="G93" s="4" t="s">
        <v>127</v>
      </c>
    </row>
    <row r="94" customFormat="false" ht="15" hidden="false" customHeight="false" outlineLevel="0" collapsed="false">
      <c r="A94" s="6" t="n">
        <v>44565</v>
      </c>
      <c r="B94" s="7" t="n">
        <v>90</v>
      </c>
      <c r="C94" s="8" t="n">
        <v>7.42</v>
      </c>
      <c r="D94" s="7" t="n">
        <v>19</v>
      </c>
      <c r="E94" s="7" t="n">
        <v>21</v>
      </c>
      <c r="F94" s="7" t="n">
        <v>99</v>
      </c>
      <c r="G94" s="4" t="s">
        <v>128</v>
      </c>
    </row>
    <row r="95" customFormat="false" ht="15" hidden="false" customHeight="false" outlineLevel="0" collapsed="false">
      <c r="A95" s="6" t="n">
        <v>44566</v>
      </c>
      <c r="B95" s="7" t="n">
        <v>81</v>
      </c>
      <c r="C95" s="8" t="n">
        <v>7.17</v>
      </c>
      <c r="D95" s="7" t="n">
        <v>18</v>
      </c>
      <c r="E95" s="7" t="n">
        <v>15</v>
      </c>
      <c r="F95" s="7" t="n">
        <v>89</v>
      </c>
      <c r="G95" s="4" t="s">
        <v>129</v>
      </c>
    </row>
    <row r="96" customFormat="false" ht="15" hidden="false" customHeight="false" outlineLevel="0" collapsed="false">
      <c r="A96" s="6" t="n">
        <v>44567</v>
      </c>
      <c r="B96" s="7" t="n">
        <v>82</v>
      </c>
      <c r="C96" s="8" t="n">
        <v>6.77</v>
      </c>
      <c r="D96" s="7" t="n">
        <v>14</v>
      </c>
      <c r="E96" s="7" t="n">
        <v>16</v>
      </c>
      <c r="F96" s="7" t="n">
        <v>96</v>
      </c>
      <c r="G96" s="4" t="s">
        <v>130</v>
      </c>
    </row>
    <row r="97" customFormat="false" ht="15" hidden="false" customHeight="false" outlineLevel="0" collapsed="false">
      <c r="A97" s="6" t="n">
        <v>44568</v>
      </c>
      <c r="B97" s="7" t="n">
        <v>84</v>
      </c>
      <c r="C97" s="8" t="n">
        <v>6.8</v>
      </c>
      <c r="D97" s="7" t="n">
        <v>19</v>
      </c>
      <c r="E97" s="7" t="n">
        <v>21</v>
      </c>
      <c r="F97" s="7" t="n">
        <v>96</v>
      </c>
      <c r="G97" s="4" t="s">
        <v>131</v>
      </c>
    </row>
    <row r="98" customFormat="false" ht="15" hidden="false" customHeight="false" outlineLevel="0" collapsed="false">
      <c r="A98" s="6" t="n">
        <v>44569</v>
      </c>
      <c r="B98" s="7" t="n">
        <v>83</v>
      </c>
      <c r="C98" s="8" t="n">
        <v>7.62</v>
      </c>
      <c r="D98" s="7" t="n">
        <v>12</v>
      </c>
      <c r="E98" s="7" t="n">
        <v>17</v>
      </c>
      <c r="F98" s="7" t="n">
        <v>98</v>
      </c>
      <c r="G98" s="4" t="s">
        <v>132</v>
      </c>
    </row>
    <row r="99" customFormat="false" ht="15" hidden="false" customHeight="false" outlineLevel="0" collapsed="false">
      <c r="A99" s="6" t="n">
        <v>44570</v>
      </c>
      <c r="B99" s="7" t="n">
        <v>87</v>
      </c>
      <c r="C99" s="8" t="n">
        <v>7.78</v>
      </c>
      <c r="D99" s="7" t="n">
        <v>20</v>
      </c>
      <c r="E99" s="7" t="n">
        <v>12</v>
      </c>
      <c r="F99" s="7" t="n">
        <v>98</v>
      </c>
      <c r="G99" s="4" t="s">
        <v>133</v>
      </c>
    </row>
    <row r="100" customFormat="false" ht="15" hidden="false" customHeight="false" outlineLevel="0" collapsed="false">
      <c r="A100" s="6" t="n">
        <v>44571</v>
      </c>
      <c r="B100" s="7" t="n">
        <v>91</v>
      </c>
      <c r="C100" s="8" t="n">
        <v>7.43</v>
      </c>
      <c r="D100" s="7" t="n">
        <v>23</v>
      </c>
      <c r="E100" s="7" t="n">
        <v>18</v>
      </c>
      <c r="F100" s="7" t="n">
        <v>96</v>
      </c>
      <c r="G100" s="4" t="s">
        <v>134</v>
      </c>
    </row>
    <row r="101" customFormat="false" ht="15" hidden="false" customHeight="false" outlineLevel="0" collapsed="false">
      <c r="A101" s="6" t="n">
        <v>44572</v>
      </c>
      <c r="B101" s="7" t="n">
        <v>85</v>
      </c>
      <c r="C101" s="8" t="n">
        <v>6.98</v>
      </c>
      <c r="D101" s="7" t="n">
        <v>31</v>
      </c>
      <c r="E101" s="7" t="n">
        <v>24</v>
      </c>
      <c r="F101" s="7" t="n">
        <v>71</v>
      </c>
      <c r="G101" s="4" t="s">
        <v>135</v>
      </c>
    </row>
    <row r="102" customFormat="false" ht="15" hidden="false" customHeight="false" outlineLevel="0" collapsed="false">
      <c r="A102" s="6" t="n">
        <v>44573</v>
      </c>
      <c r="B102" s="7" t="n">
        <v>91</v>
      </c>
      <c r="C102" s="8" t="n">
        <v>8.13</v>
      </c>
      <c r="D102" s="7" t="n">
        <v>27</v>
      </c>
      <c r="E102" s="7" t="n">
        <v>16</v>
      </c>
      <c r="F102" s="7" t="n">
        <v>98</v>
      </c>
      <c r="G102" s="4" t="s">
        <v>136</v>
      </c>
    </row>
    <row r="103" customFormat="false" ht="15" hidden="false" customHeight="false" outlineLevel="0" collapsed="false">
      <c r="A103" s="6" t="n">
        <v>44574</v>
      </c>
      <c r="B103" s="7" t="n">
        <v>90</v>
      </c>
      <c r="C103" s="8" t="n">
        <v>7.53</v>
      </c>
      <c r="D103" s="7" t="n">
        <v>24</v>
      </c>
      <c r="E103" s="7" t="n">
        <v>19</v>
      </c>
      <c r="F103" s="7" t="n">
        <v>93</v>
      </c>
      <c r="G103" s="4" t="s">
        <v>137</v>
      </c>
    </row>
    <row r="104" customFormat="false" ht="15" hidden="false" customHeight="false" outlineLevel="0" collapsed="false">
      <c r="A104" s="6" t="n">
        <v>44575</v>
      </c>
      <c r="B104" s="7" t="n">
        <v>84</v>
      </c>
      <c r="C104" s="8" t="n">
        <v>7.17</v>
      </c>
      <c r="D104" s="7" t="n">
        <v>25</v>
      </c>
      <c r="E104" s="7" t="n">
        <v>17</v>
      </c>
      <c r="F104" s="7" t="n">
        <v>86</v>
      </c>
      <c r="G104" s="4" t="s">
        <v>138</v>
      </c>
    </row>
    <row r="105" customFormat="false" ht="15" hidden="false" customHeight="false" outlineLevel="0" collapsed="false">
      <c r="A105" s="6" t="n">
        <v>44576</v>
      </c>
      <c r="B105" s="7" t="n">
        <v>83</v>
      </c>
      <c r="C105" s="8" t="n">
        <v>7.23</v>
      </c>
      <c r="D105" s="7" t="n">
        <v>23</v>
      </c>
      <c r="E105" s="7" t="n">
        <v>18</v>
      </c>
      <c r="F105" s="7" t="n">
        <v>68</v>
      </c>
      <c r="G105" s="4" t="s">
        <v>139</v>
      </c>
    </row>
    <row r="106" customFormat="false" ht="15" hidden="false" customHeight="false" outlineLevel="0" collapsed="false">
      <c r="A106" s="6" t="n">
        <v>44577</v>
      </c>
      <c r="B106" s="7" t="n">
        <v>87</v>
      </c>
      <c r="C106" s="8" t="n">
        <v>7.43</v>
      </c>
      <c r="D106" s="7" t="n">
        <v>19</v>
      </c>
      <c r="E106" s="7" t="n">
        <v>15</v>
      </c>
      <c r="F106" s="7" t="n">
        <v>86</v>
      </c>
      <c r="G106" s="4" t="s">
        <v>140</v>
      </c>
    </row>
    <row r="107" customFormat="false" ht="15" hidden="false" customHeight="false" outlineLevel="0" collapsed="false">
      <c r="A107" s="6" t="n">
        <v>44578</v>
      </c>
      <c r="B107" s="7" t="n">
        <v>85</v>
      </c>
      <c r="C107" s="8" t="n">
        <v>8.08</v>
      </c>
      <c r="D107" s="7" t="n">
        <v>24</v>
      </c>
      <c r="E107" s="7" t="n">
        <v>15</v>
      </c>
      <c r="F107" s="7" t="n">
        <v>58</v>
      </c>
      <c r="G107" s="4" t="s">
        <v>141</v>
      </c>
    </row>
    <row r="108" customFormat="false" ht="15" hidden="false" customHeight="false" outlineLevel="0" collapsed="false">
      <c r="A108" s="6" t="n">
        <v>44579</v>
      </c>
      <c r="B108" s="7" t="n">
        <v>82</v>
      </c>
      <c r="C108" s="8" t="n">
        <v>7.2</v>
      </c>
      <c r="D108" s="7" t="n">
        <v>21</v>
      </c>
      <c r="E108" s="7" t="n">
        <v>19</v>
      </c>
      <c r="F108" s="7" t="n">
        <v>72</v>
      </c>
      <c r="G108" s="4" t="s">
        <v>142</v>
      </c>
    </row>
    <row r="109" customFormat="false" ht="15" hidden="false" customHeight="false" outlineLevel="0" collapsed="false">
      <c r="A109" s="6" t="n">
        <v>44580</v>
      </c>
      <c r="B109" s="7" t="n">
        <v>88</v>
      </c>
      <c r="C109" s="8" t="n">
        <v>7.93</v>
      </c>
      <c r="D109" s="7" t="n">
        <v>17</v>
      </c>
      <c r="E109" s="7" t="n">
        <v>16</v>
      </c>
      <c r="F109" s="7" t="n">
        <v>97</v>
      </c>
      <c r="G109" s="4" t="s">
        <v>143</v>
      </c>
    </row>
    <row r="110" customFormat="false" ht="15" hidden="false" customHeight="false" outlineLevel="0" collapsed="false">
      <c r="A110" s="6" t="n">
        <v>44581</v>
      </c>
      <c r="B110" s="7" t="n">
        <v>91</v>
      </c>
      <c r="C110" s="8" t="n">
        <v>8.7</v>
      </c>
      <c r="D110" s="7" t="n">
        <v>21</v>
      </c>
      <c r="E110" s="7" t="n">
        <v>14</v>
      </c>
      <c r="F110" s="7" t="n">
        <v>94</v>
      </c>
      <c r="G110" s="4" t="s">
        <v>144</v>
      </c>
    </row>
    <row r="111" customFormat="false" ht="15" hidden="false" customHeight="false" outlineLevel="0" collapsed="false">
      <c r="A111" s="6" t="n">
        <v>44582</v>
      </c>
      <c r="B111" s="7" t="n">
        <v>84</v>
      </c>
      <c r="C111" s="8" t="n">
        <v>6.47</v>
      </c>
      <c r="D111" s="7" t="n">
        <v>21</v>
      </c>
      <c r="E111" s="7" t="n">
        <v>15</v>
      </c>
      <c r="F111" s="7" t="n">
        <v>96</v>
      </c>
      <c r="G111" s="4" t="s">
        <v>145</v>
      </c>
    </row>
    <row r="112" customFormat="false" ht="15" hidden="false" customHeight="false" outlineLevel="0" collapsed="false">
      <c r="A112" s="6" t="n">
        <v>44583</v>
      </c>
      <c r="B112" s="7" t="n">
        <v>85</v>
      </c>
      <c r="C112" s="8" t="n">
        <v>8.07</v>
      </c>
      <c r="D112" s="7" t="n">
        <v>22</v>
      </c>
      <c r="E112" s="7" t="n">
        <v>17</v>
      </c>
      <c r="F112" s="7" t="n">
        <v>57</v>
      </c>
      <c r="G112" s="4" t="s">
        <v>146</v>
      </c>
    </row>
    <row r="113" customFormat="false" ht="15" hidden="false" customHeight="false" outlineLevel="0" collapsed="false">
      <c r="A113" s="6" t="n">
        <v>44584</v>
      </c>
      <c r="B113" s="7" t="n">
        <v>87</v>
      </c>
      <c r="C113" s="8" t="n">
        <v>8.07</v>
      </c>
      <c r="D113" s="7" t="n">
        <v>26</v>
      </c>
      <c r="E113" s="7" t="n">
        <v>23</v>
      </c>
      <c r="F113" s="7" t="n">
        <v>54</v>
      </c>
      <c r="G113" s="4" t="s">
        <v>147</v>
      </c>
    </row>
    <row r="114" customFormat="false" ht="15" hidden="false" customHeight="false" outlineLevel="0" collapsed="false">
      <c r="A114" s="6" t="n">
        <v>44585</v>
      </c>
      <c r="B114" s="7" t="n">
        <v>88</v>
      </c>
      <c r="C114" s="8" t="n">
        <v>7.75</v>
      </c>
      <c r="D114" s="7" t="n">
        <v>22</v>
      </c>
      <c r="E114" s="7" t="n">
        <v>18</v>
      </c>
      <c r="F114" s="7" t="n">
        <v>95</v>
      </c>
      <c r="G114" s="4" t="s">
        <v>148</v>
      </c>
    </row>
    <row r="115" customFormat="false" ht="15" hidden="false" customHeight="false" outlineLevel="0" collapsed="false">
      <c r="A115" s="6" t="n">
        <v>44586</v>
      </c>
      <c r="B115" s="7" t="n">
        <v>86</v>
      </c>
      <c r="C115" s="8" t="n">
        <v>7.65</v>
      </c>
      <c r="D115" s="7" t="n">
        <v>20</v>
      </c>
      <c r="E115" s="7" t="n">
        <v>19</v>
      </c>
      <c r="F115" s="7" t="n">
        <v>74</v>
      </c>
      <c r="G115" s="4" t="s">
        <v>149</v>
      </c>
    </row>
    <row r="116" customFormat="false" ht="15" hidden="false" customHeight="false" outlineLevel="0" collapsed="false">
      <c r="A116" s="6" t="n">
        <v>44587</v>
      </c>
      <c r="B116" s="7" t="n">
        <v>86</v>
      </c>
      <c r="C116" s="8" t="n">
        <v>7.15</v>
      </c>
      <c r="D116" s="7" t="n">
        <v>25</v>
      </c>
      <c r="E116" s="7" t="n">
        <v>16</v>
      </c>
      <c r="F116" s="7" t="n">
        <v>97</v>
      </c>
      <c r="G116" s="4" t="s">
        <v>150</v>
      </c>
    </row>
    <row r="117" customFormat="false" ht="15" hidden="false" customHeight="false" outlineLevel="0" collapsed="false">
      <c r="A117" s="6" t="n">
        <v>44588</v>
      </c>
      <c r="B117" s="7" t="n">
        <v>88</v>
      </c>
      <c r="C117" s="8" t="n">
        <v>6.87</v>
      </c>
      <c r="D117" s="7" t="n">
        <v>26</v>
      </c>
      <c r="E117" s="7" t="n">
        <v>24</v>
      </c>
      <c r="F117" s="7" t="n">
        <v>96</v>
      </c>
      <c r="G117" s="4" t="s">
        <v>151</v>
      </c>
    </row>
    <row r="118" customFormat="false" ht="15" hidden="false" customHeight="false" outlineLevel="0" collapsed="false">
      <c r="A118" s="6" t="n">
        <v>44589</v>
      </c>
      <c r="B118" s="7" t="n">
        <v>91</v>
      </c>
      <c r="C118" s="8" t="n">
        <v>7.7</v>
      </c>
      <c r="D118" s="7" t="n">
        <v>20</v>
      </c>
      <c r="E118" s="7" t="n">
        <v>18</v>
      </c>
      <c r="F118" s="7" t="n">
        <v>92</v>
      </c>
      <c r="G118" s="4" t="s">
        <v>152</v>
      </c>
    </row>
    <row r="119" customFormat="false" ht="15" hidden="false" customHeight="false" outlineLevel="0" collapsed="false">
      <c r="A119" s="6" t="n">
        <v>44590</v>
      </c>
      <c r="B119" s="7" t="n">
        <v>87</v>
      </c>
      <c r="C119" s="8" t="n">
        <v>7.62</v>
      </c>
      <c r="D119" s="7" t="n">
        <v>22</v>
      </c>
      <c r="E119" s="7" t="n">
        <v>20</v>
      </c>
      <c r="F119" s="7" t="n">
        <v>57</v>
      </c>
      <c r="G119" s="4" t="s">
        <v>153</v>
      </c>
    </row>
    <row r="120" customFormat="false" ht="15" hidden="false" customHeight="false" outlineLevel="0" collapsed="false">
      <c r="A120" s="6" t="n">
        <v>44591</v>
      </c>
      <c r="B120" s="7" t="n">
        <v>80</v>
      </c>
      <c r="C120" s="8" t="n">
        <v>8.45</v>
      </c>
      <c r="D120" s="7" t="n">
        <v>12</v>
      </c>
      <c r="E120" s="7" t="n">
        <v>12</v>
      </c>
      <c r="F120" s="7" t="n">
        <v>71</v>
      </c>
      <c r="G120" s="4" t="s">
        <v>154</v>
      </c>
    </row>
    <row r="121" customFormat="false" ht="15" hidden="false" customHeight="false" outlineLevel="0" collapsed="false">
      <c r="A121" s="6" t="n">
        <v>44592</v>
      </c>
      <c r="B121" s="7" t="n">
        <v>82</v>
      </c>
      <c r="C121" s="8" t="n">
        <v>7.35</v>
      </c>
      <c r="D121" s="7" t="n">
        <v>16</v>
      </c>
      <c r="E121" s="7" t="n">
        <v>15</v>
      </c>
      <c r="F121" s="7" t="n">
        <v>59</v>
      </c>
      <c r="G121" s="4" t="s">
        <v>155</v>
      </c>
    </row>
    <row r="122" customFormat="false" ht="15" hidden="false" customHeight="false" outlineLevel="0" collapsed="false">
      <c r="A122" s="6" t="n">
        <v>44621</v>
      </c>
      <c r="B122" s="7" t="n">
        <v>81</v>
      </c>
      <c r="C122" s="8" t="n">
        <v>6.78</v>
      </c>
      <c r="D122" s="7" t="n">
        <v>19</v>
      </c>
      <c r="E122" s="7" t="n">
        <v>15</v>
      </c>
      <c r="F122" s="7" t="n">
        <v>91</v>
      </c>
      <c r="G122" s="4" t="s">
        <v>156</v>
      </c>
    </row>
    <row r="123" customFormat="false" ht="15" hidden="false" customHeight="false" outlineLevel="0" collapsed="false">
      <c r="A123" s="6" t="n">
        <v>44622</v>
      </c>
      <c r="B123" s="7" t="n">
        <v>86</v>
      </c>
      <c r="C123" s="8" t="n">
        <v>7.6</v>
      </c>
      <c r="D123" s="7" t="n">
        <v>14</v>
      </c>
      <c r="E123" s="7" t="n">
        <v>17</v>
      </c>
      <c r="F123" s="7" t="n">
        <v>97</v>
      </c>
      <c r="G123" s="4" t="s">
        <v>157</v>
      </c>
    </row>
    <row r="124" customFormat="false" ht="15" hidden="false" customHeight="false" outlineLevel="0" collapsed="false">
      <c r="A124" s="6" t="n">
        <v>44623</v>
      </c>
      <c r="B124" s="7" t="n">
        <v>83</v>
      </c>
      <c r="C124" s="8" t="n">
        <v>7.98</v>
      </c>
      <c r="D124" s="7" t="n">
        <v>20</v>
      </c>
      <c r="E124" s="7" t="n">
        <v>13</v>
      </c>
      <c r="F124" s="7" t="n">
        <v>44</v>
      </c>
      <c r="G124" s="4" t="s">
        <v>158</v>
      </c>
    </row>
    <row r="125" customFormat="false" ht="15" hidden="false" customHeight="false" outlineLevel="0" collapsed="false">
      <c r="A125" s="6" t="n">
        <v>44624</v>
      </c>
      <c r="B125" s="7" t="n">
        <v>84</v>
      </c>
      <c r="C125" s="8" t="n">
        <v>8.48</v>
      </c>
      <c r="D125" s="7" t="n">
        <v>18</v>
      </c>
      <c r="E125" s="7" t="n">
        <v>13</v>
      </c>
      <c r="F125" s="7" t="n">
        <v>99</v>
      </c>
      <c r="G125" s="4" t="s">
        <v>159</v>
      </c>
    </row>
    <row r="126" customFormat="false" ht="15" hidden="false" customHeight="false" outlineLevel="0" collapsed="false">
      <c r="A126" s="6" t="n">
        <v>44625</v>
      </c>
      <c r="B126" s="7" t="n">
        <v>87</v>
      </c>
      <c r="C126" s="8" t="n">
        <v>8.5</v>
      </c>
      <c r="D126" s="7" t="n">
        <v>20</v>
      </c>
      <c r="E126" s="7" t="n">
        <v>19</v>
      </c>
      <c r="F126" s="7" t="n">
        <v>72</v>
      </c>
      <c r="G126" s="4" t="s">
        <v>160</v>
      </c>
    </row>
    <row r="127" customFormat="false" ht="15" hidden="false" customHeight="false" outlineLevel="0" collapsed="false">
      <c r="A127" s="6" t="n">
        <v>44627</v>
      </c>
      <c r="B127" s="7" t="n">
        <v>86</v>
      </c>
      <c r="C127" s="8" t="n">
        <v>7.48</v>
      </c>
      <c r="D127" s="7" t="n">
        <v>20</v>
      </c>
      <c r="E127" s="7" t="n">
        <v>16</v>
      </c>
      <c r="F127" s="7" t="n">
        <v>69</v>
      </c>
      <c r="G127" s="4" t="s">
        <v>161</v>
      </c>
    </row>
    <row r="128" customFormat="false" ht="15" hidden="false" customHeight="false" outlineLevel="0" collapsed="false">
      <c r="A128" s="6" t="n">
        <v>44628</v>
      </c>
      <c r="B128" s="7" t="n">
        <v>71</v>
      </c>
      <c r="C128" s="8" t="n">
        <v>5.7</v>
      </c>
      <c r="D128" s="7" t="n">
        <v>13</v>
      </c>
      <c r="E128" s="7" t="n">
        <v>0</v>
      </c>
      <c r="F128" s="7" t="n">
        <v>59</v>
      </c>
      <c r="G128" s="4" t="s">
        <v>162</v>
      </c>
    </row>
    <row r="129" customFormat="false" ht="15" hidden="false" customHeight="false" outlineLevel="0" collapsed="false">
      <c r="A129" s="6" t="n">
        <v>44629</v>
      </c>
      <c r="B129" s="7" t="n">
        <v>82</v>
      </c>
      <c r="C129" s="8" t="n">
        <v>8.37</v>
      </c>
      <c r="D129" s="7" t="n">
        <v>15</v>
      </c>
      <c r="E129" s="7" t="n">
        <v>16</v>
      </c>
      <c r="F129" s="7" t="n">
        <v>43</v>
      </c>
      <c r="G129" s="4" t="s">
        <v>163</v>
      </c>
    </row>
    <row r="130" customFormat="false" ht="15" hidden="false" customHeight="false" outlineLevel="0" collapsed="false">
      <c r="A130" s="6" t="n">
        <v>44630</v>
      </c>
      <c r="B130" s="7" t="n">
        <v>87</v>
      </c>
      <c r="C130" s="8" t="n">
        <v>7.98</v>
      </c>
      <c r="D130" s="7" t="n">
        <v>17</v>
      </c>
      <c r="E130" s="7" t="n">
        <v>19</v>
      </c>
      <c r="F130" s="7" t="n">
        <v>92</v>
      </c>
      <c r="G130" s="4" t="s">
        <v>164</v>
      </c>
    </row>
    <row r="131" customFormat="false" ht="15" hidden="false" customHeight="false" outlineLevel="0" collapsed="false">
      <c r="A131" s="6" t="n">
        <v>44631</v>
      </c>
      <c r="B131" s="7" t="n">
        <v>84</v>
      </c>
      <c r="C131" s="8" t="n">
        <v>8.22</v>
      </c>
      <c r="D131" s="7" t="n">
        <v>12</v>
      </c>
      <c r="E131" s="7" t="n">
        <v>17</v>
      </c>
      <c r="F131" s="7" t="n">
        <v>84</v>
      </c>
      <c r="G131" s="4" t="s">
        <v>165</v>
      </c>
    </row>
    <row r="132" customFormat="false" ht="15" hidden="false" customHeight="false" outlineLevel="0" collapsed="false">
      <c r="A132" s="6" t="n">
        <v>44632</v>
      </c>
      <c r="B132" s="7" t="n">
        <v>84</v>
      </c>
      <c r="C132" s="8" t="n">
        <v>7.62</v>
      </c>
      <c r="D132" s="7" t="n">
        <v>18</v>
      </c>
      <c r="E132" s="7" t="n">
        <v>20</v>
      </c>
      <c r="F132" s="7" t="n">
        <v>36</v>
      </c>
      <c r="G132" s="4" t="s">
        <v>166</v>
      </c>
    </row>
    <row r="133" customFormat="false" ht="15" hidden="false" customHeight="false" outlineLevel="0" collapsed="false">
      <c r="A133" s="6" t="n">
        <v>44633</v>
      </c>
      <c r="B133" s="7" t="n">
        <v>87</v>
      </c>
      <c r="C133" s="8" t="n">
        <v>7.47</v>
      </c>
      <c r="D133" s="7" t="n">
        <v>23</v>
      </c>
      <c r="E133" s="7" t="n">
        <v>21</v>
      </c>
      <c r="F133" s="7" t="n">
        <v>54</v>
      </c>
      <c r="G133" s="4" t="s">
        <v>167</v>
      </c>
    </row>
    <row r="134" customFormat="false" ht="15" hidden="false" customHeight="false" outlineLevel="0" collapsed="false">
      <c r="A134" s="6" t="n">
        <v>44634</v>
      </c>
      <c r="B134" s="7" t="n">
        <v>82</v>
      </c>
      <c r="C134" s="8" t="n">
        <v>7.23</v>
      </c>
      <c r="D134" s="7" t="n">
        <v>17</v>
      </c>
      <c r="E134" s="7" t="n">
        <v>17</v>
      </c>
      <c r="F134" s="7" t="n">
        <v>76</v>
      </c>
      <c r="G134" s="4" t="s">
        <v>168</v>
      </c>
    </row>
    <row r="135" customFormat="false" ht="15" hidden="false" customHeight="false" outlineLevel="0" collapsed="false">
      <c r="A135" s="6" t="n">
        <v>44635</v>
      </c>
      <c r="B135" s="7" t="n">
        <v>89</v>
      </c>
      <c r="C135" s="8" t="n">
        <v>7.55</v>
      </c>
      <c r="D135" s="7" t="n">
        <v>20</v>
      </c>
      <c r="E135" s="7" t="n">
        <v>25</v>
      </c>
      <c r="F135" s="7" t="n">
        <v>87</v>
      </c>
      <c r="G135" s="4" t="s">
        <v>169</v>
      </c>
    </row>
    <row r="136" customFormat="false" ht="15" hidden="false" customHeight="false" outlineLevel="0" collapsed="false">
      <c r="A136" s="6" t="n">
        <v>44636</v>
      </c>
      <c r="B136" s="7" t="n">
        <v>89</v>
      </c>
      <c r="C136" s="8" t="n">
        <v>7.78</v>
      </c>
      <c r="D136" s="7" t="n">
        <v>25</v>
      </c>
      <c r="E136" s="7" t="n">
        <v>16</v>
      </c>
      <c r="F136" s="7" t="n">
        <v>89</v>
      </c>
      <c r="G136" s="4" t="s">
        <v>170</v>
      </c>
    </row>
    <row r="137" customFormat="false" ht="15" hidden="false" customHeight="false" outlineLevel="0" collapsed="false">
      <c r="A137" s="6" t="n">
        <v>44637</v>
      </c>
      <c r="B137" s="7" t="n">
        <v>87</v>
      </c>
      <c r="C137" s="8" t="n">
        <v>8.28</v>
      </c>
      <c r="D137" s="7" t="n">
        <v>22</v>
      </c>
      <c r="E137" s="7" t="n">
        <v>14</v>
      </c>
      <c r="F137" s="7" t="n">
        <v>93</v>
      </c>
      <c r="G137" s="4" t="s">
        <v>171</v>
      </c>
    </row>
    <row r="138" customFormat="false" ht="15" hidden="false" customHeight="false" outlineLevel="0" collapsed="false">
      <c r="A138" s="6" t="n">
        <v>44638</v>
      </c>
      <c r="B138" s="7" t="n">
        <v>79</v>
      </c>
      <c r="C138" s="8" t="n">
        <v>7.2</v>
      </c>
      <c r="D138" s="7" t="n">
        <v>12</v>
      </c>
      <c r="E138" s="7" t="n">
        <v>16</v>
      </c>
      <c r="F138" s="7" t="n">
        <v>80</v>
      </c>
      <c r="G138" s="4" t="s">
        <v>172</v>
      </c>
    </row>
    <row r="139" customFormat="false" ht="15" hidden="false" customHeight="false" outlineLevel="0" collapsed="false">
      <c r="A139" s="6" t="n">
        <v>44640</v>
      </c>
      <c r="B139" s="7" t="n">
        <v>87</v>
      </c>
      <c r="C139" s="8" t="n">
        <v>8.27</v>
      </c>
      <c r="D139" s="7" t="n">
        <v>27</v>
      </c>
      <c r="E139" s="7" t="n">
        <v>18</v>
      </c>
      <c r="F139" s="7" t="n">
        <v>67</v>
      </c>
      <c r="G139" s="4" t="s">
        <v>173</v>
      </c>
    </row>
    <row r="140" customFormat="false" ht="15" hidden="false" customHeight="false" outlineLevel="0" collapsed="false">
      <c r="A140" s="6" t="n">
        <v>44641</v>
      </c>
      <c r="B140" s="7" t="n">
        <v>84</v>
      </c>
      <c r="C140" s="8" t="n">
        <v>8.15</v>
      </c>
      <c r="D140" s="7" t="n">
        <v>15</v>
      </c>
      <c r="E140" s="7" t="n">
        <v>15</v>
      </c>
      <c r="F140" s="7" t="n">
        <v>91</v>
      </c>
      <c r="G140" s="4" t="s">
        <v>174</v>
      </c>
    </row>
    <row r="141" customFormat="false" ht="15" hidden="false" customHeight="false" outlineLevel="0" collapsed="false">
      <c r="A141" s="6" t="n">
        <v>44642</v>
      </c>
      <c r="B141" s="7" t="n">
        <v>86</v>
      </c>
      <c r="C141" s="8" t="n">
        <v>7.12</v>
      </c>
      <c r="D141" s="7" t="n">
        <v>25</v>
      </c>
      <c r="E141" s="7" t="n">
        <v>17</v>
      </c>
      <c r="F141" s="7" t="n">
        <v>97</v>
      </c>
      <c r="G141" s="4" t="s">
        <v>175</v>
      </c>
    </row>
    <row r="142" customFormat="false" ht="15" hidden="false" customHeight="false" outlineLevel="0" collapsed="false">
      <c r="A142" s="6" t="n">
        <v>44643</v>
      </c>
      <c r="B142" s="7" t="n">
        <v>85</v>
      </c>
      <c r="C142" s="8" t="n">
        <v>7.42</v>
      </c>
      <c r="D142" s="7" t="n">
        <v>20</v>
      </c>
      <c r="E142" s="7" t="n">
        <v>21</v>
      </c>
      <c r="F142" s="7" t="n">
        <v>43</v>
      </c>
      <c r="G142" s="4" t="s">
        <v>176</v>
      </c>
    </row>
    <row r="143" customFormat="false" ht="15" hidden="false" customHeight="false" outlineLevel="0" collapsed="false">
      <c r="A143" s="6" t="n">
        <v>44644</v>
      </c>
      <c r="B143" s="7" t="n">
        <v>25</v>
      </c>
      <c r="C143" s="8" t="n">
        <v>7.87</v>
      </c>
      <c r="D143" s="7" t="n">
        <v>21</v>
      </c>
      <c r="E143" s="7" t="n">
        <v>18</v>
      </c>
      <c r="F143" s="7" t="n">
        <v>52</v>
      </c>
      <c r="G143" s="4" t="s">
        <v>177</v>
      </c>
    </row>
    <row r="144" customFormat="false" ht="15" hidden="false" customHeight="false" outlineLevel="0" collapsed="false">
      <c r="A144" s="6" t="n">
        <v>44645</v>
      </c>
      <c r="B144" s="7" t="n">
        <v>81</v>
      </c>
      <c r="C144" s="8" t="n">
        <v>8.17</v>
      </c>
      <c r="D144" s="7" t="n">
        <v>18</v>
      </c>
      <c r="E144" s="7" t="n">
        <v>22</v>
      </c>
      <c r="F144" s="7" t="n">
        <v>10</v>
      </c>
      <c r="G144" s="4" t="s">
        <v>178</v>
      </c>
    </row>
    <row r="145" customFormat="false" ht="15" hidden="false" customHeight="false" outlineLevel="0" collapsed="false">
      <c r="A145" s="6" t="n">
        <v>44646</v>
      </c>
      <c r="B145" s="7" t="n">
        <v>87</v>
      </c>
      <c r="C145" s="8" t="n">
        <v>8.9</v>
      </c>
      <c r="D145" s="7" t="n">
        <v>21</v>
      </c>
      <c r="E145" s="7" t="n">
        <v>11</v>
      </c>
      <c r="F145" s="7" t="n">
        <v>98</v>
      </c>
      <c r="G145" s="4" t="s">
        <v>179</v>
      </c>
    </row>
    <row r="146" customFormat="false" ht="15" hidden="false" customHeight="false" outlineLevel="0" collapsed="false">
      <c r="A146" s="6" t="n">
        <v>44647</v>
      </c>
      <c r="B146" s="7" t="n">
        <v>86</v>
      </c>
      <c r="C146" s="8" t="n">
        <v>7.05</v>
      </c>
      <c r="D146" s="7" t="n">
        <v>20</v>
      </c>
      <c r="E146" s="7" t="n">
        <v>15</v>
      </c>
      <c r="F146" s="7" t="n">
        <v>95</v>
      </c>
      <c r="G146" s="4" t="s">
        <v>180</v>
      </c>
    </row>
    <row r="147" customFormat="false" ht="15" hidden="false" customHeight="false" outlineLevel="0" collapsed="false">
      <c r="A147" s="6" t="n">
        <v>44648</v>
      </c>
      <c r="B147" s="7" t="n">
        <v>80</v>
      </c>
      <c r="C147" s="8" t="n">
        <v>6.55</v>
      </c>
      <c r="D147" s="7" t="n">
        <v>14</v>
      </c>
      <c r="E147" s="7" t="n">
        <v>22</v>
      </c>
      <c r="F147" s="7" t="n">
        <v>95</v>
      </c>
      <c r="G147" s="4" t="s">
        <v>181</v>
      </c>
    </row>
    <row r="148" customFormat="false" ht="15" hidden="false" customHeight="false" outlineLevel="0" collapsed="false">
      <c r="A148" s="6" t="n">
        <v>44649</v>
      </c>
      <c r="B148" s="7" t="n">
        <v>86</v>
      </c>
      <c r="C148" s="8" t="n">
        <v>6.98</v>
      </c>
      <c r="D148" s="7" t="n">
        <v>22</v>
      </c>
      <c r="E148" s="7" t="n">
        <v>23</v>
      </c>
      <c r="F148" s="7" t="n">
        <v>93</v>
      </c>
      <c r="G148" s="4" t="s">
        <v>182</v>
      </c>
    </row>
    <row r="149" customFormat="false" ht="15" hidden="false" customHeight="false" outlineLevel="0" collapsed="false">
      <c r="A149" s="6" t="n">
        <v>44650</v>
      </c>
      <c r="B149" s="7" t="n">
        <v>87</v>
      </c>
      <c r="C149" s="8" t="n">
        <v>6.57</v>
      </c>
      <c r="D149" s="7" t="n">
        <v>20</v>
      </c>
      <c r="E149" s="7" t="n">
        <v>20</v>
      </c>
      <c r="F149" s="7" t="n">
        <v>96</v>
      </c>
      <c r="G149" s="4" t="s">
        <v>183</v>
      </c>
    </row>
    <row r="150" customFormat="false" ht="15" hidden="false" customHeight="false" outlineLevel="0" collapsed="false">
      <c r="A150" s="6" t="n">
        <v>44651</v>
      </c>
      <c r="B150" s="7" t="n">
        <v>91</v>
      </c>
      <c r="C150" s="8" t="n">
        <v>7.63</v>
      </c>
      <c r="D150" s="7" t="n">
        <v>30</v>
      </c>
      <c r="E150" s="7" t="n">
        <v>21</v>
      </c>
      <c r="F150" s="7" t="n">
        <v>92</v>
      </c>
      <c r="G150" s="4" t="s">
        <v>184</v>
      </c>
    </row>
    <row r="151" customFormat="false" ht="15" hidden="false" customHeight="false" outlineLevel="0" collapsed="false">
      <c r="A151" s="6" t="n">
        <v>44501</v>
      </c>
      <c r="B151" s="7" t="n">
        <v>88</v>
      </c>
      <c r="C151" s="8" t="n">
        <v>8.1</v>
      </c>
      <c r="D151" s="7" t="n">
        <v>20</v>
      </c>
      <c r="E151" s="7" t="n">
        <v>13</v>
      </c>
      <c r="F151" s="7" t="n">
        <v>84</v>
      </c>
      <c r="G151" s="4" t="s">
        <v>185</v>
      </c>
    </row>
    <row r="152" customFormat="false" ht="15" hidden="false" customHeight="false" outlineLevel="0" collapsed="false">
      <c r="A152" s="6" t="n">
        <v>44502</v>
      </c>
      <c r="B152" s="7" t="n">
        <v>83</v>
      </c>
      <c r="C152" s="8" t="n">
        <v>7.95</v>
      </c>
      <c r="D152" s="7" t="n">
        <v>12</v>
      </c>
      <c r="E152" s="7" t="n">
        <v>18</v>
      </c>
      <c r="F152" s="7" t="n">
        <v>90</v>
      </c>
      <c r="G152" s="4" t="s">
        <v>186</v>
      </c>
    </row>
    <row r="153" customFormat="false" ht="15" hidden="false" customHeight="false" outlineLevel="0" collapsed="false">
      <c r="A153" s="6" t="n">
        <v>44503</v>
      </c>
      <c r="B153" s="7" t="n">
        <v>81</v>
      </c>
      <c r="C153" s="8" t="n">
        <v>7.1</v>
      </c>
      <c r="D153" s="7" t="n">
        <v>13</v>
      </c>
      <c r="E153" s="7" t="n">
        <v>22</v>
      </c>
      <c r="F153" s="7" t="n">
        <v>93</v>
      </c>
      <c r="G153" s="4" t="s">
        <v>187</v>
      </c>
    </row>
    <row r="154" customFormat="false" ht="15" hidden="false" customHeight="false" outlineLevel="0" collapsed="false">
      <c r="A154" s="6" t="n">
        <v>44504</v>
      </c>
      <c r="B154" s="7" t="n">
        <v>86</v>
      </c>
      <c r="C154" s="8" t="n">
        <v>7.07</v>
      </c>
      <c r="D154" s="7" t="n">
        <v>19</v>
      </c>
      <c r="E154" s="7" t="n">
        <v>17</v>
      </c>
      <c r="F154" s="7" t="n">
        <v>97</v>
      </c>
      <c r="G154" s="4" t="s">
        <v>188</v>
      </c>
    </row>
    <row r="155" customFormat="false" ht="15" hidden="false" customHeight="false" outlineLevel="0" collapsed="false">
      <c r="A155" s="6" t="n">
        <v>44505</v>
      </c>
      <c r="B155" s="7" t="n">
        <v>81</v>
      </c>
      <c r="C155" s="8" t="n">
        <v>9.4</v>
      </c>
      <c r="D155" s="7" t="n">
        <v>17</v>
      </c>
      <c r="E155" s="7" t="n">
        <v>15</v>
      </c>
      <c r="F155" s="7" t="n">
        <v>66</v>
      </c>
      <c r="G155" s="4" t="s">
        <v>189</v>
      </c>
    </row>
    <row r="156" customFormat="false" ht="15" hidden="false" customHeight="false" outlineLevel="0" collapsed="false">
      <c r="A156" s="6" t="n">
        <v>44506</v>
      </c>
      <c r="B156" s="7" t="n">
        <v>77</v>
      </c>
      <c r="C156" s="8" t="n">
        <v>8.32</v>
      </c>
      <c r="D156" s="7" t="n">
        <v>14</v>
      </c>
      <c r="E156" s="7" t="n">
        <v>13</v>
      </c>
      <c r="F156" s="7" t="n">
        <v>21</v>
      </c>
      <c r="G156" s="4" t="s">
        <v>190</v>
      </c>
    </row>
    <row r="157" customFormat="false" ht="15" hidden="false" customHeight="false" outlineLevel="0" collapsed="false">
      <c r="A157" s="6" t="n">
        <v>44507</v>
      </c>
      <c r="B157" s="7" t="n">
        <v>86</v>
      </c>
      <c r="C157" s="8" t="n">
        <v>7.62</v>
      </c>
      <c r="D157" s="7" t="n">
        <v>20</v>
      </c>
      <c r="E157" s="7" t="n">
        <v>15</v>
      </c>
      <c r="F157" s="7" t="n">
        <v>80</v>
      </c>
      <c r="G157" s="4" t="s">
        <v>191</v>
      </c>
    </row>
    <row r="158" customFormat="false" ht="15" hidden="false" customHeight="false" outlineLevel="0" collapsed="false">
      <c r="A158" s="6" t="n">
        <v>44508</v>
      </c>
      <c r="B158" s="7" t="n">
        <v>81</v>
      </c>
      <c r="C158" s="8" t="n">
        <v>6.77</v>
      </c>
      <c r="D158" s="7" t="n">
        <v>16</v>
      </c>
      <c r="E158" s="7" t="n">
        <v>17</v>
      </c>
      <c r="F158" s="7" t="n">
        <v>89</v>
      </c>
      <c r="G158" s="4" t="s">
        <v>192</v>
      </c>
    </row>
    <row r="159" customFormat="false" ht="15" hidden="false" customHeight="false" outlineLevel="0" collapsed="false">
      <c r="A159" s="6" t="n">
        <v>44509</v>
      </c>
      <c r="B159" s="7" t="n">
        <v>88</v>
      </c>
      <c r="C159" s="8" t="n">
        <v>7.17</v>
      </c>
      <c r="D159" s="7" t="n">
        <v>24</v>
      </c>
      <c r="E159" s="7" t="n">
        <v>19</v>
      </c>
      <c r="F159" s="7" t="n">
        <v>98</v>
      </c>
      <c r="G159" s="4" t="s">
        <v>193</v>
      </c>
    </row>
    <row r="160" customFormat="false" ht="15" hidden="false" customHeight="false" outlineLevel="0" collapsed="false">
      <c r="A160" s="6" t="n">
        <v>44510</v>
      </c>
      <c r="B160" s="7" t="n">
        <v>84</v>
      </c>
      <c r="C160" s="8" t="n">
        <v>7.27</v>
      </c>
      <c r="D160" s="7" t="n">
        <v>21</v>
      </c>
      <c r="E160" s="7" t="n">
        <v>17</v>
      </c>
      <c r="F160" s="7" t="n">
        <v>96</v>
      </c>
      <c r="G160" s="4" t="s">
        <v>194</v>
      </c>
    </row>
    <row r="161" customFormat="false" ht="15" hidden="false" customHeight="false" outlineLevel="0" collapsed="false">
      <c r="A161" s="6" t="n">
        <v>44511</v>
      </c>
      <c r="B161" s="7" t="n">
        <v>85</v>
      </c>
      <c r="C161" s="8" t="n">
        <v>6.87</v>
      </c>
      <c r="D161" s="7" t="n">
        <v>19</v>
      </c>
      <c r="E161" s="7" t="n">
        <v>21</v>
      </c>
      <c r="F161" s="7" t="n">
        <v>97</v>
      </c>
      <c r="G161" s="4" t="s">
        <v>195</v>
      </c>
    </row>
    <row r="162" customFormat="false" ht="15" hidden="false" customHeight="false" outlineLevel="0" collapsed="false">
      <c r="A162" s="6" t="n">
        <v>44512</v>
      </c>
      <c r="B162" s="7" t="n">
        <v>85</v>
      </c>
      <c r="C162" s="8" t="n">
        <v>7.47</v>
      </c>
      <c r="D162" s="7" t="n">
        <v>18</v>
      </c>
      <c r="E162" s="7" t="n">
        <v>16</v>
      </c>
      <c r="F162" s="7" t="n">
        <v>74</v>
      </c>
      <c r="G162" s="4" t="s">
        <v>196</v>
      </c>
    </row>
    <row r="163" customFormat="false" ht="15" hidden="false" customHeight="false" outlineLevel="0" collapsed="false">
      <c r="A163" s="6" t="n">
        <v>44513</v>
      </c>
      <c r="B163" s="7" t="n">
        <v>74</v>
      </c>
      <c r="C163" s="8" t="n">
        <v>6.1</v>
      </c>
      <c r="D163" s="7" t="n">
        <v>16</v>
      </c>
      <c r="E163" s="7" t="n">
        <v>21</v>
      </c>
      <c r="F163" s="7" t="n">
        <v>43</v>
      </c>
      <c r="G163" s="4" t="s">
        <v>197</v>
      </c>
    </row>
    <row r="164" customFormat="false" ht="15" hidden="false" customHeight="false" outlineLevel="0" collapsed="false">
      <c r="A164" s="6" t="n">
        <v>44514</v>
      </c>
      <c r="B164" s="7" t="n">
        <v>88</v>
      </c>
      <c r="C164" s="8" t="n">
        <v>6.98</v>
      </c>
      <c r="D164" s="7" t="n">
        <v>23</v>
      </c>
      <c r="E164" s="7" t="n">
        <v>22</v>
      </c>
      <c r="F164" s="7" t="n">
        <v>91</v>
      </c>
      <c r="G164" s="4" t="s">
        <v>198</v>
      </c>
    </row>
    <row r="165" customFormat="false" ht="15" hidden="false" customHeight="false" outlineLevel="0" collapsed="false">
      <c r="A165" s="6" t="n">
        <v>44515</v>
      </c>
      <c r="B165" s="7" t="n">
        <v>87</v>
      </c>
      <c r="C165" s="8" t="n">
        <v>7.32</v>
      </c>
      <c r="D165" s="7" t="n">
        <v>21</v>
      </c>
      <c r="E165" s="7" t="n">
        <v>22</v>
      </c>
      <c r="F165" s="7" t="n">
        <v>96</v>
      </c>
      <c r="G165" s="4" t="s">
        <v>199</v>
      </c>
    </row>
    <row r="166" customFormat="false" ht="15" hidden="false" customHeight="false" outlineLevel="0" collapsed="false">
      <c r="A166" s="6" t="n">
        <v>44516</v>
      </c>
      <c r="B166" s="7" t="n">
        <v>80</v>
      </c>
      <c r="C166" s="8" t="n">
        <v>7.37</v>
      </c>
      <c r="D166" s="7" t="n">
        <v>17</v>
      </c>
      <c r="E166" s="7" t="n">
        <v>11</v>
      </c>
      <c r="F166" s="7" t="n">
        <v>55</v>
      </c>
      <c r="G166" s="4" t="s">
        <v>200</v>
      </c>
    </row>
    <row r="167" customFormat="false" ht="15" hidden="false" customHeight="false" outlineLevel="0" collapsed="false">
      <c r="A167" s="6" t="n">
        <v>44517</v>
      </c>
      <c r="B167" s="7" t="n">
        <v>78</v>
      </c>
      <c r="C167" s="8" t="n">
        <v>6.95</v>
      </c>
      <c r="D167" s="7" t="n">
        <v>15</v>
      </c>
      <c r="E167" s="7" t="n">
        <v>14</v>
      </c>
      <c r="F167" s="7" t="n">
        <v>67</v>
      </c>
      <c r="G167" s="4" t="s">
        <v>201</v>
      </c>
    </row>
    <row r="168" customFormat="false" ht="15" hidden="false" customHeight="false" outlineLevel="0" collapsed="false">
      <c r="A168" s="6" t="n">
        <v>44518</v>
      </c>
      <c r="B168" s="7" t="n">
        <v>87</v>
      </c>
      <c r="C168" s="8" t="n">
        <v>7.23</v>
      </c>
      <c r="D168" s="7" t="n">
        <v>24</v>
      </c>
      <c r="E168" s="7" t="n">
        <v>19</v>
      </c>
      <c r="F168" s="7" t="n">
        <v>98</v>
      </c>
      <c r="G168" s="4" t="s">
        <v>202</v>
      </c>
    </row>
    <row r="169" customFormat="false" ht="15" hidden="false" customHeight="false" outlineLevel="0" collapsed="false">
      <c r="A169" s="6" t="n">
        <v>44519</v>
      </c>
      <c r="B169" s="7" t="n">
        <v>83</v>
      </c>
      <c r="C169" s="8" t="n">
        <v>6.83</v>
      </c>
      <c r="D169" s="7" t="n">
        <v>20</v>
      </c>
      <c r="E169" s="7" t="n">
        <v>20</v>
      </c>
      <c r="F169" s="7" t="n">
        <v>75</v>
      </c>
      <c r="G169" s="4" t="s">
        <v>203</v>
      </c>
    </row>
    <row r="170" customFormat="false" ht="15" hidden="false" customHeight="false" outlineLevel="0" collapsed="false">
      <c r="A170" s="6" t="n">
        <v>44520</v>
      </c>
      <c r="B170" s="7" t="n">
        <v>86</v>
      </c>
      <c r="C170" s="8" t="n">
        <v>7.93</v>
      </c>
      <c r="D170" s="7" t="n">
        <v>24</v>
      </c>
      <c r="E170" s="7" t="n">
        <v>17</v>
      </c>
      <c r="F170" s="7" t="n">
        <v>63</v>
      </c>
      <c r="G170" s="4" t="s">
        <v>204</v>
      </c>
    </row>
    <row r="171" customFormat="false" ht="15" hidden="false" customHeight="false" outlineLevel="0" collapsed="false">
      <c r="A171" s="6" t="n">
        <v>44521</v>
      </c>
      <c r="B171" s="7" t="n">
        <v>88</v>
      </c>
      <c r="C171" s="8" t="n">
        <v>7.55</v>
      </c>
      <c r="D171" s="7" t="n">
        <v>19</v>
      </c>
      <c r="E171" s="7" t="n">
        <v>16</v>
      </c>
      <c r="F171" s="7" t="n">
        <v>95</v>
      </c>
      <c r="G171" s="4" t="s">
        <v>205</v>
      </c>
    </row>
    <row r="172" customFormat="false" ht="15" hidden="false" customHeight="false" outlineLevel="0" collapsed="false">
      <c r="A172" s="6" t="n">
        <v>44522</v>
      </c>
      <c r="B172" s="7" t="n">
        <v>87</v>
      </c>
      <c r="C172" s="8" t="n">
        <v>8.35</v>
      </c>
      <c r="D172" s="7" t="n">
        <v>14</v>
      </c>
      <c r="E172" s="7" t="n">
        <v>19</v>
      </c>
      <c r="F172" s="7" t="n">
        <v>94</v>
      </c>
      <c r="G172" s="4" t="s">
        <v>206</v>
      </c>
    </row>
    <row r="173" customFormat="false" ht="15" hidden="false" customHeight="false" outlineLevel="0" collapsed="false">
      <c r="A173" s="6" t="n">
        <v>44523</v>
      </c>
      <c r="B173" s="7" t="n">
        <v>86</v>
      </c>
      <c r="C173" s="8" t="n">
        <v>8.25</v>
      </c>
      <c r="D173" s="7" t="n">
        <v>20</v>
      </c>
      <c r="E173" s="7" t="n">
        <v>14</v>
      </c>
      <c r="F173" s="7" t="n">
        <v>72</v>
      </c>
      <c r="G173" s="4" t="s">
        <v>207</v>
      </c>
    </row>
    <row r="174" customFormat="false" ht="15" hidden="false" customHeight="false" outlineLevel="0" collapsed="false">
      <c r="A174" s="6" t="n">
        <v>44524</v>
      </c>
      <c r="B174" s="7" t="n">
        <v>77</v>
      </c>
      <c r="C174" s="8" t="n">
        <v>6.43</v>
      </c>
      <c r="D174" s="7" t="n">
        <v>18</v>
      </c>
      <c r="E174" s="7" t="n">
        <v>13</v>
      </c>
      <c r="F174" s="7" t="n">
        <v>55</v>
      </c>
      <c r="G174" s="4" t="s">
        <v>208</v>
      </c>
    </row>
    <row r="175" customFormat="false" ht="15" hidden="false" customHeight="false" outlineLevel="0" collapsed="false">
      <c r="A175" s="6" t="n">
        <v>44525</v>
      </c>
      <c r="B175" s="7" t="n">
        <v>81</v>
      </c>
      <c r="C175" s="8" t="n">
        <v>6.85</v>
      </c>
      <c r="D175" s="7" t="n">
        <v>20</v>
      </c>
      <c r="E175" s="7" t="n">
        <v>17</v>
      </c>
      <c r="F175" s="7" t="n">
        <v>51</v>
      </c>
      <c r="G175" s="4" t="s">
        <v>209</v>
      </c>
    </row>
    <row r="176" customFormat="false" ht="15" hidden="false" customHeight="false" outlineLevel="0" collapsed="false">
      <c r="A176" s="6" t="n">
        <v>44526</v>
      </c>
      <c r="B176" s="7" t="n">
        <v>87</v>
      </c>
      <c r="C176" s="8" t="n">
        <v>8.75</v>
      </c>
      <c r="D176" s="7" t="n">
        <v>22</v>
      </c>
      <c r="E176" s="7" t="n">
        <v>19</v>
      </c>
      <c r="F176" s="7" t="n">
        <v>56</v>
      </c>
      <c r="G176" s="4" t="s">
        <v>210</v>
      </c>
    </row>
    <row r="177" customFormat="false" ht="15" hidden="false" customHeight="false" outlineLevel="0" collapsed="false">
      <c r="A177" s="6" t="n">
        <v>44527</v>
      </c>
      <c r="B177" s="7" t="n">
        <v>86</v>
      </c>
      <c r="C177" s="8" t="n">
        <v>7.88</v>
      </c>
      <c r="D177" s="7" t="n">
        <v>24</v>
      </c>
      <c r="E177" s="7" t="n">
        <v>19</v>
      </c>
      <c r="F177" s="7" t="n">
        <v>66</v>
      </c>
      <c r="G177" s="4" t="s">
        <v>211</v>
      </c>
    </row>
    <row r="178" customFormat="false" ht="15" hidden="false" customHeight="false" outlineLevel="0" collapsed="false">
      <c r="A178" s="6" t="n">
        <v>44528</v>
      </c>
      <c r="B178" s="7" t="n">
        <v>83</v>
      </c>
      <c r="C178" s="8" t="n">
        <v>6.22</v>
      </c>
      <c r="D178" s="7" t="n">
        <v>22</v>
      </c>
      <c r="E178" s="7" t="n">
        <v>22</v>
      </c>
      <c r="F178" s="7" t="n">
        <v>81</v>
      </c>
      <c r="G178" s="4" t="s">
        <v>212</v>
      </c>
    </row>
    <row r="179" customFormat="false" ht="15" hidden="false" customHeight="false" outlineLevel="0" collapsed="false">
      <c r="A179" s="6" t="n">
        <v>44529</v>
      </c>
      <c r="B179" s="7" t="n">
        <v>89</v>
      </c>
      <c r="C179" s="8" t="n">
        <v>7.73</v>
      </c>
      <c r="D179" s="7" t="n">
        <v>18</v>
      </c>
      <c r="E179" s="7" t="n">
        <v>21</v>
      </c>
      <c r="F179" s="7" t="n">
        <v>81</v>
      </c>
      <c r="G179" s="4" t="s">
        <v>213</v>
      </c>
    </row>
    <row r="180" customFormat="false" ht="15" hidden="false" customHeight="false" outlineLevel="0" collapsed="false">
      <c r="A180" s="6" t="n">
        <v>44530</v>
      </c>
      <c r="B180" s="7" t="n">
        <v>78</v>
      </c>
      <c r="C180" s="8" t="n">
        <v>6.8</v>
      </c>
      <c r="D180" s="7" t="n">
        <v>12</v>
      </c>
      <c r="E180" s="7" t="n">
        <v>13</v>
      </c>
      <c r="F180" s="7" t="n">
        <v>74</v>
      </c>
      <c r="G180" s="4" t="s">
        <v>214</v>
      </c>
    </row>
  </sheetData>
  <autoFilter ref="A1:G18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8"/>
    <col collapsed="false" customWidth="true" hidden="false" outlineLevel="0" max="3" min="3" style="0" width="42"/>
    <col collapsed="false" customWidth="true" hidden="false" outlineLevel="0" max="5" min="4" style="0" width="38"/>
    <col collapsed="false" customWidth="true" hidden="false" outlineLevel="0" max="6" min="6" style="0" width="18"/>
  </cols>
  <sheetData>
    <row r="1" customFormat="false" ht="25.5" hidden="false" customHeight="true" outlineLevel="0" collapsed="false">
      <c r="A1" s="1" t="s">
        <v>215</v>
      </c>
      <c r="B1" s="1"/>
      <c r="C1" s="1"/>
      <c r="D1" s="1"/>
      <c r="E1" s="1"/>
      <c r="F1" s="1"/>
    </row>
    <row r="3" customFormat="false" ht="54.75" hidden="false" customHeight="true" outlineLevel="0" collapsed="false">
      <c r="A3" s="3" t="s">
        <v>216</v>
      </c>
      <c r="B3" s="3"/>
      <c r="C3" s="3"/>
      <c r="D3" s="3"/>
      <c r="E3" s="3"/>
      <c r="F3" s="3"/>
    </row>
    <row r="5" customFormat="false" ht="15" hidden="false" customHeight="false" outlineLevel="0" collapsed="false">
      <c r="A5" s="9" t="s">
        <v>217</v>
      </c>
      <c r="B5" s="9"/>
      <c r="C5" s="9"/>
      <c r="D5" s="9"/>
      <c r="E5" s="9"/>
      <c r="F5" s="9"/>
    </row>
    <row r="7" customFormat="false" ht="15" hidden="false" customHeight="false" outlineLevel="0" collapsed="false">
      <c r="A7" s="10" t="s">
        <v>218</v>
      </c>
      <c r="B7" s="10" t="s">
        <v>219</v>
      </c>
      <c r="C7" s="10" t="s">
        <v>220</v>
      </c>
      <c r="D7" s="10" t="s">
        <v>221</v>
      </c>
      <c r="E7" s="10" t="s">
        <v>222</v>
      </c>
    </row>
    <row r="8" customFormat="false" ht="23.85" hidden="false" customHeight="false" outlineLevel="0" collapsed="false">
      <c r="A8" s="11" t="s">
        <v>223</v>
      </c>
      <c r="B8" s="11" t="s">
        <v>224</v>
      </c>
      <c r="C8" s="12" t="n">
        <f aca="false">AVERAGE(Data!D:D)</f>
        <v>19.391061452514</v>
      </c>
      <c r="D8" s="11" t="s">
        <v>225</v>
      </c>
      <c r="E8" s="13" t="s">
        <v>226</v>
      </c>
    </row>
    <row r="9" customFormat="false" ht="15" hidden="false" customHeight="false" outlineLevel="0" collapsed="false">
      <c r="A9" s="11" t="s">
        <v>227</v>
      </c>
      <c r="B9" s="11" t="s">
        <v>228</v>
      </c>
      <c r="C9" s="12" t="n">
        <f aca="false">STDEV(Data!D:D)</f>
        <v>3.91527238589513</v>
      </c>
      <c r="D9" s="11" t="s">
        <v>229</v>
      </c>
      <c r="E9" s="13" t="s">
        <v>230</v>
      </c>
    </row>
    <row r="10" customFormat="false" ht="23.85" hidden="false" customHeight="false" outlineLevel="0" collapsed="false">
      <c r="A10" s="11" t="s">
        <v>231</v>
      </c>
      <c r="B10" s="11" t="s">
        <v>232</v>
      </c>
      <c r="C10" s="14" t="n">
        <f aca="false">COUNT(Data!D:D)</f>
        <v>179</v>
      </c>
      <c r="D10" s="11" t="s">
        <v>233</v>
      </c>
      <c r="E10" s="13" t="s">
        <v>234</v>
      </c>
    </row>
    <row r="12" customFormat="false" ht="15" hidden="false" customHeight="false" outlineLevel="0" collapsed="false">
      <c r="A12" s="15" t="s">
        <v>235</v>
      </c>
      <c r="B12" s="15"/>
      <c r="C12" s="15"/>
      <c r="D12" s="15"/>
      <c r="E12" s="15"/>
      <c r="F12" s="15"/>
    </row>
    <row r="14" customFormat="false" ht="15" hidden="false" customHeight="false" outlineLevel="0" collapsed="false">
      <c r="A14" s="9" t="s">
        <v>236</v>
      </c>
      <c r="B14" s="9"/>
      <c r="C14" s="9"/>
      <c r="D14" s="9"/>
      <c r="E14" s="9"/>
      <c r="F14" s="9"/>
    </row>
    <row r="15" customFormat="false" ht="15" hidden="false" customHeight="false" outlineLevel="0" collapsed="false">
      <c r="A15" s="16" t="s">
        <v>237</v>
      </c>
      <c r="B15" s="16"/>
      <c r="C15" s="16"/>
      <c r="D15" s="16"/>
      <c r="E15" s="16"/>
      <c r="F15" s="16"/>
    </row>
    <row r="17" customFormat="false" ht="15" hidden="false" customHeight="false" outlineLevel="0" collapsed="false">
      <c r="A17" s="17" t="s">
        <v>238</v>
      </c>
      <c r="B17" s="17" t="s">
        <v>239</v>
      </c>
      <c r="C17" s="17" t="s">
        <v>240</v>
      </c>
      <c r="D17" s="17" t="s">
        <v>241</v>
      </c>
      <c r="E17" s="17" t="s">
        <v>242</v>
      </c>
      <c r="F17" s="17" t="s">
        <v>243</v>
      </c>
    </row>
    <row r="18" customFormat="false" ht="15" hidden="false" customHeight="false" outlineLevel="0" collapsed="false">
      <c r="A18" s="11" t="s">
        <v>244</v>
      </c>
      <c r="B18" s="18" t="n">
        <v>1.96</v>
      </c>
      <c r="C18" s="19" t="n">
        <f aca="false">B18*C9/SQRT(C10)</f>
        <v>0.573576747864522</v>
      </c>
      <c r="D18" s="19" t="n">
        <f aca="false">C8-C18</f>
        <v>18.8174847046494</v>
      </c>
      <c r="E18" s="19" t="n">
        <f aca="false">C8+C18</f>
        <v>19.9646382003785</v>
      </c>
      <c r="F18" s="19" t="n">
        <f aca="false">E18-D18</f>
        <v>1.14715349572904</v>
      </c>
    </row>
    <row r="19" customFormat="false" ht="15" hidden="false" customHeight="false" outlineLevel="0" collapsed="false">
      <c r="A19" s="11" t="s">
        <v>245</v>
      </c>
      <c r="B19" s="18" t="n">
        <v>1.645</v>
      </c>
      <c r="C19" s="19" t="n">
        <f aca="false">B19*C9/SQRT(C10)</f>
        <v>0.481394770529152</v>
      </c>
      <c r="D19" s="19" t="n">
        <f aca="false">C8-C19</f>
        <v>18.9096666819848</v>
      </c>
      <c r="E19" s="19" t="n">
        <f aca="false">C8+C19</f>
        <v>19.8724562230431</v>
      </c>
      <c r="F19" s="19" t="n">
        <f aca="false">E19-D19</f>
        <v>0.962789541058307</v>
      </c>
    </row>
    <row r="21" customFormat="false" ht="15" hidden="false" customHeight="false" outlineLevel="0" collapsed="false">
      <c r="A21" s="15" t="s">
        <v>246</v>
      </c>
      <c r="B21" s="15"/>
      <c r="C21" s="15"/>
      <c r="D21" s="15"/>
      <c r="E21" s="15"/>
      <c r="F21" s="15"/>
    </row>
    <row r="23" customFormat="false" ht="15" hidden="false" customHeight="false" outlineLevel="0" collapsed="false">
      <c r="A23" s="9" t="s">
        <v>247</v>
      </c>
      <c r="B23" s="9"/>
      <c r="C23" s="9"/>
      <c r="D23" s="9"/>
      <c r="E23" s="9"/>
      <c r="F23" s="9"/>
    </row>
    <row r="24" customFormat="false" ht="15" hidden="false" customHeight="false" outlineLevel="0" collapsed="false">
      <c r="A24" s="20" t="s">
        <v>248</v>
      </c>
      <c r="B24" s="20"/>
      <c r="C24" s="20"/>
      <c r="D24" s="20"/>
      <c r="E24" s="20"/>
      <c r="F24" s="20"/>
    </row>
    <row r="26" customFormat="false" ht="15" hidden="false" customHeight="false" outlineLevel="0" collapsed="false">
      <c r="A26" s="17" t="s">
        <v>249</v>
      </c>
      <c r="B26" s="17" t="s">
        <v>250</v>
      </c>
      <c r="C26" s="17" t="s">
        <v>251</v>
      </c>
      <c r="D26" s="17" t="s">
        <v>252</v>
      </c>
    </row>
    <row r="27" customFormat="false" ht="15" hidden="false" customHeight="false" outlineLevel="0" collapsed="false">
      <c r="A27" s="21" t="s">
        <v>253</v>
      </c>
      <c r="B27" s="13" t="s">
        <v>254</v>
      </c>
      <c r="C27" s="22" t="n">
        <f aca="false">AVERAGE(Data!D:D)</f>
        <v>19.391061452514</v>
      </c>
      <c r="D27" s="12" t="n">
        <f aca="false">C8</f>
        <v>19.391061452514</v>
      </c>
    </row>
    <row r="28" customFormat="false" ht="15" hidden="false" customHeight="false" outlineLevel="0" collapsed="false">
      <c r="A28" s="21" t="s">
        <v>255</v>
      </c>
      <c r="B28" s="13" t="s">
        <v>256</v>
      </c>
      <c r="C28" s="22" t="n">
        <f aca="false">STDEV(Data!D:D)</f>
        <v>3.91527238589513</v>
      </c>
      <c r="D28" s="12" t="n">
        <f aca="false">C9</f>
        <v>3.91527238589513</v>
      </c>
    </row>
    <row r="29" customFormat="false" ht="15" hidden="false" customHeight="false" outlineLevel="0" collapsed="false">
      <c r="A29" s="21" t="s">
        <v>257</v>
      </c>
      <c r="B29" s="13" t="s">
        <v>258</v>
      </c>
      <c r="C29" s="22" t="n">
        <f aca="false">COUNT(Data!D:D)</f>
        <v>179</v>
      </c>
      <c r="D29" s="14" t="n">
        <f aca="false">C10</f>
        <v>179</v>
      </c>
    </row>
    <row r="30" customFormat="false" ht="15" hidden="false" customHeight="false" outlineLevel="0" collapsed="false">
      <c r="A30" s="21" t="s">
        <v>259</v>
      </c>
      <c r="B30" s="13" t="s">
        <v>260</v>
      </c>
      <c r="C30" s="22" t="s">
        <v>261</v>
      </c>
      <c r="D30" s="14" t="n">
        <f aca="false">B18</f>
        <v>1.96</v>
      </c>
    </row>
    <row r="31" customFormat="false" ht="15" hidden="false" customHeight="false" outlineLevel="0" collapsed="false">
      <c r="A31" s="21" t="s">
        <v>262</v>
      </c>
      <c r="B31" s="13" t="s">
        <v>263</v>
      </c>
      <c r="C31" s="22" t="n">
        <f aca="false">1.96*STDEV(Data!D:D)/SQRT(COUNT(Data!D:D))</f>
        <v>0.573576747864522</v>
      </c>
      <c r="D31" s="19" t="n">
        <f aca="false">C18</f>
        <v>0.573576747864522</v>
      </c>
    </row>
    <row r="32" customFormat="false" ht="15" hidden="false" customHeight="false" outlineLevel="0" collapsed="false">
      <c r="A32" s="21" t="s">
        <v>264</v>
      </c>
      <c r="B32" s="13" t="s">
        <v>265</v>
      </c>
      <c r="C32" s="22" t="n">
        <f aca="false">AVERAGE(Data!D:D)-D21</f>
        <v>19.391061452514</v>
      </c>
      <c r="D32" s="19" t="n">
        <f aca="false">D18</f>
        <v>18.8174847046494</v>
      </c>
    </row>
    <row r="33" customFormat="false" ht="15" hidden="false" customHeight="false" outlineLevel="0" collapsed="false">
      <c r="A33" s="21" t="s">
        <v>266</v>
      </c>
      <c r="B33" s="13" t="s">
        <v>267</v>
      </c>
      <c r="C33" s="22" t="n">
        <f aca="false">AVERAGE(Data!D:D)+D21</f>
        <v>19.391061452514</v>
      </c>
      <c r="D33" s="19" t="n">
        <f aca="false">E18</f>
        <v>19.9646382003785</v>
      </c>
    </row>
    <row r="34" customFormat="false" ht="15" hidden="false" customHeight="false" outlineLevel="0" collapsed="false">
      <c r="A34" s="21" t="s">
        <v>268</v>
      </c>
      <c r="B34" s="13" t="s">
        <v>269</v>
      </c>
      <c r="C34" s="22" t="s">
        <v>270</v>
      </c>
      <c r="D34" s="14" t="n">
        <f aca="false">B19</f>
        <v>1.645</v>
      </c>
    </row>
    <row r="35" customFormat="false" ht="15" hidden="false" customHeight="false" outlineLevel="0" collapsed="false">
      <c r="A35" s="21" t="s">
        <v>271</v>
      </c>
      <c r="B35" s="13" t="s">
        <v>272</v>
      </c>
      <c r="C35" s="22" t="n">
        <f aca="false">1.645*STDEV(Data!D:D)/SQRT(COUNT(Data!D:D))</f>
        <v>0.481394770529152</v>
      </c>
      <c r="D35" s="19" t="n">
        <f aca="false">C19</f>
        <v>0.481394770529152</v>
      </c>
    </row>
    <row r="36" customFormat="false" ht="15" hidden="false" customHeight="false" outlineLevel="0" collapsed="false">
      <c r="A36" s="21" t="s">
        <v>273</v>
      </c>
      <c r="B36" s="13" t="s">
        <v>274</v>
      </c>
      <c r="C36" s="22" t="n">
        <f aca="false">AVERAGE(Data!D:D)-D22</f>
        <v>19.391061452514</v>
      </c>
      <c r="D36" s="19" t="n">
        <f aca="false">D19</f>
        <v>18.9096666819848</v>
      </c>
    </row>
    <row r="37" customFormat="false" ht="15" hidden="false" customHeight="false" outlineLevel="0" collapsed="false">
      <c r="A37" s="21" t="s">
        <v>275</v>
      </c>
      <c r="B37" s="13" t="s">
        <v>276</v>
      </c>
      <c r="C37" s="22" t="n">
        <f aca="false">AVERAGE(Data!D:D)+D22</f>
        <v>19.391061452514</v>
      </c>
      <c r="D37" s="19" t="n">
        <f aca="false">E19</f>
        <v>19.8724562230431</v>
      </c>
    </row>
    <row r="40" customFormat="false" ht="15" hidden="false" customHeight="false" outlineLevel="0" collapsed="false">
      <c r="A40" s="9" t="s">
        <v>277</v>
      </c>
      <c r="B40" s="9"/>
      <c r="C40" s="9"/>
      <c r="D40" s="9"/>
      <c r="E40" s="9"/>
      <c r="F40" s="9"/>
    </row>
    <row r="42" customFormat="false" ht="15" hidden="false" customHeight="false" outlineLevel="0" collapsed="false">
      <c r="A42" s="23" t="s">
        <v>278</v>
      </c>
    </row>
    <row r="43" customFormat="false" ht="45" hidden="false" customHeight="true" outlineLevel="0" collapsed="false">
      <c r="A43" s="3" t="s">
        <v>279</v>
      </c>
      <c r="B43" s="3"/>
      <c r="C43" s="3"/>
      <c r="D43" s="3"/>
      <c r="E43" s="3"/>
      <c r="F43" s="3"/>
    </row>
    <row r="45" customFormat="false" ht="15" hidden="false" customHeight="false" outlineLevel="0" collapsed="false">
      <c r="A45" s="23" t="s">
        <v>280</v>
      </c>
    </row>
    <row r="46" customFormat="false" ht="39.75" hidden="false" customHeight="true" outlineLevel="0" collapsed="false">
      <c r="A46" s="3" t="s">
        <v>281</v>
      </c>
      <c r="B46" s="3"/>
      <c r="C46" s="3"/>
      <c r="D46" s="3"/>
      <c r="E46" s="3"/>
      <c r="F46" s="3"/>
    </row>
    <row r="48" customFormat="false" ht="15" hidden="false" customHeight="false" outlineLevel="0" collapsed="false">
      <c r="A48" s="23" t="s">
        <v>282</v>
      </c>
    </row>
    <row r="49" customFormat="false" ht="69.75" hidden="false" customHeight="true" outlineLevel="0" collapsed="false">
      <c r="A49" s="3" t="s">
        <v>283</v>
      </c>
      <c r="B49" s="3"/>
      <c r="C49" s="3"/>
      <c r="D49" s="3"/>
      <c r="E49" s="3"/>
      <c r="F49" s="3"/>
    </row>
    <row r="51" customFormat="false" ht="15" hidden="false" customHeight="false" outlineLevel="0" collapsed="false">
      <c r="A51" s="24" t="s">
        <v>284</v>
      </c>
    </row>
    <row r="53" customFormat="false" ht="15" hidden="false" customHeight="false" outlineLevel="0" collapsed="false">
      <c r="A53" s="25" t="s">
        <v>285</v>
      </c>
      <c r="B53" s="26" t="s">
        <v>286</v>
      </c>
    </row>
    <row r="54" customFormat="false" ht="15" hidden="false" customHeight="false" outlineLevel="0" collapsed="false">
      <c r="A54" s="25" t="s">
        <v>287</v>
      </c>
      <c r="B54" s="26" t="s">
        <v>288</v>
      </c>
    </row>
    <row r="55" customFormat="false" ht="15" hidden="false" customHeight="false" outlineLevel="0" collapsed="false">
      <c r="A55" s="25" t="s">
        <v>289</v>
      </c>
      <c r="B55" s="26" t="s">
        <v>290</v>
      </c>
    </row>
    <row r="56" customFormat="false" ht="15" hidden="false" customHeight="false" outlineLevel="0" collapsed="false">
      <c r="A56" s="25" t="s">
        <v>291</v>
      </c>
      <c r="B56" s="26" t="s">
        <v>292</v>
      </c>
    </row>
  </sheetData>
  <mergeCells count="13">
    <mergeCell ref="A1:F1"/>
    <mergeCell ref="A3:F3"/>
    <mergeCell ref="A5:F5"/>
    <mergeCell ref="A12:F12"/>
    <mergeCell ref="A14:F14"/>
    <mergeCell ref="A15:F15"/>
    <mergeCell ref="A21:F21"/>
    <mergeCell ref="A23:F23"/>
    <mergeCell ref="A24:F24"/>
    <mergeCell ref="A40:F40"/>
    <mergeCell ref="A43:F43"/>
    <mergeCell ref="A46:F46"/>
    <mergeCell ref="A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0"/>
  </cols>
  <sheetData>
    <row r="1" customFormat="false" ht="25.5" hidden="false" customHeight="true" outlineLevel="0" collapsed="false">
      <c r="A1" s="1" t="s">
        <v>293</v>
      </c>
      <c r="B1" s="1"/>
    </row>
    <row r="3" customFormat="false" ht="15" hidden="false" customHeight="false" outlineLevel="0" collapsed="false">
      <c r="A3" s="27" t="s">
        <v>294</v>
      </c>
      <c r="B3" s="27"/>
    </row>
    <row r="4" customFormat="false" ht="319.5" hidden="false" customHeight="true" outlineLevel="0" collapsed="false">
      <c r="A4" s="28" t="s">
        <v>295</v>
      </c>
      <c r="B4" s="28"/>
    </row>
    <row r="6" customFormat="false" ht="15" hidden="false" customHeight="false" outlineLevel="0" collapsed="false">
      <c r="A6" s="27" t="s">
        <v>296</v>
      </c>
      <c r="B6" s="27"/>
    </row>
    <row r="7" customFormat="false" ht="279.75" hidden="false" customHeight="true" outlineLevel="0" collapsed="false">
      <c r="A7" s="28" t="s">
        <v>297</v>
      </c>
      <c r="B7" s="28"/>
    </row>
    <row r="9" customFormat="false" ht="15" hidden="false" customHeight="false" outlineLevel="0" collapsed="false">
      <c r="A9" s="27" t="s">
        <v>298</v>
      </c>
      <c r="B9" s="27"/>
    </row>
    <row r="10" customFormat="false" ht="139.5" hidden="false" customHeight="true" outlineLevel="0" collapsed="false">
      <c r="A10" s="28" t="s">
        <v>299</v>
      </c>
      <c r="B10" s="28"/>
    </row>
  </sheetData>
  <mergeCells count="7">
    <mergeCell ref="A1:B1"/>
    <mergeCell ref="A3:B3"/>
    <mergeCell ref="A4:B4"/>
    <mergeCell ref="A6:B6"/>
    <mergeCell ref="A7:B7"/>
    <mergeCell ref="A9:B9"/>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2" min="2" style="0" width="20"/>
  </cols>
  <sheetData>
    <row r="1" customFormat="false" ht="25.5" hidden="false" customHeight="true" outlineLevel="0" collapsed="false">
      <c r="A1" s="1" t="s">
        <v>300</v>
      </c>
      <c r="B1" s="1"/>
    </row>
    <row r="3" customFormat="false" ht="15" hidden="false" customHeight="false" outlineLevel="0" collapsed="false">
      <c r="A3" s="9" t="s">
        <v>291</v>
      </c>
      <c r="B3" s="9"/>
    </row>
    <row r="4" customFormat="false" ht="30" hidden="false" customHeight="true" outlineLevel="0" collapsed="false">
      <c r="A4" s="3" t="s">
        <v>301</v>
      </c>
      <c r="B4" s="3"/>
    </row>
    <row r="6" customFormat="false" ht="15" hidden="false" customHeight="false" outlineLevel="0" collapsed="false">
      <c r="A6" s="9" t="s">
        <v>302</v>
      </c>
      <c r="B6" s="9"/>
    </row>
    <row r="7" customFormat="false" ht="42" hidden="false" customHeight="true" outlineLevel="0" collapsed="false">
      <c r="A7" s="3" t="s">
        <v>303</v>
      </c>
      <c r="B7" s="3"/>
    </row>
    <row r="9" customFormat="false" ht="15" hidden="false" customHeight="false" outlineLevel="0" collapsed="false">
      <c r="A9" s="9" t="s">
        <v>304</v>
      </c>
      <c r="B9" s="9"/>
    </row>
    <row r="10" customFormat="false" ht="55.5" hidden="false" customHeight="true" outlineLevel="0" collapsed="false">
      <c r="A10" s="3" t="s">
        <v>305</v>
      </c>
      <c r="B10" s="3"/>
    </row>
    <row r="12" customFormat="false" ht="15" hidden="false" customHeight="false" outlineLevel="0" collapsed="false">
      <c r="A12" s="9" t="s">
        <v>306</v>
      </c>
      <c r="B12" s="9"/>
    </row>
    <row r="13" customFormat="false" ht="42" hidden="false" customHeight="true" outlineLevel="0" collapsed="false">
      <c r="A13" s="3" t="s">
        <v>307</v>
      </c>
      <c r="B13" s="3"/>
    </row>
    <row r="15" customFormat="false" ht="15" hidden="false" customHeight="false" outlineLevel="0" collapsed="false">
      <c r="A15" s="9" t="s">
        <v>308</v>
      </c>
      <c r="B15" s="9"/>
    </row>
    <row r="16" customFormat="false" ht="69.75" hidden="false" customHeight="true" outlineLevel="0" collapsed="false">
      <c r="A16" s="3" t="s">
        <v>309</v>
      </c>
      <c r="B16" s="3"/>
    </row>
    <row r="18" customFormat="false" ht="15" hidden="false" customHeight="false" outlineLevel="0" collapsed="false">
      <c r="A18" s="9" t="s">
        <v>310</v>
      </c>
      <c r="B18" s="9"/>
    </row>
    <row r="19" customFormat="false" ht="30" hidden="false" customHeight="true" outlineLevel="0" collapsed="false">
      <c r="A19" s="3" t="s">
        <v>311</v>
      </c>
      <c r="B19" s="3"/>
    </row>
    <row r="21" customFormat="false" ht="15" hidden="false" customHeight="false" outlineLevel="0" collapsed="false">
      <c r="A21" s="9" t="s">
        <v>312</v>
      </c>
      <c r="B21" s="9"/>
    </row>
    <row r="22" customFormat="false" ht="84" hidden="false" customHeight="true" outlineLevel="0" collapsed="false">
      <c r="A22" s="3" t="s">
        <v>313</v>
      </c>
      <c r="B22" s="3"/>
    </row>
    <row r="24" customFormat="false" ht="15" hidden="false" customHeight="false" outlineLevel="0" collapsed="false">
      <c r="A24" s="9" t="s">
        <v>314</v>
      </c>
      <c r="B24" s="9"/>
    </row>
    <row r="25" customFormat="false" ht="84" hidden="false" customHeight="true" outlineLevel="0" collapsed="false">
      <c r="A25" s="3" t="s">
        <v>315</v>
      </c>
      <c r="B25" s="3"/>
    </row>
  </sheetData>
  <mergeCells count="17">
    <mergeCell ref="A1:B1"/>
    <mergeCell ref="A3:B3"/>
    <mergeCell ref="A4:B4"/>
    <mergeCell ref="A6:B6"/>
    <mergeCell ref="A7:B7"/>
    <mergeCell ref="A9:B9"/>
    <mergeCell ref="A10:B10"/>
    <mergeCell ref="A12:B12"/>
    <mergeCell ref="A13:B13"/>
    <mergeCell ref="A15:B15"/>
    <mergeCell ref="A16:B16"/>
    <mergeCell ref="A18:B18"/>
    <mergeCell ref="A19:B19"/>
    <mergeCell ref="A21:B21"/>
    <mergeCell ref="A22:B22"/>
    <mergeCell ref="A24:B24"/>
    <mergeCell ref="A25:B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2026-07-28T00:53:24Z</dcterms:created>
  <dc:creator>openpyxl</dc:creator>
  <dc:description/>
  <dc:language>en-US</dc:language>
  <cp:lastModifiedBy/>
  <dcterms:modified xsi:type="dcterms:W3CDTF">2026-07-28T00:53:43Z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