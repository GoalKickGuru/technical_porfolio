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chievement Data" sheetId="2" state="visible" r:id="rId2"/>
    <sheet xmlns:r="http://schemas.openxmlformats.org/officeDocument/2006/relationships" name="Descriptives" sheetId="3" state="visible" r:id="rId3"/>
    <sheet xmlns:r="http://schemas.openxmlformats.org/officeDocument/2006/relationships" name="Z-Score Lab" sheetId="4" state="visible" r:id="rId4"/>
    <sheet xmlns:r="http://schemas.openxmlformats.org/officeDocument/2006/relationships" name="Matrix Algebra" sheetId="5" state="visible" r:id="rId5"/>
    <sheet xmlns:r="http://schemas.openxmlformats.org/officeDocument/2006/relationships" name="Normal Density" sheetId="6" state="visible" r:id="rId6"/>
    <sheet xmlns:r="http://schemas.openxmlformats.org/officeDocument/2006/relationships" name="How to U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"/>
    <numFmt numFmtId="166" formatCode="0.000000"/>
    <numFmt numFmtId="167" formatCode="0.0000000000"/>
  </numFmts>
  <fonts count="11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1F4E79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color rgb="000000FF"/>
      <sz val="10"/>
    </font>
    <font>
      <name val="Arial"/>
      <b val="1"/>
    </font>
    <font>
      <name val="Arial"/>
      <i val="1"/>
      <sz val="9"/>
    </font>
    <font>
      <name val="Arial"/>
      <b val="1"/>
      <sz val="12"/>
    </font>
    <font>
      <name val="Arial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0" borderId="0" pivotButton="0" quotePrefix="0" xfId="0"/>
    <xf numFmtId="164" fontId="7" fillId="0" borderId="0" pivotButton="0" quotePrefix="0" xfId="0"/>
    <xf numFmtId="164" fontId="0" fillId="0" borderId="0" pivotButton="0" quotePrefix="0" xfId="0"/>
    <xf numFmtId="0" fontId="6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8" fillId="0" borderId="0" pivotButton="0" quotePrefix="0" xfId="0"/>
    <xf numFmtId="164" fontId="9" fillId="5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0" fontId="0" fillId="6" borderId="1" pivotButton="0" quotePrefix="0" xfId="0"/>
    <xf numFmtId="164" fontId="0" fillId="0" borderId="1" pivotButton="0" quotePrefix="0" xfId="0"/>
    <xf numFmtId="0" fontId="10" fillId="0" borderId="0" pivotButton="0" quotePrefix="0" xfId="0"/>
    <xf numFmtId="0" fontId="6" fillId="3" borderId="0" pivotButton="0" quotePrefix="0" xfId="0"/>
    <xf numFmtId="166" fontId="9" fillId="5" borderId="1" pivotButton="0" quotePrefix="0" xfId="0"/>
    <xf numFmtId="166" fontId="0" fillId="0" borderId="1" pivotButton="0" quotePrefix="0" xfId="0"/>
    <xf numFmtId="166" fontId="0" fillId="5" borderId="1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Introduction to Python &amp; Computational Statistics Toolkit</t>
        </is>
      </c>
    </row>
    <row r="2"/>
    <row r="3">
      <c r="A3" s="2" t="inlineStr">
        <is>
          <t>Purpose</t>
        </is>
      </c>
    </row>
    <row r="4" ht="45" customHeight="1">
      <c r="A4" s="3" t="inlineStr">
        <is>
          <t>This workbook accompanies the extended Python toolkit based on Daniel J. Denis (2021) Chapter 2. It provides interactive calculations, lookup tables, and teaching aids that take advantage of spreadsheet presentation.</t>
        </is>
      </c>
    </row>
    <row r="5"/>
    <row r="6">
      <c r="A6" s="2" t="inlineStr">
        <is>
          <t>Workbook Contents</t>
        </is>
      </c>
    </row>
    <row r="7">
      <c r="A7" s="4" t="inlineStr">
        <is>
          <t>Overview</t>
        </is>
      </c>
      <c r="B7" s="5" t="inlineStr">
        <is>
          <t>This sheet – toolkit map and quick start</t>
        </is>
      </c>
    </row>
    <row r="8">
      <c r="A8" s="4" t="inlineStr">
        <is>
          <t>Achievement Data</t>
        </is>
      </c>
      <c r="B8" s="5" t="inlineStr">
        <is>
          <t>Full achievement scores + z-score calculations (formulas)</t>
        </is>
      </c>
    </row>
    <row r="9">
      <c r="A9" s="4" t="inlineStr">
        <is>
          <t>Descriptives</t>
        </is>
      </c>
      <c r="B9" s="5" t="inlineStr">
        <is>
          <t>Interactive descriptive statistics calculator</t>
        </is>
      </c>
    </row>
    <row r="10">
      <c r="A10" s="4" t="inlineStr">
        <is>
          <t>Z-Score Lab</t>
        </is>
      </c>
      <c r="B10" s="5" t="inlineStr">
        <is>
          <t>Enter any mean/SD/score and instantly obtain the z-score &amp; percentile</t>
        </is>
      </c>
    </row>
    <row r="11">
      <c r="A11" s="4" t="inlineStr">
        <is>
          <t>Matrix Algebra</t>
        </is>
      </c>
      <c r="B11" s="5" t="inlineStr">
        <is>
          <t>Identity, covariance &amp; correlation examples + eigen demo</t>
        </is>
      </c>
    </row>
    <row r="12">
      <c r="A12" s="4" t="inlineStr">
        <is>
          <t>Normal Density</t>
        </is>
      </c>
      <c r="B12" s="5" t="inlineStr">
        <is>
          <t>Lookup table &amp; interactive normal pdf evaluator</t>
        </is>
      </c>
    </row>
    <row r="13">
      <c r="A13" s="4" t="inlineStr">
        <is>
          <t>How to Use</t>
        </is>
      </c>
      <c r="B13" s="5" t="inlineStr">
        <is>
          <t>Step-by-step guide for every Python script &amp; notebook</t>
        </is>
      </c>
    </row>
    <row r="14"/>
    <row r="15"/>
    <row r="16">
      <c r="A16" s="2" t="inlineStr">
        <is>
          <t>Key Chapter Concepts Implemented</t>
        </is>
      </c>
    </row>
    <row r="17">
      <c r="A17" s="5" t="inlineStr">
        <is>
          <t>1. Science &amp; statistics first, software second (hierarchy of specialization)</t>
        </is>
      </c>
    </row>
    <row r="18">
      <c r="A18" s="5" t="inlineStr">
        <is>
          <t>2. Package imports (numpy as np, pandas as pd, scipy, matplotlib, seaborn …)</t>
        </is>
      </c>
    </row>
    <row r="19">
      <c r="A19" s="5" t="inlineStr">
        <is>
          <t>3. Building DataFrames from dictionaries and loading CSV / seaborn data</t>
        </is>
      </c>
    </row>
    <row r="20">
      <c r="A20" s="5" t="inlineStr">
        <is>
          <t>4. Z-score formula: z = (x − μ) / σ  (linear transform; does NOT normalize shape)</t>
        </is>
      </c>
    </row>
    <row r="21">
      <c r="A21" s="5" t="inlineStr">
        <is>
          <t>5. Mean, median, mode, variance, std (sample vs population), skew, kurtosis</t>
        </is>
      </c>
    </row>
    <row r="22">
      <c r="A22" s="5" t="inlineStr">
        <is>
          <t>6. Pseudo-random data generation (np.random)</t>
        </is>
      </c>
    </row>
    <row r="23">
      <c r="A23" s="5" t="inlineStr">
        <is>
          <t>7. Mathematical constants e and π; normal density formula</t>
        </is>
      </c>
    </row>
    <row r="24">
      <c r="A24" s="5" t="inlineStr">
        <is>
          <t>8. Vectors, matrices, identity matrix, covariance vs correlation, Ax = λx</t>
        </is>
      </c>
    </row>
    <row r="25"/>
    <row r="26"/>
    <row r="27">
      <c r="A27" s="2" t="inlineStr">
        <is>
          <t>Generated Files (Python side)</t>
        </is>
      </c>
    </row>
    <row r="28">
      <c r="A28" s="5" t="inlineStr">
        <is>
          <t>scripts/python_computational_stats.py – core reusable module</t>
        </is>
      </c>
    </row>
    <row r="29">
      <c r="A29" s="5" t="inlineStr">
        <is>
          <t>scripts/run_python_intro.py – full demo runner</t>
        </is>
      </c>
    </row>
    <row r="30">
      <c r="A30" s="5" t="inlineStr">
        <is>
          <t>notebooks/14_introduction_to_python_computational_statistics_extended.ipynb</t>
        </is>
      </c>
    </row>
    <row r="31">
      <c r="A31" s="5" t="inlineStr">
        <is>
          <t>templates/python_computational_stats_template.py + .ipynb</t>
        </is>
      </c>
    </row>
    <row r="32">
      <c r="A32" s="5" t="inlineStr">
        <is>
          <t>data/achievement_scores.csv , data/iq_data.csv</t>
        </is>
      </c>
    </row>
    <row r="33">
      <c r="A33" s="5" t="inlineStr">
        <is>
          <t>reports/figures/python_intro/*.png</t>
        </is>
      </c>
    </row>
  </sheetData>
  <mergeCells count="10">
    <mergeCell ref="A24:F24"/>
    <mergeCell ref="A19:F19"/>
    <mergeCell ref="A1:F1"/>
    <mergeCell ref="A23:F23"/>
    <mergeCell ref="A22:F22"/>
    <mergeCell ref="A17:F17"/>
    <mergeCell ref="A18:F18"/>
    <mergeCell ref="A4:F4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6" customWidth="1" min="4" max="4"/>
    <col width="12" customWidth="1" min="5" max="5"/>
    <col width="12" customWidth="1" min="6" max="6"/>
    <col width="25" customWidth="1" min="7" max="7"/>
  </cols>
  <sheetData>
    <row r="1">
      <c r="A1" s="1" t="inlineStr">
        <is>
          <t>Mathematics Achievement Data (from Chapter 2)</t>
        </is>
      </c>
    </row>
    <row r="2"/>
    <row r="3">
      <c r="A3" s="6" t="inlineStr">
        <is>
          <t>ac</t>
        </is>
      </c>
      <c r="B3" s="6" t="inlineStr">
        <is>
          <t>teach</t>
        </is>
      </c>
      <c r="C3" s="6" t="inlineStr">
        <is>
          <t>text</t>
        </is>
      </c>
      <c r="D3" s="6" t="inlineStr">
        <is>
          <t>z-score (formula)</t>
        </is>
      </c>
      <c r="E3" s="6" t="inlineStr">
        <is>
          <t>deviation</t>
        </is>
      </c>
      <c r="F3" s="6" t="inlineStr">
        <is>
          <t>sq_dev</t>
        </is>
      </c>
      <c r="G3" s="6" t="inlineStr">
        <is>
          <t>rank</t>
        </is>
      </c>
    </row>
    <row r="4">
      <c r="A4" s="7" t="n">
        <v>70</v>
      </c>
      <c r="B4" s="7" t="n">
        <v>1</v>
      </c>
      <c r="C4" s="7" t="n">
        <v>1</v>
      </c>
      <c r="D4">
        <f>(A4-$B$28)/$B$29</f>
        <v/>
      </c>
      <c r="E4">
        <f>A4-$B$28</f>
        <v/>
      </c>
      <c r="F4">
        <f>E4^2</f>
        <v/>
      </c>
      <c r="G4">
        <f>RANK(A4,$A$4:$A$27,1)</f>
        <v/>
      </c>
    </row>
    <row r="5">
      <c r="A5" s="7" t="n">
        <v>67</v>
      </c>
      <c r="B5" s="7" t="n">
        <v>1</v>
      </c>
      <c r="C5" s="7" t="n">
        <v>1</v>
      </c>
      <c r="D5">
        <f>(A5-$B$28)/$B$29</f>
        <v/>
      </c>
      <c r="E5">
        <f>A5-$B$28</f>
        <v/>
      </c>
      <c r="F5">
        <f>E5^2</f>
        <v/>
      </c>
      <c r="G5">
        <f>RANK(A5,$A$4:$A$27,1)</f>
        <v/>
      </c>
    </row>
    <row r="6">
      <c r="A6" s="7" t="n">
        <v>65</v>
      </c>
      <c r="B6" s="7" t="n">
        <v>1</v>
      </c>
      <c r="C6" s="7" t="n">
        <v>1</v>
      </c>
      <c r="D6">
        <f>(A6-$B$28)/$B$29</f>
        <v/>
      </c>
      <c r="E6">
        <f>A6-$B$28</f>
        <v/>
      </c>
      <c r="F6">
        <f>E6^2</f>
        <v/>
      </c>
      <c r="G6">
        <f>RANK(A6,$A$4:$A$27,1)</f>
        <v/>
      </c>
    </row>
    <row r="7">
      <c r="A7" s="7" t="n">
        <v>75</v>
      </c>
      <c r="B7" s="7" t="n">
        <v>1</v>
      </c>
      <c r="C7" s="7" t="n">
        <v>2</v>
      </c>
      <c r="D7">
        <f>(A7-$B$28)/$B$29</f>
        <v/>
      </c>
      <c r="E7">
        <f>A7-$B$28</f>
        <v/>
      </c>
      <c r="F7">
        <f>E7^2</f>
        <v/>
      </c>
      <c r="G7">
        <f>RANK(A7,$A$4:$A$27,1)</f>
        <v/>
      </c>
    </row>
    <row r="8">
      <c r="A8" s="7" t="n">
        <v>76</v>
      </c>
      <c r="B8" s="7" t="n">
        <v>1</v>
      </c>
      <c r="C8" s="7" t="n">
        <v>2</v>
      </c>
      <c r="D8">
        <f>(A8-$B$28)/$B$29</f>
        <v/>
      </c>
      <c r="E8">
        <f>A8-$B$28</f>
        <v/>
      </c>
      <c r="F8">
        <f>E8^2</f>
        <v/>
      </c>
      <c r="G8">
        <f>RANK(A8,$A$4:$A$27,1)</f>
        <v/>
      </c>
    </row>
    <row r="9">
      <c r="A9" s="7" t="n">
        <v>73</v>
      </c>
      <c r="B9" s="7" t="n">
        <v>1</v>
      </c>
      <c r="C9" s="7" t="n">
        <v>2</v>
      </c>
      <c r="D9">
        <f>(A9-$B$28)/$B$29</f>
        <v/>
      </c>
      <c r="E9">
        <f>A9-$B$28</f>
        <v/>
      </c>
      <c r="F9">
        <f>E9^2</f>
        <v/>
      </c>
      <c r="G9">
        <f>RANK(A9,$A$4:$A$27,1)</f>
        <v/>
      </c>
    </row>
    <row r="10">
      <c r="A10" s="7" t="n">
        <v>69</v>
      </c>
      <c r="B10" s="7" t="n">
        <v>2</v>
      </c>
      <c r="C10" s="7" t="n">
        <v>1</v>
      </c>
      <c r="D10">
        <f>(A10-$B$28)/$B$29</f>
        <v/>
      </c>
      <c r="E10">
        <f>A10-$B$28</f>
        <v/>
      </c>
      <c r="F10">
        <f>E10^2</f>
        <v/>
      </c>
      <c r="G10">
        <f>RANK(A10,$A$4:$A$27,1)</f>
        <v/>
      </c>
    </row>
    <row r="11">
      <c r="A11" s="7" t="n">
        <v>68</v>
      </c>
      <c r="B11" s="7" t="n">
        <v>2</v>
      </c>
      <c r="C11" s="7" t="n">
        <v>1</v>
      </c>
      <c r="D11">
        <f>(A11-$B$28)/$B$29</f>
        <v/>
      </c>
      <c r="E11">
        <f>A11-$B$28</f>
        <v/>
      </c>
      <c r="F11">
        <f>E11^2</f>
        <v/>
      </c>
      <c r="G11">
        <f>RANK(A11,$A$4:$A$27,1)</f>
        <v/>
      </c>
    </row>
    <row r="12">
      <c r="A12" s="7" t="n">
        <v>70</v>
      </c>
      <c r="B12" s="7" t="n">
        <v>2</v>
      </c>
      <c r="C12" s="7" t="n">
        <v>1</v>
      </c>
      <c r="D12">
        <f>(A12-$B$28)/$B$29</f>
        <v/>
      </c>
      <c r="E12">
        <f>A12-$B$28</f>
        <v/>
      </c>
      <c r="F12">
        <f>E12^2</f>
        <v/>
      </c>
      <c r="G12">
        <f>RANK(A12,$A$4:$A$27,1)</f>
        <v/>
      </c>
    </row>
    <row r="13">
      <c r="A13" s="7" t="n">
        <v>76</v>
      </c>
      <c r="B13" s="7" t="n">
        <v>2</v>
      </c>
      <c r="C13" s="7" t="n">
        <v>2</v>
      </c>
      <c r="D13">
        <f>(A13-$B$28)/$B$29</f>
        <v/>
      </c>
      <c r="E13">
        <f>A13-$B$28</f>
        <v/>
      </c>
      <c r="F13">
        <f>E13^2</f>
        <v/>
      </c>
      <c r="G13">
        <f>RANK(A13,$A$4:$A$27,1)</f>
        <v/>
      </c>
    </row>
    <row r="14">
      <c r="A14" s="7" t="n">
        <v>77</v>
      </c>
      <c r="B14" s="7" t="n">
        <v>2</v>
      </c>
      <c r="C14" s="7" t="n">
        <v>2</v>
      </c>
      <c r="D14">
        <f>(A14-$B$28)/$B$29</f>
        <v/>
      </c>
      <c r="E14">
        <f>A14-$B$28</f>
        <v/>
      </c>
      <c r="F14">
        <f>E14^2</f>
        <v/>
      </c>
      <c r="G14">
        <f>RANK(A14,$A$4:$A$27,1)</f>
        <v/>
      </c>
    </row>
    <row r="15">
      <c r="A15" s="7" t="n">
        <v>75</v>
      </c>
      <c r="B15" s="7" t="n">
        <v>2</v>
      </c>
      <c r="C15" s="7" t="n">
        <v>2</v>
      </c>
      <c r="D15">
        <f>(A15-$B$28)/$B$29</f>
        <v/>
      </c>
      <c r="E15">
        <f>A15-$B$28</f>
        <v/>
      </c>
      <c r="F15">
        <f>E15^2</f>
        <v/>
      </c>
      <c r="G15">
        <f>RANK(A15,$A$4:$A$27,1)</f>
        <v/>
      </c>
    </row>
    <row r="16">
      <c r="A16" s="7" t="n">
        <v>85</v>
      </c>
      <c r="B16" s="7" t="n">
        <v>3</v>
      </c>
      <c r="C16" s="7" t="n">
        <v>1</v>
      </c>
      <c r="D16">
        <f>(A16-$B$28)/$B$29</f>
        <v/>
      </c>
      <c r="E16">
        <f>A16-$B$28</f>
        <v/>
      </c>
      <c r="F16">
        <f>E16^2</f>
        <v/>
      </c>
      <c r="G16">
        <f>RANK(A16,$A$4:$A$27,1)</f>
        <v/>
      </c>
    </row>
    <row r="17">
      <c r="A17" s="7" t="n">
        <v>86</v>
      </c>
      <c r="B17" s="7" t="n">
        <v>3</v>
      </c>
      <c r="C17" s="7" t="n">
        <v>1</v>
      </c>
      <c r="D17">
        <f>(A17-$B$28)/$B$29</f>
        <v/>
      </c>
      <c r="E17">
        <f>A17-$B$28</f>
        <v/>
      </c>
      <c r="F17">
        <f>E17^2</f>
        <v/>
      </c>
      <c r="G17">
        <f>RANK(A17,$A$4:$A$27,1)</f>
        <v/>
      </c>
    </row>
    <row r="18">
      <c r="A18" s="7" t="n">
        <v>85</v>
      </c>
      <c r="B18" s="7" t="n">
        <v>3</v>
      </c>
      <c r="C18" s="7" t="n">
        <v>1</v>
      </c>
      <c r="D18">
        <f>(A18-$B$28)/$B$29</f>
        <v/>
      </c>
      <c r="E18">
        <f>A18-$B$28</f>
        <v/>
      </c>
      <c r="F18">
        <f>E18^2</f>
        <v/>
      </c>
      <c r="G18">
        <f>RANK(A18,$A$4:$A$27,1)</f>
        <v/>
      </c>
    </row>
    <row r="19">
      <c r="A19" s="7" t="n">
        <v>76</v>
      </c>
      <c r="B19" s="7" t="n">
        <v>3</v>
      </c>
      <c r="C19" s="7" t="n">
        <v>2</v>
      </c>
      <c r="D19">
        <f>(A19-$B$28)/$B$29</f>
        <v/>
      </c>
      <c r="E19">
        <f>A19-$B$28</f>
        <v/>
      </c>
      <c r="F19">
        <f>E19^2</f>
        <v/>
      </c>
      <c r="G19">
        <f>RANK(A19,$A$4:$A$27,1)</f>
        <v/>
      </c>
    </row>
    <row r="20">
      <c r="A20" s="7" t="n">
        <v>75</v>
      </c>
      <c r="B20" s="7" t="n">
        <v>3</v>
      </c>
      <c r="C20" s="7" t="n">
        <v>2</v>
      </c>
      <c r="D20">
        <f>(A20-$B$28)/$B$29</f>
        <v/>
      </c>
      <c r="E20">
        <f>A20-$B$28</f>
        <v/>
      </c>
      <c r="F20">
        <f>E20^2</f>
        <v/>
      </c>
      <c r="G20">
        <f>RANK(A20,$A$4:$A$27,1)</f>
        <v/>
      </c>
    </row>
    <row r="21">
      <c r="A21" s="7" t="n">
        <v>73</v>
      </c>
      <c r="B21" s="7" t="n">
        <v>3</v>
      </c>
      <c r="C21" s="7" t="n">
        <v>2</v>
      </c>
      <c r="D21">
        <f>(A21-$B$28)/$B$29</f>
        <v/>
      </c>
      <c r="E21">
        <f>A21-$B$28</f>
        <v/>
      </c>
      <c r="F21">
        <f>E21^2</f>
        <v/>
      </c>
      <c r="G21">
        <f>RANK(A21,$A$4:$A$27,1)</f>
        <v/>
      </c>
    </row>
    <row r="22">
      <c r="A22" s="7" t="n">
        <v>95</v>
      </c>
      <c r="B22" s="7" t="n">
        <v>4</v>
      </c>
      <c r="C22" s="7" t="n">
        <v>1</v>
      </c>
      <c r="D22">
        <f>(A22-$B$28)/$B$29</f>
        <v/>
      </c>
      <c r="E22">
        <f>A22-$B$28</f>
        <v/>
      </c>
      <c r="F22">
        <f>E22^2</f>
        <v/>
      </c>
      <c r="G22">
        <f>RANK(A22,$A$4:$A$27,1)</f>
        <v/>
      </c>
    </row>
    <row r="23">
      <c r="A23" s="7" t="n">
        <v>94</v>
      </c>
      <c r="B23" s="7" t="n">
        <v>4</v>
      </c>
      <c r="C23" s="7" t="n">
        <v>1</v>
      </c>
      <c r="D23">
        <f>(A23-$B$28)/$B$29</f>
        <v/>
      </c>
      <c r="E23">
        <f>A23-$B$28</f>
        <v/>
      </c>
      <c r="F23">
        <f>E23^2</f>
        <v/>
      </c>
      <c r="G23">
        <f>RANK(A23,$A$4:$A$27,1)</f>
        <v/>
      </c>
    </row>
    <row r="24">
      <c r="A24" s="7" t="n">
        <v>89</v>
      </c>
      <c r="B24" s="7" t="n">
        <v>4</v>
      </c>
      <c r="C24" s="7" t="n">
        <v>1</v>
      </c>
      <c r="D24">
        <f>(A24-$B$28)/$B$29</f>
        <v/>
      </c>
      <c r="E24">
        <f>A24-$B$28</f>
        <v/>
      </c>
      <c r="F24">
        <f>E24^2</f>
        <v/>
      </c>
      <c r="G24">
        <f>RANK(A24,$A$4:$A$27,1)</f>
        <v/>
      </c>
    </row>
    <row r="25">
      <c r="A25" s="7" t="n">
        <v>94</v>
      </c>
      <c r="B25" s="7" t="n">
        <v>4</v>
      </c>
      <c r="C25" s="7" t="n">
        <v>2</v>
      </c>
      <c r="D25">
        <f>(A25-$B$28)/$B$29</f>
        <v/>
      </c>
      <c r="E25">
        <f>A25-$B$28</f>
        <v/>
      </c>
      <c r="F25">
        <f>E25^2</f>
        <v/>
      </c>
      <c r="G25">
        <f>RANK(A25,$A$4:$A$27,1)</f>
        <v/>
      </c>
    </row>
    <row r="26">
      <c r="A26" s="7" t="n">
        <v>93</v>
      </c>
      <c r="B26" s="7" t="n">
        <v>4</v>
      </c>
      <c r="C26" s="7" t="n">
        <v>2</v>
      </c>
      <c r="D26">
        <f>(A26-$B$28)/$B$29</f>
        <v/>
      </c>
      <c r="E26">
        <f>A26-$B$28</f>
        <v/>
      </c>
      <c r="F26">
        <f>E26^2</f>
        <v/>
      </c>
      <c r="G26">
        <f>RANK(A26,$A$4:$A$27,1)</f>
        <v/>
      </c>
    </row>
    <row r="27">
      <c r="A27" s="7" t="n">
        <v>91</v>
      </c>
      <c r="B27" s="7" t="n">
        <v>4</v>
      </c>
      <c r="C27" s="7" t="n">
        <v>2</v>
      </c>
      <c r="D27">
        <f>(A27-$B$28)/$B$29</f>
        <v/>
      </c>
      <c r="E27">
        <f>A27-$B$28</f>
        <v/>
      </c>
      <c r="F27">
        <f>E27^2</f>
        <v/>
      </c>
      <c r="G27">
        <f>RANK(A27,$A$4:$A$27,1)</f>
        <v/>
      </c>
    </row>
    <row r="28">
      <c r="A28" s="5" t="inlineStr">
        <is>
          <t>Mean (μ)</t>
        </is>
      </c>
      <c r="B28" s="8">
        <f>AVERAGE(A4:A27)</f>
        <v/>
      </c>
    </row>
    <row r="29">
      <c r="A29" s="5" t="inlineStr">
        <is>
          <t>Std sample (σ)</t>
        </is>
      </c>
      <c r="B29" s="8">
        <f>STDEV.S(A4:A27)</f>
        <v/>
      </c>
    </row>
    <row r="30">
      <c r="A30" s="5" t="inlineStr">
        <is>
          <t>Std (sample)</t>
        </is>
      </c>
      <c r="B30" s="9">
        <f>STDEV.S(A4:A27)</f>
        <v/>
      </c>
    </row>
    <row r="31">
      <c r="A31" s="5" t="inlineStr">
        <is>
          <t>Median</t>
        </is>
      </c>
      <c r="B31" s="9">
        <f>MEDIAN(A4:A27)</f>
        <v/>
      </c>
    </row>
    <row r="32">
      <c r="A32" s="5" t="inlineStr">
        <is>
          <t>Variance sample</t>
        </is>
      </c>
      <c r="B32" s="9">
        <f>VAR.S(A4:A27)</f>
        <v/>
      </c>
    </row>
    <row r="33">
      <c r="A33" s="5" t="inlineStr">
        <is>
          <t>n</t>
        </is>
      </c>
      <c r="B33" s="9">
        <f>COUNTA(A4:A27)</f>
        <v/>
      </c>
    </row>
    <row r="34">
      <c r="A34" s="5" t="inlineStr">
        <is>
          <t>Min</t>
        </is>
      </c>
      <c r="B34" s="9">
        <f>MIN(A4:A27)</f>
        <v/>
      </c>
    </row>
    <row r="35">
      <c r="A35" s="5" t="inlineStr">
        <is>
          <t>Max</t>
        </is>
      </c>
      <c r="B35" s="9">
        <f>MAX(A4:A27)</f>
        <v/>
      </c>
    </row>
    <row r="36">
      <c r="A36" s="5" t="inlineStr">
        <is>
          <t>Range</t>
        </is>
      </c>
      <c r="B36" s="9">
        <f>B35-B34</f>
        <v/>
      </c>
    </row>
    <row r="37">
      <c r="A37" s="5" t="inlineStr">
        <is>
          <t>Sum of sq deviations</t>
        </is>
      </c>
      <c r="B37" s="9">
        <f>SUM(F4:F27)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8" customWidth="1" min="4" max="4"/>
  </cols>
  <sheetData>
    <row r="1">
      <c r="A1" s="1" t="inlineStr">
        <is>
          <t>Interactive Descriptive Statistics Calculator</t>
        </is>
      </c>
    </row>
    <row r="2"/>
    <row r="3">
      <c r="A3" s="5" t="inlineStr">
        <is>
          <t>Enter your data in column A (starting at A5). Yellow cells are inputs.</t>
        </is>
      </c>
    </row>
    <row r="4">
      <c r="A4" s="6" t="inlineStr">
        <is>
          <t>Data values</t>
        </is>
      </c>
      <c r="B4" s="6" t="n"/>
      <c r="C4" s="6" t="inlineStr">
        <is>
          <t>Statistic</t>
        </is>
      </c>
      <c r="D4" s="6" t="inlineStr">
        <is>
          <t>Value</t>
        </is>
      </c>
    </row>
    <row r="5">
      <c r="A5" s="10" t="n">
        <v>70</v>
      </c>
      <c r="C5" s="11" t="inlineStr">
        <is>
          <t>n</t>
        </is>
      </c>
      <c r="D5" s="12">
        <f>COUNTA(A5:A100)</f>
        <v/>
      </c>
    </row>
    <row r="6">
      <c r="A6" s="10" t="n">
        <v>67</v>
      </c>
      <c r="C6" s="13" t="inlineStr">
        <is>
          <t>Mean</t>
        </is>
      </c>
      <c r="D6" s="14">
        <f>IFERROR(AVERAGE(A5:A100),"")</f>
        <v/>
      </c>
    </row>
    <row r="7">
      <c r="A7" s="10" t="n">
        <v>65</v>
      </c>
      <c r="C7" s="11" t="inlineStr">
        <is>
          <t>Median</t>
        </is>
      </c>
      <c r="D7" s="12">
        <f>IFERROR(MEDIAN(A5:A100),"")</f>
        <v/>
      </c>
    </row>
    <row r="8">
      <c r="A8" s="10" t="n">
        <v>75</v>
      </c>
      <c r="C8" s="13" t="inlineStr">
        <is>
          <t>Mode</t>
        </is>
      </c>
      <c r="D8" s="14">
        <f>IFERROR(MODE.SNGL(A5:A100),"multi / none")</f>
        <v/>
      </c>
    </row>
    <row r="9">
      <c r="A9" s="10" t="n">
        <v>76</v>
      </c>
      <c r="C9" s="11" t="inlineStr">
        <is>
          <t>Std (sample)</t>
        </is>
      </c>
      <c r="D9" s="12">
        <f>IFERROR(STDEV.S(A5:A100),"")</f>
        <v/>
      </c>
    </row>
    <row r="10">
      <c r="A10" s="10" t="n">
        <v>73</v>
      </c>
      <c r="C10" s="13" t="inlineStr">
        <is>
          <t>Std (pop)</t>
        </is>
      </c>
      <c r="D10" s="14">
        <f>IFERROR(STDEV.P(A5:A100),"")</f>
        <v/>
      </c>
    </row>
    <row r="11">
      <c r="A11" s="10" t="n">
        <v>69</v>
      </c>
      <c r="C11" s="11" t="inlineStr">
        <is>
          <t>Variance (sample)</t>
        </is>
      </c>
      <c r="D11" s="12">
        <f>IFERROR(VAR.S(A5:A100),"")</f>
        <v/>
      </c>
    </row>
    <row r="12">
      <c r="A12" s="10" t="n">
        <v>68</v>
      </c>
      <c r="C12" s="13" t="inlineStr">
        <is>
          <t>Min</t>
        </is>
      </c>
      <c r="D12" s="14">
        <f>IFERROR(MIN(A5:A100),"")</f>
        <v/>
      </c>
    </row>
    <row r="13">
      <c r="A13" s="10" t="n">
        <v>70</v>
      </c>
      <c r="C13" s="11" t="inlineStr">
        <is>
          <t>Max</t>
        </is>
      </c>
      <c r="D13" s="12">
        <f>IFERROR(MAX(A5:A100),"")</f>
        <v/>
      </c>
    </row>
    <row r="14">
      <c r="A14" s="10" t="n">
        <v>76</v>
      </c>
      <c r="C14" s="13" t="inlineStr">
        <is>
          <t>Range</t>
        </is>
      </c>
      <c r="D14" s="14">
        <f>IFERROR(D13-D12,"")</f>
        <v/>
      </c>
    </row>
    <row r="15">
      <c r="A15" s="10" t="n">
        <v>77</v>
      </c>
      <c r="C15" s="11" t="inlineStr">
        <is>
          <t>Q1 (25%)</t>
        </is>
      </c>
      <c r="D15" s="12">
        <f>IFERROR(QUARTILE.EXC(A5:A100,1),"")</f>
        <v/>
      </c>
    </row>
    <row r="16">
      <c r="A16" s="10" t="n">
        <v>75</v>
      </c>
      <c r="C16" s="13" t="inlineStr">
        <is>
          <t>Q3 (75%)</t>
        </is>
      </c>
      <c r="D16" s="14">
        <f>IFERROR(QUARTILE.EXC(A5:A100,3),"")</f>
        <v/>
      </c>
    </row>
    <row r="17">
      <c r="A17" s="10" t="n">
        <v>85</v>
      </c>
      <c r="C17" s="11" t="inlineStr">
        <is>
          <t>IQR</t>
        </is>
      </c>
      <c r="D17" s="12">
        <f>IFERROR(D16-D15,"")</f>
        <v/>
      </c>
    </row>
    <row r="18">
      <c r="A18" s="10" t="n">
        <v>86</v>
      </c>
      <c r="C18" s="13" t="inlineStr">
        <is>
          <t>Skew (approx)</t>
        </is>
      </c>
      <c r="D18" s="14" t="inlineStr">
        <is>
          <t>See Python / scipy for Fisher skew</t>
        </is>
      </c>
    </row>
    <row r="19">
      <c r="A19" s="10" t="n">
        <v>85</v>
      </c>
      <c r="C19" s="11" t="inlineStr">
        <is>
          <t>Kurtosis (approx)</t>
        </is>
      </c>
      <c r="D19" s="12" t="inlineStr">
        <is>
          <t>See Python / scipy for Fisher kurtosis</t>
        </is>
      </c>
    </row>
    <row r="20">
      <c r="A20" s="10" t="n">
        <v>76</v>
      </c>
    </row>
    <row r="21">
      <c r="A21" s="10" t="n">
        <v>75</v>
      </c>
    </row>
    <row r="22">
      <c r="A22" s="10" t="n">
        <v>73</v>
      </c>
      <c r="C22" s="15" t="inlineStr">
        <is>
          <t>Tip: Replace the yellow cells with any numeric series. All statistics update automatically.</t>
        </is>
      </c>
    </row>
    <row r="23">
      <c r="A23" s="10" t="n">
        <v>95</v>
      </c>
    </row>
    <row r="24">
      <c r="A24" s="10" t="n">
        <v>94</v>
      </c>
    </row>
    <row r="25">
      <c r="A25" s="10" t="n">
        <v>89</v>
      </c>
    </row>
    <row r="26">
      <c r="A26" s="10" t="n">
        <v>94</v>
      </c>
    </row>
    <row r="27">
      <c r="A27" s="10" t="n">
        <v>93</v>
      </c>
    </row>
    <row r="28">
      <c r="A28" s="10" t="n">
        <v>91</v>
      </c>
    </row>
  </sheetData>
  <mergeCells count="3">
    <mergeCell ref="A1:D1"/>
    <mergeCell ref="C22:D22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Z-Score Laboratory</t>
        </is>
      </c>
    </row>
    <row r="2"/>
    <row r="3">
      <c r="A3" s="5" t="inlineStr">
        <is>
          <t>Enter any raw score, mean and standard deviation – the z-score and approximate percentile appear instantly.</t>
        </is>
      </c>
    </row>
    <row r="4"/>
    <row r="5">
      <c r="A5" s="2" t="inlineStr">
        <is>
          <t>INPUTS (edit yellow cells)</t>
        </is>
      </c>
    </row>
    <row r="6">
      <c r="A6" t="inlineStr">
        <is>
          <t>Raw score (x)</t>
        </is>
      </c>
      <c r="B6" s="10" t="n">
        <v>114</v>
      </c>
    </row>
    <row r="7">
      <c r="A7" t="inlineStr">
        <is>
          <t>Mean (μ)</t>
        </is>
      </c>
      <c r="B7" s="10" t="n">
        <v>110</v>
      </c>
    </row>
    <row r="8">
      <c r="A8" t="inlineStr">
        <is>
          <t>Std Dev (σ)</t>
        </is>
      </c>
      <c r="B8" s="10" t="n">
        <v>2</v>
      </c>
    </row>
    <row r="9"/>
    <row r="10">
      <c r="A10" s="2" t="inlineStr">
        <is>
          <t>RESULTS</t>
        </is>
      </c>
    </row>
    <row r="11">
      <c r="A11" t="inlineStr">
        <is>
          <t>z-score</t>
        </is>
      </c>
      <c r="B11" s="16">
        <f>(B6-B7)/B8</f>
        <v/>
      </c>
    </row>
    <row r="12">
      <c r="A12" t="inlineStr">
        <is>
          <t>Interpretation</t>
        </is>
      </c>
      <c r="B12" s="17">
        <f>IF(B11&gt;0,CONCATENATE(ROUND(B11,2)," SD above the mean"),CONCATENATE(ROUND(ABS(B11),2)," SD below the mean"))</f>
        <v/>
      </c>
    </row>
    <row r="13"/>
    <row r="14">
      <c r="A14" s="15" t="inlineStr">
        <is>
          <t>Chapter example (IQ = 114, μ = 110, σ = 2) yields z = 2 → approx. 97.7th percentile under normality.</t>
        </is>
      </c>
    </row>
    <row r="15"/>
    <row r="16">
      <c r="A16" s="2" t="inlineStr">
        <is>
          <t>Common z-values &amp; cumulative probabilities (standard normal)</t>
        </is>
      </c>
    </row>
    <row r="17">
      <c r="A17" s="6" t="inlineStr">
        <is>
          <t>z</t>
        </is>
      </c>
      <c r="B17" s="6" t="inlineStr">
        <is>
          <t>Approx. % below</t>
        </is>
      </c>
    </row>
    <row r="18">
      <c r="A18" s="17" t="n">
        <v>-3</v>
      </c>
      <c r="B18" s="17" t="inlineStr">
        <is>
          <t>0.13%</t>
        </is>
      </c>
    </row>
    <row r="19">
      <c r="A19" s="17" t="n">
        <v>-2</v>
      </c>
      <c r="B19" s="17" t="inlineStr">
        <is>
          <t>2.3%</t>
        </is>
      </c>
    </row>
    <row r="20">
      <c r="A20" s="17" t="n">
        <v>-1</v>
      </c>
      <c r="B20" s="17" t="inlineStr">
        <is>
          <t>15.9%</t>
        </is>
      </c>
    </row>
    <row r="21">
      <c r="A21" s="17" t="n">
        <v>0</v>
      </c>
      <c r="B21" s="17" t="inlineStr">
        <is>
          <t>50%</t>
        </is>
      </c>
    </row>
    <row r="22">
      <c r="A22" s="17" t="n">
        <v>1</v>
      </c>
      <c r="B22" s="17" t="inlineStr">
        <is>
          <t>84.1%</t>
        </is>
      </c>
    </row>
    <row r="23">
      <c r="A23" s="17" t="n">
        <v>2</v>
      </c>
      <c r="B23" s="17" t="inlineStr">
        <is>
          <t>97.7%</t>
        </is>
      </c>
    </row>
    <row r="24">
      <c r="A24" s="17" t="n">
        <v>3</v>
      </c>
      <c r="B24" s="17" t="inlineStr">
        <is>
          <t>99.9%</t>
        </is>
      </c>
    </row>
  </sheetData>
  <mergeCells count="3">
    <mergeCell ref="A14:E14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0" customWidth="1" min="4" max="4"/>
    <col width="10" customWidth="1" min="5" max="5"/>
    <col width="10" customWidth="1" min="6" max="6"/>
  </cols>
  <sheetData>
    <row r="1">
      <c r="A1" s="1" t="inlineStr">
        <is>
          <t>Essential Linear &amp; Matrix Algebra for Statistics</t>
        </is>
      </c>
    </row>
    <row r="2"/>
    <row r="3">
      <c r="A3" s="2" t="inlineStr">
        <is>
          <t>1. Identity Matrix (3×3) – Exercise 10</t>
        </is>
      </c>
    </row>
    <row r="4">
      <c r="A4" s="18" t="n">
        <v>1</v>
      </c>
      <c r="B4" s="19" t="n">
        <v>0</v>
      </c>
      <c r="C4" s="19" t="n">
        <v>0</v>
      </c>
    </row>
    <row r="5">
      <c r="A5" s="19" t="n">
        <v>0</v>
      </c>
      <c r="B5" s="18" t="n">
        <v>1</v>
      </c>
      <c r="C5" s="19" t="n">
        <v>0</v>
      </c>
    </row>
    <row r="6">
      <c r="A6" s="19" t="n">
        <v>0</v>
      </c>
      <c r="B6" s="19" t="n">
        <v>0</v>
      </c>
      <c r="C6" s="18" t="n">
        <v>1</v>
      </c>
    </row>
    <row r="7"/>
    <row r="8">
      <c r="A8" s="2" t="inlineStr">
        <is>
          <t>2. Sample Covariance vs Correlation (illustrative 2×2)</t>
        </is>
      </c>
    </row>
    <row r="9">
      <c r="A9" s="4" t="inlineStr">
        <is>
          <t>Covariance matrix</t>
        </is>
      </c>
      <c r="D9" s="4" t="inlineStr">
        <is>
          <t>Correlation matrix</t>
        </is>
      </c>
    </row>
    <row r="10">
      <c r="A10" s="20" t="inlineStr">
        <is>
          <t>ac</t>
        </is>
      </c>
      <c r="B10" s="20" t="inlineStr">
        <is>
          <t>ac_noise</t>
        </is>
      </c>
      <c r="D10" s="20" t="inlineStr">
        <is>
          <t>ac</t>
        </is>
      </c>
      <c r="E10" s="20" t="inlineStr">
        <is>
          <t>ac_noise</t>
        </is>
      </c>
    </row>
    <row r="11">
      <c r="A11" s="20" t="n">
        <v>93.08499999999999</v>
      </c>
      <c r="B11" s="20" t="n">
        <v>92.65600000000001</v>
      </c>
      <c r="D11" s="20" t="n">
        <v>1</v>
      </c>
      <c r="E11" s="20" t="n">
        <v>0.911</v>
      </c>
    </row>
    <row r="12">
      <c r="A12" s="20" t="n">
        <v>92.65600000000001</v>
      </c>
      <c r="B12" s="20" t="n">
        <v>111.019</v>
      </c>
      <c r="D12" s="20" t="n">
        <v>0.911</v>
      </c>
      <c r="E12" s="20" t="n">
        <v>1</v>
      </c>
    </row>
    <row r="13"/>
    <row r="14">
      <c r="A14" s="15" t="inlineStr">
        <is>
          <t>Note: Correlation is the standardized version of covariance. Diagonal of corr is always 1.</t>
        </is>
      </c>
    </row>
    <row r="15"/>
    <row r="16">
      <c r="A16" s="2" t="inlineStr">
        <is>
          <t>3. Eigen-equation Ax = λx (demo matrix)</t>
        </is>
      </c>
    </row>
    <row r="17">
      <c r="A17" t="inlineStr">
        <is>
          <t>A =</t>
        </is>
      </c>
      <c r="B17" s="21" t="n">
        <v>2</v>
      </c>
      <c r="C17" s="21" t="n">
        <v>1</v>
      </c>
    </row>
    <row r="18">
      <c r="B18" s="21" t="n">
        <v>1</v>
      </c>
      <c r="C18" s="21" t="n">
        <v>2</v>
      </c>
    </row>
    <row r="19"/>
    <row r="20">
      <c r="A20" t="inlineStr">
        <is>
          <t>Eigenvalues λ</t>
        </is>
      </c>
      <c r="B20" s="22" t="n">
        <v>3</v>
      </c>
      <c r="C20" s="22" t="n">
        <v>1</v>
      </c>
    </row>
    <row r="21">
      <c r="A21" t="inlineStr">
        <is>
          <t>Eigenvectors (columns)</t>
        </is>
      </c>
      <c r="B21" s="22" t="n">
        <v>0.7071</v>
      </c>
      <c r="C21" s="22" t="n">
        <v>-0.7071</v>
      </c>
    </row>
    <row r="22">
      <c r="B22" s="22" t="n">
        <v>0.7071</v>
      </c>
      <c r="C22" s="22" t="n">
        <v>0.7071</v>
      </c>
    </row>
    <row r="23"/>
    <row r="24">
      <c r="A24" s="15" t="inlineStr">
        <is>
          <t>Verification: A·v₁ = λ₁·v₁  →  [2.121, 2.121] = 3·[0.707, 0.707]</t>
        </is>
      </c>
    </row>
    <row r="25"/>
    <row r="26">
      <c r="A26" s="23" t="inlineStr">
        <is>
          <t>Key takeaway: Software output for PCA / factor analysis rests on these linear-algebra operations.</t>
        </is>
      </c>
    </row>
  </sheetData>
  <mergeCells count="4">
    <mergeCell ref="A24:F24"/>
    <mergeCell ref="A14:F14"/>
    <mergeCell ref="A26:F26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Normal Density Lookup &amp; Evaluator</t>
        </is>
      </c>
    </row>
    <row r="2"/>
    <row r="3">
      <c r="A3" s="2" t="inlineStr">
        <is>
          <t>Formula (chapter):  f(x) = 1 / √(2πσ²) · e^(-(x-μ)²/(2σ²))</t>
        </is>
      </c>
    </row>
    <row r="4"/>
    <row r="5">
      <c r="A5" s="2" t="inlineStr">
        <is>
          <t>Interactive evaluator (edit yellow)</t>
        </is>
      </c>
    </row>
    <row r="6">
      <c r="A6" t="inlineStr">
        <is>
          <t>x</t>
        </is>
      </c>
      <c r="B6" s="24" t="n">
        <v>0</v>
      </c>
    </row>
    <row r="7">
      <c r="A7" t="inlineStr">
        <is>
          <t>μ</t>
        </is>
      </c>
      <c r="B7" s="24" t="n">
        <v>0</v>
      </c>
    </row>
    <row r="8">
      <c r="A8" t="inlineStr">
        <is>
          <t>σ</t>
        </is>
      </c>
      <c r="B8" s="24" t="n">
        <v>1</v>
      </c>
    </row>
    <row r="9"/>
    <row r="10">
      <c r="A10" t="inlineStr">
        <is>
          <t>f(x)</t>
        </is>
      </c>
      <c r="B10" s="25">
        <f>1/SQRT(2*PI()*B8^2)*EXP(-((B6-B7)^2)/(2*B8^2))</f>
        <v/>
      </c>
    </row>
    <row r="11"/>
    <row r="12">
      <c r="A12" s="2" t="inlineStr">
        <is>
          <t>Standard normal density table (μ=0, σ=1)</t>
        </is>
      </c>
    </row>
    <row r="13">
      <c r="A13" s="6" t="inlineStr">
        <is>
          <t>x</t>
        </is>
      </c>
      <c r="B13" s="6" t="inlineStr">
        <is>
          <t>f(x)</t>
        </is>
      </c>
    </row>
    <row r="14">
      <c r="A14" s="17" t="n">
        <v>-3</v>
      </c>
      <c r="B14" s="26" t="n">
        <v>0.004432</v>
      </c>
    </row>
    <row r="15">
      <c r="A15" s="17" t="n">
        <v>-2.5</v>
      </c>
      <c r="B15" s="26" t="n">
        <v>0.017528</v>
      </c>
    </row>
    <row r="16">
      <c r="A16" s="17" t="n">
        <v>-2</v>
      </c>
      <c r="B16" s="26" t="n">
        <v>0.053991</v>
      </c>
    </row>
    <row r="17">
      <c r="A17" s="17" t="n">
        <v>-1.5</v>
      </c>
      <c r="B17" s="26" t="n">
        <v>0.129518</v>
      </c>
    </row>
    <row r="18">
      <c r="A18" s="17" t="n">
        <v>-1</v>
      </c>
      <c r="B18" s="26" t="n">
        <v>0.241971</v>
      </c>
    </row>
    <row r="19">
      <c r="A19" s="17" t="n">
        <v>-0.5</v>
      </c>
      <c r="B19" s="26" t="n">
        <v>0.352065</v>
      </c>
    </row>
    <row r="20">
      <c r="A20" s="17" t="n">
        <v>0</v>
      </c>
      <c r="B20" s="27" t="n">
        <v>0.398942</v>
      </c>
    </row>
    <row r="21">
      <c r="A21" s="17" t="n">
        <v>0.5</v>
      </c>
      <c r="B21" s="26" t="n">
        <v>0.352065</v>
      </c>
    </row>
    <row r="22">
      <c r="A22" s="17" t="n">
        <v>1</v>
      </c>
      <c r="B22" s="26" t="n">
        <v>0.241971</v>
      </c>
    </row>
    <row r="23">
      <c r="A23" s="17" t="n">
        <v>1.5</v>
      </c>
      <c r="B23" s="26" t="n">
        <v>0.129518</v>
      </c>
    </row>
    <row r="24">
      <c r="A24" s="17" t="n">
        <v>2</v>
      </c>
      <c r="B24" s="26" t="n">
        <v>0.053991</v>
      </c>
    </row>
    <row r="25">
      <c r="A25" s="17" t="n">
        <v>2.5</v>
      </c>
      <c r="B25" s="26" t="n">
        <v>0.017528</v>
      </c>
    </row>
    <row r="26">
      <c r="A26" s="17" t="n">
        <v>3</v>
      </c>
      <c r="B26" s="26" t="n">
        <v>0.004432</v>
      </c>
    </row>
    <row r="27"/>
    <row r="28"/>
    <row r="29">
      <c r="A29" s="2" t="inlineStr">
        <is>
          <t>Constants used in the formula</t>
        </is>
      </c>
    </row>
    <row r="30">
      <c r="A30" t="inlineStr">
        <is>
          <t>e (Euler)</t>
        </is>
      </c>
      <c r="B30" s="28" t="n">
        <v>2.718281828459045</v>
      </c>
    </row>
    <row r="31">
      <c r="A31" t="inlineStr">
        <is>
          <t>π (pi)</t>
        </is>
      </c>
      <c r="B31" s="28" t="n">
        <v>3.141592653589793</v>
      </c>
    </row>
  </sheetData>
  <mergeCells count="2"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52" customWidth="1" min="1" max="1"/>
    <col width="75" customWidth="1" min="2" max="2"/>
  </cols>
  <sheetData>
    <row r="1">
      <c r="A1" s="1" t="inlineStr">
        <is>
          <t>How to Use Every Script, Notebook &amp; This Spreadsheet</t>
        </is>
      </c>
    </row>
    <row r="3">
      <c r="A3" s="5" t="inlineStr"/>
      <c r="B3" s="5" t="inlineStr"/>
    </row>
    <row r="4">
      <c r="A4" s="2" t="inlineStr">
        <is>
          <t>PYTHON MODULE</t>
        </is>
      </c>
      <c r="B4" s="5" t="inlineStr"/>
    </row>
    <row r="5">
      <c r="A5" s="4" t="inlineStr">
        <is>
          <t>scripts/python_computational_stats.py</t>
        </is>
      </c>
      <c r="B5" s="5" t="inlineStr">
        <is>
          <t>Import any function you need. Core entry point: run_chapter2_demo().</t>
        </is>
      </c>
    </row>
    <row r="6">
      <c r="A6" s="4" t="inlineStr">
        <is>
          <t>scripts/run_python_intro.py</t>
        </is>
      </c>
      <c r="B6" s="5" t="inlineStr">
        <is>
          <t>Run from terminal: python scripts/run_python_intro.py  → generates figures + log.</t>
        </is>
      </c>
    </row>
    <row r="7">
      <c r="A7" s="5" t="inlineStr"/>
      <c r="B7" s="5" t="inlineStr"/>
    </row>
    <row r="8">
      <c r="A8" s="2" t="inlineStr">
        <is>
          <t>NOTEBOOKS</t>
        </is>
      </c>
      <c r="B8" s="5" t="inlineStr"/>
    </row>
    <row r="9">
      <c r="A9" s="4" t="inlineStr">
        <is>
          <t>notebooks/14_…_extended.ipynb</t>
        </is>
      </c>
      <c r="B9" s="5" t="inlineStr">
        <is>
          <t>Full narrative walk-through. Open in Jupyter / VS Code and run all cells.</t>
        </is>
      </c>
    </row>
    <row r="10">
      <c r="A10" s="4" t="inlineStr">
        <is>
          <t>templates/python_computational_stats_template.ipynb</t>
        </is>
      </c>
      <c r="B10" s="5" t="inlineStr">
        <is>
          <t>Minimal template – change DATA_PATH &amp; NUMERIC_COL, then re-run.</t>
        </is>
      </c>
    </row>
    <row r="11">
      <c r="A11" s="5" t="inlineStr"/>
      <c r="B11" s="5" t="inlineStr"/>
    </row>
    <row r="12">
      <c r="A12" s="2" t="inlineStr">
        <is>
          <t>TEMPLATES (scripts)</t>
        </is>
      </c>
      <c r="B12" s="5" t="inlineStr"/>
    </row>
    <row r="13">
      <c r="A13" s="4" t="inlineStr">
        <is>
          <t>templates/python_computational_stats_template.py</t>
        </is>
      </c>
      <c r="B13" s="5" t="inlineStr">
        <is>
          <t>Same as the notebook template but as a plain .py file you can schedule or import.</t>
        </is>
      </c>
    </row>
    <row r="14">
      <c r="A14" s="5" t="inlineStr"/>
      <c r="B14" s="5" t="inlineStr"/>
    </row>
    <row r="15">
      <c r="A15" s="2" t="inlineStr">
        <is>
          <t>DATA</t>
        </is>
      </c>
      <c r="B15" s="5" t="inlineStr"/>
    </row>
    <row r="16">
      <c r="A16" s="4" t="inlineStr">
        <is>
          <t>data/achievement_scores.csv</t>
        </is>
      </c>
      <c r="B16" s="5" t="inlineStr">
        <is>
          <t>24 observations used throughout Ch.2 examples.</t>
        </is>
      </c>
    </row>
    <row r="17">
      <c r="A17" s="4" t="inlineStr">
        <is>
          <t>data/iq_data.csv</t>
        </is>
      </c>
      <c r="B17" s="5" t="inlineStr">
        <is>
          <t>Synthetic verbal / quant / analytic scores + group.</t>
        </is>
      </c>
    </row>
    <row r="18">
      <c r="A18" s="5" t="inlineStr"/>
      <c r="B18" s="5" t="inlineStr"/>
    </row>
    <row r="19">
      <c r="A19" s="2" t="inlineStr">
        <is>
          <t>THIS SPREADSHEET</t>
        </is>
      </c>
      <c r="B19" s="5" t="inlineStr"/>
    </row>
    <row r="20">
      <c r="A20" s="4" t="inlineStr">
        <is>
          <t>Achievement Data sheet</t>
        </is>
      </c>
      <c r="B20" s="5" t="inlineStr">
        <is>
          <t>Live z-score formulas; change any ac value and z updates.</t>
        </is>
      </c>
    </row>
    <row r="21">
      <c r="A21" s="4" t="inlineStr">
        <is>
          <t>Descriptives sheet</t>
        </is>
      </c>
      <c r="B21" s="5" t="inlineStr">
        <is>
          <t>Paste any column of numbers into the yellow cells.</t>
        </is>
      </c>
    </row>
    <row r="22">
      <c r="A22" s="4" t="inlineStr">
        <is>
          <t>Z-Score Lab sheet</t>
        </is>
      </c>
      <c r="B22" s="5" t="inlineStr">
        <is>
          <t>Instant calculator for teaching or homework checking.</t>
        </is>
      </c>
    </row>
    <row r="23">
      <c r="A23" s="4" t="inlineStr">
        <is>
          <t>Matrix Algebra sheet</t>
        </is>
      </c>
      <c r="B23" s="5" t="inlineStr">
        <is>
          <t>Reference tables for identity, cov/corr, eigen-demo.</t>
        </is>
      </c>
    </row>
    <row r="24">
      <c r="A24" s="4" t="inlineStr">
        <is>
          <t>Normal Density sheet</t>
        </is>
      </c>
      <c r="B24" s="5" t="inlineStr">
        <is>
          <t>Interactive pdf evaluator + standard normal table.</t>
        </is>
      </c>
    </row>
    <row r="25">
      <c r="A25" s="5" t="inlineStr"/>
      <c r="B25" s="5" t="inlineStr"/>
    </row>
    <row r="26">
      <c r="A26" s="2" t="inlineStr">
        <is>
          <t>QUICK START</t>
        </is>
      </c>
      <c r="B26" s="5" t="inlineStr"/>
    </row>
    <row r="27">
      <c r="A27" s="5" t="inlineStr">
        <is>
          <t>1.</t>
        </is>
      </c>
      <c r="B27" s="5" t="inlineStr">
        <is>
          <t>Open this .xlsx in Google Sheets or Excel – all formulas work.</t>
        </is>
      </c>
    </row>
    <row r="28">
      <c r="A28" s="5" t="inlineStr">
        <is>
          <t>2.</t>
        </is>
      </c>
      <c r="B28" s="5" t="inlineStr">
        <is>
          <t>In a terminal: python scripts/run_python_intro.py</t>
        </is>
      </c>
    </row>
    <row r="29">
      <c r="A29" s="5" t="inlineStr">
        <is>
          <t>3.</t>
        </is>
      </c>
      <c r="B29" s="5" t="inlineStr">
        <is>
          <t>Open the extended notebook and execute top-to-bottom.</t>
        </is>
      </c>
    </row>
    <row r="30">
      <c r="A30" s="5" t="inlineStr">
        <is>
          <t>4.</t>
        </is>
      </c>
      <c r="B30" s="5" t="inlineStr">
        <is>
          <t>Copy the template for your own data sets.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2026-08-02T23:52:49Z</dcterms:created>
  <dcterms:modified xmlns:dcterms="http://purl.org/dc/terms/" xmlns:xsi="http://www.w3.org/2001/XMLSchema-instance" xsi:type="dcterms:W3CDTF">2026-08-02T23:52:49Z</dcterms:modified>
</cp:coreProperties>
</file>