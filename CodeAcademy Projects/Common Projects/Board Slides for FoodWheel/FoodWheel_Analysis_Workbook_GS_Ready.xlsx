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Orders Analysis" sheetId="3" state="visible" r:id="rId3"/>
    <sheet xmlns:r="http://schemas.openxmlformats.org/officeDocument/2006/relationships" name="Simulation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%"/>
    <numFmt numFmtId="166" formatCode="0.000"/>
    <numFmt numFmtId="167" formatCode="0.0000"/>
    <numFmt numFmtId="168" formatCode="0.0"/>
    <numFmt numFmtId="169" formatCode="&quot;$&quot;#,##0"/>
    <numFmt numFmtId="170" formatCode="&quot;$&quot;#,##0.0"/>
  </numFmts>
  <fonts count="13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4A5568"/>
      <sz val="9"/>
    </font>
    <font>
      <name val="Arial"/>
      <b val="1"/>
      <color rgb="002B6CB0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B6CB0"/>
      <sz val="11"/>
    </font>
    <font>
      <name val="Arial"/>
      <sz val="10"/>
    </font>
    <font>
      <name val="Arial"/>
      <i val="1"/>
      <color rgb="00C05621"/>
      <sz val="9"/>
    </font>
    <font>
      <name val="Arial"/>
      <color rgb="000000FF"/>
      <sz val="10"/>
    </font>
    <font>
      <name val="Arial"/>
      <i val="1"/>
      <sz val="9"/>
    </font>
    <font>
      <name val="Arial"/>
      <i val="1"/>
      <color rgb="00718096"/>
      <sz val="9"/>
    </font>
    <font>
      <name val="Arial"/>
      <i val="1"/>
      <color rgb="002B6CB0"/>
      <sz val="10"/>
    </font>
  </fonts>
  <fills count="8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EBF8FF"/>
      </patternFill>
    </fill>
    <fill>
      <patternFill patternType="solid">
        <fgColor rgb="00C6F6D5"/>
      </patternFill>
    </fill>
    <fill>
      <patternFill patternType="solid">
        <fgColor rgb="00FEEBC8"/>
      </patternFill>
    </fill>
    <fill>
      <patternFill patternType="solid">
        <fgColor rgb="00EDF2F7"/>
      </patternFill>
    </fill>
    <fill>
      <patternFill patternType="solid">
        <f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7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applyAlignment="1" pivotButton="0" quotePrefix="0" xfId="0">
      <alignment horizontal="center" vertical="center" wrapText="1"/>
    </xf>
    <xf numFmtId="164" fontId="0" fillId="3" borderId="1" pivotButton="0" quotePrefix="0" xfId="0"/>
    <xf numFmtId="165" fontId="0" fillId="4" borderId="1" pivotButton="0" quotePrefix="0" xfId="0"/>
    <xf numFmtId="0" fontId="5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0" fillId="7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9" fillId="7" borderId="1" pivotButton="0" quotePrefix="0" xfId="0"/>
    <xf numFmtId="9" fontId="9" fillId="7" borderId="1" pivotButton="0" quotePrefix="0" xfId="0"/>
    <xf numFmtId="2" fontId="0" fillId="0" borderId="1" pivotButton="0" quotePrefix="0" xfId="0"/>
    <xf numFmtId="168" fontId="0" fillId="4" borderId="1" pivotButton="0" quotePrefix="0" xfId="0"/>
    <xf numFmtId="169" fontId="0" fillId="4" borderId="1" pivotButton="0" quotePrefix="0" xfId="0"/>
    <xf numFmtId="0" fontId="10" fillId="0" borderId="0" pivotButton="0" quotePrefix="0" xfId="0"/>
    <xf numFmtId="169" fontId="0" fillId="0" borderId="1" pivotButton="0" quotePrefix="0" xfId="0"/>
    <xf numFmtId="170" fontId="0" fillId="0" borderId="1" applyAlignment="1" pivotButton="0" quotePrefix="0" xfId="0">
      <alignment horizontal="center" vertical="center" wrapText="1"/>
    </xf>
    <xf numFmtId="170" fontId="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FoodWheel — Analysis Workbook (Google Sheets Ready)</t>
        </is>
      </c>
    </row>
    <row r="2">
      <c r="A2" s="2" t="inlineStr">
        <is>
          <t>Board-ready summary of restaurant portfolio, order trends, customer spend &amp; growth scenarios  |  Data: April–September 2017</t>
        </is>
      </c>
    </row>
    <row r="4">
      <c r="A4" s="3" t="inlineStr">
        <is>
          <t>KEY METRICS</t>
        </is>
      </c>
      <c r="D4" s="3" t="inlineStr">
        <is>
          <t>CUISINE MIX</t>
        </is>
      </c>
    </row>
    <row r="5">
      <c r="A5" s="4" t="inlineStr">
        <is>
          <t>Metric</t>
        </is>
      </c>
      <c r="B5" s="4" t="inlineStr">
        <is>
          <t>Value</t>
        </is>
      </c>
      <c r="D5" s="4" t="inlineStr">
        <is>
          <t>Cuisine</t>
        </is>
      </c>
      <c r="E5" s="4" t="inlineStr">
        <is>
          <t>Restaurants</t>
        </is>
      </c>
      <c r="F5" s="4" t="inlineStr">
        <is>
          <t>% of Portfolio</t>
        </is>
      </c>
    </row>
    <row r="6">
      <c r="A6" s="5" t="inlineStr">
        <is>
          <t>Unique Cuisines</t>
        </is>
      </c>
      <c r="B6" s="6" t="n">
        <v>7</v>
      </c>
      <c r="D6" s="7" t="inlineStr">
        <is>
          <t>Chinese</t>
        </is>
      </c>
      <c r="E6" s="8" t="n">
        <v>11</v>
      </c>
      <c r="F6" s="9" t="n">
        <v>0.25</v>
      </c>
    </row>
    <row r="7">
      <c r="A7" s="5" t="inlineStr">
        <is>
          <t>Partner Restaurants</t>
        </is>
      </c>
      <c r="B7" s="6" t="n">
        <v>44</v>
      </c>
      <c r="D7" s="7" t="inlineStr">
        <is>
          <t>American</t>
        </is>
      </c>
      <c r="E7" s="8" t="n">
        <v>10</v>
      </c>
      <c r="F7" s="9" t="n">
        <v>0.2272727272727273</v>
      </c>
    </row>
    <row r="8">
      <c r="A8" s="5" t="inlineStr">
        <is>
          <t>Total Orders</t>
        </is>
      </c>
      <c r="B8" s="6" t="n">
        <v>500</v>
      </c>
      <c r="D8" s="7" t="inlineStr">
        <is>
          <t>Italian</t>
        </is>
      </c>
      <c r="E8" s="8" t="n">
        <v>8</v>
      </c>
      <c r="F8" s="9" t="n">
        <v>0.1818181818181818</v>
      </c>
    </row>
    <row r="9">
      <c r="A9" s="5" t="inlineStr">
        <is>
          <t>Unique Customers</t>
        </is>
      </c>
      <c r="B9" s="6" t="n">
        <v>224</v>
      </c>
      <c r="D9" s="7" t="inlineStr">
        <is>
          <t>Pizza</t>
        </is>
      </c>
      <c r="E9" s="8" t="n">
        <v>4</v>
      </c>
      <c r="F9" s="9" t="n">
        <v>0.09090909090909091</v>
      </c>
    </row>
    <row r="10">
      <c r="A10" s="5" t="inlineStr">
        <is>
          <t>Avg Order (Sep)</t>
        </is>
      </c>
      <c r="B10" s="10" t="n">
        <v>29.51</v>
      </c>
      <c r="D10" s="7" t="inlineStr">
        <is>
          <t>Vegetarian</t>
        </is>
      </c>
      <c r="E10" s="8" t="n">
        <v>4</v>
      </c>
      <c r="F10" s="9" t="n">
        <v>0.09090909090909091</v>
      </c>
    </row>
    <row r="11">
      <c r="A11" s="5" t="inlineStr">
        <is>
          <t>AOV Growth (Apr→Sep)</t>
        </is>
      </c>
      <c r="B11" s="6" t="inlineStr">
        <is>
          <t>3.1×</t>
        </is>
      </c>
      <c r="D11" s="7" t="inlineStr">
        <is>
          <t>Japanese</t>
        </is>
      </c>
      <c r="E11" s="8" t="n">
        <v>4</v>
      </c>
      <c r="F11" s="9" t="n">
        <v>0.09090909090909091</v>
      </c>
    </row>
    <row r="12">
      <c r="D12" s="7" t="inlineStr">
        <is>
          <t>Korean</t>
        </is>
      </c>
      <c r="E12" s="8" t="n">
        <v>3</v>
      </c>
      <c r="F12" s="9" t="n">
        <v>0.06818181818181818</v>
      </c>
    </row>
    <row r="13">
      <c r="A13" s="3" t="inlineStr">
        <is>
          <t>NEIGHBORHOOD COVERAGE</t>
        </is>
      </c>
      <c r="E13" s="3" t="inlineStr">
        <is>
          <t>AOV TREND (2017)</t>
        </is>
      </c>
    </row>
    <row r="14">
      <c r="A14" s="4" t="inlineStr">
        <is>
          <t>Neighborhood</t>
        </is>
      </c>
      <c r="B14" s="4" t="inlineStr">
        <is>
          <t>Restaurants</t>
        </is>
      </c>
      <c r="C14" s="4" t="inlineStr">
        <is>
          <t>Status</t>
        </is>
      </c>
      <c r="E14" s="4" t="inlineStr">
        <is>
          <t>Month</t>
        </is>
      </c>
      <c r="F14" s="4" t="inlineStr">
        <is>
          <t>Avg Order $</t>
        </is>
      </c>
      <c r="G14" s="4" t="inlineStr">
        <is>
          <t>Std Dev</t>
        </is>
      </c>
      <c r="H14" s="4" t="inlineStr">
        <is>
          <t>Orders</t>
        </is>
      </c>
    </row>
    <row r="15">
      <c r="A15" s="7" t="inlineStr">
        <is>
          <t>Downtown</t>
        </is>
      </c>
      <c r="B15" s="8" t="n">
        <v>14</v>
      </c>
      <c r="C15" s="11" t="inlineStr">
        <is>
          <t>Core</t>
        </is>
      </c>
      <c r="E15" s="7" t="inlineStr">
        <is>
          <t>April</t>
        </is>
      </c>
      <c r="F15" s="12" t="n">
        <v>9.609999999999999</v>
      </c>
      <c r="G15" s="13" t="n">
        <v>2.56</v>
      </c>
      <c r="H15" s="8" t="n">
        <v>87</v>
      </c>
    </row>
    <row r="16">
      <c r="A16" s="7" t="inlineStr">
        <is>
          <t>Brooklyn</t>
        </is>
      </c>
      <c r="B16" s="8" t="n">
        <v>10</v>
      </c>
      <c r="C16" s="11" t="inlineStr">
        <is>
          <t>Core</t>
        </is>
      </c>
      <c r="E16" s="7" t="inlineStr">
        <is>
          <t>May</t>
        </is>
      </c>
      <c r="F16" s="12" t="n">
        <v>14.86</v>
      </c>
      <c r="G16" s="13" t="n">
        <v>3.4</v>
      </c>
      <c r="H16" s="8" t="n">
        <v>85</v>
      </c>
    </row>
    <row r="17">
      <c r="A17" s="7" t="inlineStr">
        <is>
          <t>Midtown</t>
        </is>
      </c>
      <c r="B17" s="8" t="n">
        <v>8</v>
      </c>
      <c r="C17" s="11" t="inlineStr">
        <is>
          <t>Core</t>
        </is>
      </c>
      <c r="E17" s="7" t="inlineStr">
        <is>
          <t>June</t>
        </is>
      </c>
      <c r="F17" s="12" t="n">
        <v>15.15</v>
      </c>
      <c r="G17" s="13" t="n">
        <v>2.84</v>
      </c>
      <c r="H17" s="8" t="n">
        <v>92</v>
      </c>
    </row>
    <row r="18">
      <c r="A18" s="7" t="inlineStr">
        <is>
          <t>Chinatown</t>
        </is>
      </c>
      <c r="B18" s="8" t="n">
        <v>7</v>
      </c>
      <c r="C18" s="11" t="inlineStr">
        <is>
          <t>Core</t>
        </is>
      </c>
      <c r="E18" s="7" t="inlineStr">
        <is>
          <t>July</t>
        </is>
      </c>
      <c r="F18" s="12" t="n">
        <v>18.01</v>
      </c>
      <c r="G18" s="13" t="n">
        <v>2.85</v>
      </c>
      <c r="H18" s="8" t="n">
        <v>78</v>
      </c>
    </row>
    <row r="19">
      <c r="A19" s="7" t="inlineStr">
        <is>
          <t>Uptown</t>
        </is>
      </c>
      <c r="B19" s="8" t="n">
        <v>3</v>
      </c>
      <c r="C19" s="14" t="inlineStr">
        <is>
          <t>Underserved</t>
        </is>
      </c>
      <c r="E19" s="7" t="inlineStr">
        <is>
          <t>August</t>
        </is>
      </c>
      <c r="F19" s="12" t="n">
        <v>21.15</v>
      </c>
      <c r="G19" s="13" t="n">
        <v>4.46</v>
      </c>
      <c r="H19" s="8" t="n">
        <v>73</v>
      </c>
    </row>
    <row r="20">
      <c r="A20" s="7" t="inlineStr">
        <is>
          <t>Queens</t>
        </is>
      </c>
      <c r="B20" s="8" t="n">
        <v>1</v>
      </c>
      <c r="C20" s="14" t="inlineStr">
        <is>
          <t>Underserved</t>
        </is>
      </c>
      <c r="E20" s="7" t="inlineStr">
        <is>
          <t>September</t>
        </is>
      </c>
      <c r="F20" s="12" t="n">
        <v>29.51</v>
      </c>
      <c r="G20" s="13" t="n">
        <v>4.52</v>
      </c>
      <c r="H20" s="8" t="n">
        <v>85</v>
      </c>
    </row>
    <row r="21">
      <c r="A21" s="7" t="inlineStr">
        <is>
          <t>UWS</t>
        </is>
      </c>
      <c r="B21" s="8" t="n">
        <v>1</v>
      </c>
      <c r="C21" s="14" t="inlineStr">
        <is>
          <t>Underserved</t>
        </is>
      </c>
    </row>
    <row r="24">
      <c r="A24" s="3" t="inlineStr">
        <is>
          <t>BOARD RECOMMENDATIONS</t>
        </is>
      </c>
    </row>
    <row r="25">
      <c r="A25" s="15" t="inlineStr">
        <is>
          <t>1. Rebalance cuisine portfolio — accelerate Korean, Pizza &amp; Vegetarian partnerships (currently under-represented).</t>
        </is>
      </c>
    </row>
    <row r="26">
      <c r="A26" s="15" t="inlineStr">
        <is>
          <t>2. Prioritize Queens, UWS and Uptown for new restaurant acquisition (1–3 partners each today).</t>
        </is>
      </c>
    </row>
    <row r="27">
      <c r="A27" s="15" t="inlineStr">
        <is>
          <t>3. AOV more than tripled Apr→Sep ($9.61 → $29.51); slope +$3.46/mo (R²=0.91). Keep investing in retention/upsell.</t>
        </is>
      </c>
    </row>
    <row r="28">
      <c r="A28" s="15" t="inlineStr">
        <is>
          <t>4. Design VIP/loyalty program for top ~33% of spenders (right-skewed distribution, median $35).</t>
        </is>
      </c>
    </row>
    <row r="29">
      <c r="A29" s="15" t="inlineStr">
        <is>
          <t>5. Track next: repeat rate, cuisine preference by customer, post-onboarding conversion by neighborhood.</t>
        </is>
      </c>
    </row>
    <row r="31">
      <c r="A31" s="16" t="inlineStr">
        <is>
          <t>Yellow cells = editable inputs for scenario modeling (see Simulation sheet)</t>
        </is>
      </c>
    </row>
  </sheetData>
  <mergeCells count="7">
    <mergeCell ref="A26:H26"/>
    <mergeCell ref="A29:H29"/>
    <mergeCell ref="A25:H25"/>
    <mergeCell ref="A2:H2"/>
    <mergeCell ref="A28:H28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2" customWidth="1" min="4" max="4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Restaurants Data &amp; Cuisine Analysis</t>
        </is>
      </c>
    </row>
    <row r="3">
      <c r="A3" s="3" t="inlineStr">
        <is>
          <t>RAW DATA</t>
        </is>
      </c>
      <c r="G3" s="3" t="inlineStr">
        <is>
          <t>CUISINE COUNTS</t>
        </is>
      </c>
    </row>
    <row r="4">
      <c r="A4" s="4" t="inlineStr">
        <is>
          <t>id</t>
        </is>
      </c>
      <c r="B4" s="4" t="inlineStr">
        <is>
          <t>name</t>
        </is>
      </c>
      <c r="C4" s="4" t="inlineStr">
        <is>
          <t>neighborhood</t>
        </is>
      </c>
      <c r="D4" s="4" t="inlineStr">
        <is>
          <t>cuisine</t>
        </is>
      </c>
      <c r="G4" s="4" t="inlineStr">
        <is>
          <t>Cuisine</t>
        </is>
      </c>
      <c r="H4" s="4" t="inlineStr">
        <is>
          <t>Count</t>
        </is>
      </c>
      <c r="I4" s="4" t="inlineStr">
        <is>
          <t>%</t>
        </is>
      </c>
    </row>
    <row r="5">
      <c r="A5" s="17" t="n">
        <v>1</v>
      </c>
      <c r="B5" s="17" t="inlineStr">
        <is>
          <t>Jongro BBQ</t>
        </is>
      </c>
      <c r="C5" s="17" t="inlineStr">
        <is>
          <t>Midtown</t>
        </is>
      </c>
      <c r="D5" s="17" t="inlineStr">
        <is>
          <t>Korean</t>
        </is>
      </c>
      <c r="G5" s="7" t="inlineStr">
        <is>
          <t>Chinese</t>
        </is>
      </c>
      <c r="H5" s="7" t="n">
        <v>11</v>
      </c>
      <c r="I5" s="18" t="n">
        <v>0.25</v>
      </c>
    </row>
    <row r="6">
      <c r="A6" s="17" t="n">
        <v>2</v>
      </c>
      <c r="B6" s="17" t="inlineStr">
        <is>
          <t>Pocha 32</t>
        </is>
      </c>
      <c r="C6" s="17" t="inlineStr">
        <is>
          <t>Midtown</t>
        </is>
      </c>
      <c r="D6" s="17" t="inlineStr">
        <is>
          <t>Korean</t>
        </is>
      </c>
      <c r="G6" s="7" t="inlineStr">
        <is>
          <t>American</t>
        </is>
      </c>
      <c r="H6" s="7" t="n">
        <v>10</v>
      </c>
      <c r="I6" s="18" t="n">
        <v>0.2272727272727273</v>
      </c>
    </row>
    <row r="7">
      <c r="A7" s="17" t="n">
        <v>3</v>
      </c>
      <c r="B7" s="17" t="inlineStr">
        <is>
          <t>Nom Wah Tea Parlor</t>
        </is>
      </c>
      <c r="C7" s="17" t="inlineStr">
        <is>
          <t>Chinatown</t>
        </is>
      </c>
      <c r="D7" s="17" t="inlineStr">
        <is>
          <t>Chinese</t>
        </is>
      </c>
      <c r="G7" s="7" t="inlineStr">
        <is>
          <t>Italian</t>
        </is>
      </c>
      <c r="H7" s="7" t="n">
        <v>8</v>
      </c>
      <c r="I7" s="18" t="n">
        <v>0.1818181818181818</v>
      </c>
    </row>
    <row r="8">
      <c r="A8" s="17" t="n">
        <v>4</v>
      </c>
      <c r="B8" s="17" t="inlineStr">
        <is>
          <t>Roberta’s</t>
        </is>
      </c>
      <c r="C8" s="17" t="inlineStr">
        <is>
          <t>Brooklyn</t>
        </is>
      </c>
      <c r="D8" s="17" t="inlineStr">
        <is>
          <t>Pizza</t>
        </is>
      </c>
      <c r="G8" s="7" t="inlineStr">
        <is>
          <t>Pizza</t>
        </is>
      </c>
      <c r="H8" s="7" t="n">
        <v>4</v>
      </c>
      <c r="I8" s="18" t="n">
        <v>0.09090909090909091</v>
      </c>
    </row>
    <row r="9">
      <c r="A9" s="17" t="n">
        <v>5</v>
      </c>
      <c r="B9" s="17" t="inlineStr">
        <is>
          <t>Speedy Romeo</t>
        </is>
      </c>
      <c r="C9" s="17" t="inlineStr">
        <is>
          <t>Brooklyn</t>
        </is>
      </c>
      <c r="D9" s="17" t="inlineStr">
        <is>
          <t>Pizza</t>
        </is>
      </c>
      <c r="G9" s="7" t="inlineStr">
        <is>
          <t>Vegetarian</t>
        </is>
      </c>
      <c r="H9" s="7" t="n">
        <v>4</v>
      </c>
      <c r="I9" s="18" t="n">
        <v>0.09090909090909091</v>
      </c>
    </row>
    <row r="10">
      <c r="A10" s="17" t="n">
        <v>6</v>
      </c>
      <c r="B10" s="17" t="inlineStr">
        <is>
          <t>Buddha Bodai</t>
        </is>
      </c>
      <c r="C10" s="17" t="inlineStr">
        <is>
          <t>Chinatown</t>
        </is>
      </c>
      <c r="D10" s="17" t="inlineStr">
        <is>
          <t>Vegetarian</t>
        </is>
      </c>
      <c r="G10" s="7" t="inlineStr">
        <is>
          <t>Japanese</t>
        </is>
      </c>
      <c r="H10" s="7" t="n">
        <v>4</v>
      </c>
      <c r="I10" s="18" t="n">
        <v>0.09090909090909091</v>
      </c>
    </row>
    <row r="11">
      <c r="A11" s="17" t="n">
        <v>7</v>
      </c>
      <c r="B11" s="17" t="inlineStr">
        <is>
          <t>Nan Xiang Xiao Long Bao</t>
        </is>
      </c>
      <c r="C11" s="17" t="inlineStr">
        <is>
          <t>Queens</t>
        </is>
      </c>
      <c r="D11" s="17" t="inlineStr">
        <is>
          <t>Chinese</t>
        </is>
      </c>
      <c r="G11" s="7" t="inlineStr">
        <is>
          <t>Korean</t>
        </is>
      </c>
      <c r="H11" s="7" t="n">
        <v>3</v>
      </c>
      <c r="I11" s="18" t="n">
        <v>0.06818181818181818</v>
      </c>
    </row>
    <row r="12">
      <c r="A12" s="17" t="n">
        <v>8</v>
      </c>
      <c r="B12" s="17" t="inlineStr">
        <is>
          <t>Mission Chinese Food</t>
        </is>
      </c>
      <c r="C12" s="17" t="inlineStr">
        <is>
          <t>Downtown</t>
        </is>
      </c>
      <c r="D12" s="17" t="inlineStr">
        <is>
          <t>Chinese</t>
        </is>
      </c>
    </row>
    <row r="13">
      <c r="A13" s="17" t="n">
        <v>9</v>
      </c>
      <c r="B13" s="17" t="inlineStr">
        <is>
          <t>Baohaus</t>
        </is>
      </c>
      <c r="C13" s="17" t="inlineStr">
        <is>
          <t>Downtown</t>
        </is>
      </c>
      <c r="D13" s="17" t="inlineStr">
        <is>
          <t>Chinese</t>
        </is>
      </c>
      <c r="G13" s="3" t="inlineStr">
        <is>
          <t>NEIGHBORHOOD COUNTS</t>
        </is>
      </c>
    </row>
    <row r="14">
      <c r="A14" s="17" t="n">
        <v>10</v>
      </c>
      <c r="B14" s="17" t="inlineStr">
        <is>
          <t>al di la Trattoria</t>
        </is>
      </c>
      <c r="C14" s="17" t="inlineStr">
        <is>
          <t>Brooklyn</t>
        </is>
      </c>
      <c r="D14" s="17" t="inlineStr">
        <is>
          <t>Italian</t>
        </is>
      </c>
      <c r="G14" s="4" t="inlineStr">
        <is>
          <t>Neighborhood</t>
        </is>
      </c>
      <c r="H14" s="4" t="inlineStr">
        <is>
          <t>Count</t>
        </is>
      </c>
      <c r="I14" s="4" t="inlineStr">
        <is>
          <t>Status</t>
        </is>
      </c>
    </row>
    <row r="15">
      <c r="A15" s="17" t="n">
        <v>11</v>
      </c>
      <c r="B15" s="17" t="inlineStr">
        <is>
          <t>Locanda Vini &amp; Olii</t>
        </is>
      </c>
      <c r="C15" s="17" t="inlineStr">
        <is>
          <t>Brooklyn</t>
        </is>
      </c>
      <c r="D15" s="17" t="inlineStr">
        <is>
          <t>Italian</t>
        </is>
      </c>
      <c r="G15" s="7" t="inlineStr">
        <is>
          <t>Downtown</t>
        </is>
      </c>
      <c r="H15" s="7" t="n">
        <v>14</v>
      </c>
      <c r="I15" s="19" t="inlineStr">
        <is>
          <t>Core</t>
        </is>
      </c>
    </row>
    <row r="16">
      <c r="A16" s="17" t="n">
        <v>12</v>
      </c>
      <c r="B16" s="17" t="inlineStr">
        <is>
          <t>Rao's</t>
        </is>
      </c>
      <c r="C16" s="17" t="inlineStr">
        <is>
          <t>Uptown</t>
        </is>
      </c>
      <c r="D16" s="17" t="inlineStr">
        <is>
          <t>Italian</t>
        </is>
      </c>
      <c r="G16" s="7" t="inlineStr">
        <is>
          <t>Brooklyn</t>
        </is>
      </c>
      <c r="H16" s="7" t="n">
        <v>10</v>
      </c>
      <c r="I16" s="19" t="inlineStr">
        <is>
          <t>Core</t>
        </is>
      </c>
    </row>
    <row r="17">
      <c r="A17" s="17" t="n">
        <v>13</v>
      </c>
      <c r="B17" s="17" t="inlineStr">
        <is>
          <t>Minca</t>
        </is>
      </c>
      <c r="C17" s="17" t="inlineStr">
        <is>
          <t>Downtown</t>
        </is>
      </c>
      <c r="D17" s="17" t="inlineStr">
        <is>
          <t>Japanese</t>
        </is>
      </c>
      <c r="G17" s="7" t="inlineStr">
        <is>
          <t>Midtown</t>
        </is>
      </c>
      <c r="H17" s="7" t="n">
        <v>8</v>
      </c>
      <c r="I17" s="19" t="inlineStr">
        <is>
          <t>Core</t>
        </is>
      </c>
    </row>
    <row r="18">
      <c r="A18" s="17" t="n">
        <v>14</v>
      </c>
      <c r="B18" s="17" t="inlineStr">
        <is>
          <t>Kenka</t>
        </is>
      </c>
      <c r="C18" s="17" t="inlineStr">
        <is>
          <t>Downtown</t>
        </is>
      </c>
      <c r="D18" s="17" t="inlineStr">
        <is>
          <t>Japanese</t>
        </is>
      </c>
      <c r="G18" s="7" t="inlineStr">
        <is>
          <t>Chinatown</t>
        </is>
      </c>
      <c r="H18" s="7" t="n">
        <v>7</v>
      </c>
      <c r="I18" s="19" t="inlineStr">
        <is>
          <t>Core</t>
        </is>
      </c>
    </row>
    <row r="19">
      <c r="A19" s="17" t="n">
        <v>15</v>
      </c>
      <c r="B19" s="17" t="inlineStr">
        <is>
          <t>Yakitori Taisho</t>
        </is>
      </c>
      <c r="C19" s="17" t="inlineStr">
        <is>
          <t>Downtown</t>
        </is>
      </c>
      <c r="D19" s="17" t="inlineStr">
        <is>
          <t>Japanese</t>
        </is>
      </c>
      <c r="G19" s="7" t="inlineStr">
        <is>
          <t>Uptown</t>
        </is>
      </c>
      <c r="H19" s="7" t="n">
        <v>3</v>
      </c>
      <c r="I19" s="20" t="inlineStr">
        <is>
          <t>Underserved</t>
        </is>
      </c>
    </row>
    <row r="20">
      <c r="A20" s="17" t="n">
        <v>16</v>
      </c>
      <c r="B20" s="17" t="inlineStr">
        <is>
          <t>X'ian Famous Foods</t>
        </is>
      </c>
      <c r="C20" s="17" t="inlineStr">
        <is>
          <t>Midtown</t>
        </is>
      </c>
      <c r="D20" s="17" t="inlineStr">
        <is>
          <t>Chinese</t>
        </is>
      </c>
      <c r="G20" s="7" t="inlineStr">
        <is>
          <t>Queens</t>
        </is>
      </c>
      <c r="H20" s="7" t="n">
        <v>1</v>
      </c>
      <c r="I20" s="20" t="inlineStr">
        <is>
          <t>Underserved</t>
        </is>
      </c>
    </row>
    <row r="21">
      <c r="A21" s="17" t="n">
        <v>17</v>
      </c>
      <c r="B21" s="17" t="inlineStr">
        <is>
          <t>Shake Shack</t>
        </is>
      </c>
      <c r="C21" s="17" t="inlineStr">
        <is>
          <t>Midtown</t>
        </is>
      </c>
      <c r="D21" s="17" t="inlineStr">
        <is>
          <t>American</t>
        </is>
      </c>
      <c r="G21" s="7" t="inlineStr">
        <is>
          <t>UWS</t>
        </is>
      </c>
      <c r="H21" s="7" t="n">
        <v>1</v>
      </c>
      <c r="I21" s="20" t="inlineStr">
        <is>
          <t>Underserved</t>
        </is>
      </c>
    </row>
    <row r="22">
      <c r="A22" s="17" t="n">
        <v>18</v>
      </c>
      <c r="B22" s="17" t="inlineStr">
        <is>
          <t>Foodcademy</t>
        </is>
      </c>
      <c r="C22" s="17" t="inlineStr">
        <is>
          <t>Midtown</t>
        </is>
      </c>
      <c r="D22" s="17" t="inlineStr">
        <is>
          <t>American</t>
        </is>
      </c>
    </row>
    <row r="23">
      <c r="A23" s="17" t="n">
        <v>19</v>
      </c>
      <c r="B23" s="17" t="inlineStr">
        <is>
          <t>Sonnyboy's</t>
        </is>
      </c>
      <c r="C23" s="17" t="inlineStr">
        <is>
          <t>Brooklyn</t>
        </is>
      </c>
      <c r="D23" s="17" t="inlineStr">
        <is>
          <t>Chinese</t>
        </is>
      </c>
    </row>
    <row r="24">
      <c r="A24" s="17" t="n">
        <v>20</v>
      </c>
      <c r="B24" s="17" t="inlineStr">
        <is>
          <t>The Cole Romano Experience</t>
        </is>
      </c>
      <c r="C24" s="17" t="inlineStr">
        <is>
          <t>Brooklyn</t>
        </is>
      </c>
      <c r="D24" s="17" t="inlineStr">
        <is>
          <t>Italian</t>
        </is>
      </c>
      <c r="G24" s="3" t="inlineStr">
        <is>
          <t>NEIGHBORHOOD × CUISINE CROSSTAB</t>
        </is>
      </c>
    </row>
    <row r="25">
      <c r="A25" s="17" t="n">
        <v>21</v>
      </c>
      <c r="B25" s="17" t="inlineStr">
        <is>
          <t>Timbo Slice</t>
        </is>
      </c>
      <c r="C25" s="17" t="inlineStr">
        <is>
          <t>Brooklyn</t>
        </is>
      </c>
      <c r="D25" s="17" t="inlineStr">
        <is>
          <t>Pizza</t>
        </is>
      </c>
      <c r="G25" s="4" t="inlineStr">
        <is>
          <t>Neighborhood</t>
        </is>
      </c>
      <c r="H25" s="4" t="inlineStr">
        <is>
          <t>American</t>
        </is>
      </c>
      <c r="I25" s="4" t="inlineStr">
        <is>
          <t>Chinese</t>
        </is>
      </c>
      <c r="J25" s="4" t="inlineStr">
        <is>
          <t>Italian</t>
        </is>
      </c>
      <c r="K25" s="4" t="inlineStr">
        <is>
          <t>Japanese</t>
        </is>
      </c>
      <c r="L25" s="4" t="inlineStr">
        <is>
          <t>Korean</t>
        </is>
      </c>
      <c r="M25" s="4" t="inlineStr">
        <is>
          <t>Pizza</t>
        </is>
      </c>
      <c r="N25" s="4" t="inlineStr">
        <is>
          <t>Vegetarian</t>
        </is>
      </c>
    </row>
    <row r="26">
      <c r="A26" s="17" t="n">
        <v>22</v>
      </c>
      <c r="B26" s="17" t="inlineStr">
        <is>
          <t>Scorpio Sisters</t>
        </is>
      </c>
      <c r="C26" s="17" t="inlineStr">
        <is>
          <t>Downtown</t>
        </is>
      </c>
      <c r="D26" s="17" t="inlineStr">
        <is>
          <t>American</t>
        </is>
      </c>
      <c r="G26" s="7" t="inlineStr">
        <is>
          <t>Brooklyn</t>
        </is>
      </c>
      <c r="H26" s="8" t="n">
        <v>1</v>
      </c>
      <c r="I26" s="8" t="n">
        <v>1</v>
      </c>
      <c r="J26" s="11" t="n">
        <v>4</v>
      </c>
      <c r="K26" s="21" t="n">
        <v>0</v>
      </c>
      <c r="L26" s="21" t="n">
        <v>0</v>
      </c>
      <c r="M26" s="11" t="n">
        <v>4</v>
      </c>
      <c r="N26" s="21" t="n">
        <v>0</v>
      </c>
    </row>
    <row r="27">
      <c r="A27" s="17" t="n">
        <v>23</v>
      </c>
      <c r="B27" s="17" t="inlineStr">
        <is>
          <t>N.E.D</t>
        </is>
      </c>
      <c r="C27" s="17" t="inlineStr">
        <is>
          <t>Uptown</t>
        </is>
      </c>
      <c r="D27" s="17" t="inlineStr">
        <is>
          <t>American</t>
        </is>
      </c>
      <c r="G27" s="7" t="inlineStr">
        <is>
          <t>Chinatown</t>
        </is>
      </c>
      <c r="H27" s="21" t="n">
        <v>0</v>
      </c>
      <c r="I27" s="11" t="n">
        <v>6</v>
      </c>
      <c r="J27" s="21" t="n">
        <v>0</v>
      </c>
      <c r="K27" s="21" t="n">
        <v>0</v>
      </c>
      <c r="L27" s="21" t="n">
        <v>0</v>
      </c>
      <c r="M27" s="21" t="n">
        <v>0</v>
      </c>
      <c r="N27" s="8" t="n">
        <v>1</v>
      </c>
    </row>
    <row r="28">
      <c r="A28" s="17" t="n">
        <v>24</v>
      </c>
      <c r="B28" s="17" t="inlineStr">
        <is>
          <t>Great NY Noodletown</t>
        </is>
      </c>
      <c r="C28" s="17" t="inlineStr">
        <is>
          <t>Chinatown</t>
        </is>
      </c>
      <c r="D28" s="17" t="inlineStr">
        <is>
          <t>Chinese</t>
        </is>
      </c>
      <c r="G28" s="7" t="inlineStr">
        <is>
          <t>Downtown</t>
        </is>
      </c>
      <c r="H28" s="11" t="n">
        <v>5</v>
      </c>
      <c r="I28" s="8" t="n">
        <v>2</v>
      </c>
      <c r="J28" s="8" t="n">
        <v>2</v>
      </c>
      <c r="K28" s="11" t="n">
        <v>3</v>
      </c>
      <c r="L28" s="21" t="n">
        <v>0</v>
      </c>
      <c r="M28" s="21" t="n">
        <v>0</v>
      </c>
      <c r="N28" s="8" t="n">
        <v>2</v>
      </c>
    </row>
    <row r="29">
      <c r="A29" s="17" t="n">
        <v>25</v>
      </c>
      <c r="B29" s="17" t="inlineStr">
        <is>
          <t>Golden Unicorn</t>
        </is>
      </c>
      <c r="C29" s="17" t="inlineStr">
        <is>
          <t>Chinatown</t>
        </is>
      </c>
      <c r="D29" s="17" t="inlineStr">
        <is>
          <t>Chinese</t>
        </is>
      </c>
      <c r="G29" s="7" t="inlineStr">
        <is>
          <t>Midtown</t>
        </is>
      </c>
      <c r="H29" s="8" t="n">
        <v>2</v>
      </c>
      <c r="I29" s="8" t="n">
        <v>1</v>
      </c>
      <c r="J29" s="8" t="n">
        <v>1</v>
      </c>
      <c r="K29" s="8" t="n">
        <v>1</v>
      </c>
      <c r="L29" s="11" t="n">
        <v>3</v>
      </c>
      <c r="M29" s="21" t="n">
        <v>0</v>
      </c>
      <c r="N29" s="21" t="n">
        <v>0</v>
      </c>
    </row>
    <row r="30">
      <c r="A30" s="17" t="n">
        <v>26</v>
      </c>
      <c r="B30" s="17" t="inlineStr">
        <is>
          <t>Wo Hop</t>
        </is>
      </c>
      <c r="C30" s="17" t="inlineStr">
        <is>
          <t>Chinatown</t>
        </is>
      </c>
      <c r="D30" s="17" t="inlineStr">
        <is>
          <t>Chinese</t>
        </is>
      </c>
      <c r="G30" s="7" t="inlineStr">
        <is>
          <t>Queens</t>
        </is>
      </c>
      <c r="H30" s="21" t="n">
        <v>0</v>
      </c>
      <c r="I30" s="8" t="n">
        <v>1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</row>
    <row r="31">
      <c r="A31" s="17" t="n">
        <v>27</v>
      </c>
      <c r="B31" s="17" t="inlineStr">
        <is>
          <t>Di Fara Pizza</t>
        </is>
      </c>
      <c r="C31" s="17" t="inlineStr">
        <is>
          <t>Brooklyn</t>
        </is>
      </c>
      <c r="D31" s="17" t="inlineStr">
        <is>
          <t>Pizza</t>
        </is>
      </c>
      <c r="G31" s="7" t="inlineStr">
        <is>
          <t>UWS</t>
        </is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8" t="n">
        <v>1</v>
      </c>
    </row>
    <row r="32">
      <c r="A32" s="17" t="n">
        <v>28</v>
      </c>
      <c r="B32" s="17" t="inlineStr">
        <is>
          <t>Kang Ho Dong Baekjeong</t>
        </is>
      </c>
      <c r="C32" s="17" t="inlineStr">
        <is>
          <t>Midtown</t>
        </is>
      </c>
      <c r="D32" s="17" t="inlineStr">
        <is>
          <t>Korean</t>
        </is>
      </c>
      <c r="G32" s="7" t="inlineStr">
        <is>
          <t>Uptown</t>
        </is>
      </c>
      <c r="H32" s="8" t="n">
        <v>2</v>
      </c>
      <c r="I32" s="21" t="n">
        <v>0</v>
      </c>
      <c r="J32" s="8" t="n">
        <v>1</v>
      </c>
      <c r="K32" s="21" t="n">
        <v>0</v>
      </c>
      <c r="L32" s="21" t="n">
        <v>0</v>
      </c>
      <c r="M32" s="21" t="n">
        <v>0</v>
      </c>
      <c r="N32" s="21" t="n">
        <v>0</v>
      </c>
    </row>
    <row r="33">
      <c r="A33" s="17" t="n">
        <v>29</v>
      </c>
      <c r="B33" s="17" t="inlineStr">
        <is>
          <t>Jacob's Pickles</t>
        </is>
      </c>
      <c r="C33" s="17" t="inlineStr">
        <is>
          <t>Uptown</t>
        </is>
      </c>
      <c r="D33" s="17" t="inlineStr">
        <is>
          <t>American</t>
        </is>
      </c>
    </row>
    <row r="34">
      <c r="A34" s="17" t="n">
        <v>30</v>
      </c>
      <c r="B34" s="17" t="inlineStr">
        <is>
          <t>Dan and John's Wings</t>
        </is>
      </c>
      <c r="C34" s="17" t="inlineStr">
        <is>
          <t>Downtown</t>
        </is>
      </c>
      <c r="D34" s="17" t="inlineStr">
        <is>
          <t>American</t>
        </is>
      </c>
    </row>
    <row r="35">
      <c r="A35" s="17" t="n">
        <v>31</v>
      </c>
      <c r="B35" s="17" t="inlineStr">
        <is>
          <t>Ping's Seafood</t>
        </is>
      </c>
      <c r="C35" s="17" t="inlineStr">
        <is>
          <t>Chinatown</t>
        </is>
      </c>
      <c r="D35" s="17" t="inlineStr">
        <is>
          <t>Chinese</t>
        </is>
      </c>
    </row>
    <row r="36">
      <c r="A36" s="17" t="n">
        <v>32</v>
      </c>
      <c r="B36" s="17" t="inlineStr">
        <is>
          <t>XO Kitchen</t>
        </is>
      </c>
      <c r="C36" s="17" t="inlineStr">
        <is>
          <t>Chinatown</t>
        </is>
      </c>
      <c r="D36" s="17" t="inlineStr">
        <is>
          <t>Chinese</t>
        </is>
      </c>
    </row>
    <row r="37">
      <c r="A37" s="17" t="n">
        <v>33</v>
      </c>
      <c r="B37" s="17" t="inlineStr">
        <is>
          <t>Carbone</t>
        </is>
      </c>
      <c r="C37" s="17" t="inlineStr">
        <is>
          <t>Downtown</t>
        </is>
      </c>
      <c r="D37" s="17" t="inlineStr">
        <is>
          <t>Italian</t>
        </is>
      </c>
    </row>
    <row r="38">
      <c r="A38" s="17" t="n">
        <v>34</v>
      </c>
      <c r="B38" s="17" t="inlineStr">
        <is>
          <t>I Sodi</t>
        </is>
      </c>
      <c r="C38" s="17" t="inlineStr">
        <is>
          <t>Downtown</t>
        </is>
      </c>
      <c r="D38" s="17" t="inlineStr">
        <is>
          <t>Italian</t>
        </is>
      </c>
    </row>
    <row r="39">
      <c r="A39" s="17" t="n">
        <v>35</v>
      </c>
      <c r="B39" s="17" t="inlineStr">
        <is>
          <t>Lilia</t>
        </is>
      </c>
      <c r="C39" s="17" t="inlineStr">
        <is>
          <t>Brooklyn</t>
        </is>
      </c>
      <c r="D39" s="17" t="inlineStr">
        <is>
          <t>Italian</t>
        </is>
      </c>
    </row>
    <row r="40">
      <c r="A40" s="17" t="n">
        <v>36</v>
      </c>
      <c r="B40" s="17" t="inlineStr">
        <is>
          <t>Jajaja</t>
        </is>
      </c>
      <c r="C40" s="17" t="inlineStr">
        <is>
          <t>Downtown</t>
        </is>
      </c>
      <c r="D40" s="17" t="inlineStr">
        <is>
          <t>Vegetarian</t>
        </is>
      </c>
    </row>
    <row r="41">
      <c r="A41" s="17" t="n">
        <v>37</v>
      </c>
      <c r="B41" s="17" t="inlineStr">
        <is>
          <t>Smalls Jazz Club</t>
        </is>
      </c>
      <c r="C41" s="17" t="inlineStr">
        <is>
          <t>Downtown</t>
        </is>
      </c>
      <c r="D41" s="17" t="inlineStr">
        <is>
          <t>American</t>
        </is>
      </c>
    </row>
    <row r="42">
      <c r="A42" s="17" t="n">
        <v>38</v>
      </c>
      <c r="B42" s="17" t="inlineStr">
        <is>
          <t>Russ &amp; Daughters</t>
        </is>
      </c>
      <c r="C42" s="17" t="inlineStr">
        <is>
          <t>Downtown</t>
        </is>
      </c>
      <c r="D42" s="17" t="inlineStr">
        <is>
          <t>American</t>
        </is>
      </c>
    </row>
    <row r="43">
      <c r="A43" s="17" t="n">
        <v>39</v>
      </c>
      <c r="B43" s="17" t="inlineStr">
        <is>
          <t>The Meatball Shop</t>
        </is>
      </c>
      <c r="C43" s="17" t="inlineStr">
        <is>
          <t>Downtown</t>
        </is>
      </c>
      <c r="D43" s="17" t="inlineStr">
        <is>
          <t>American</t>
        </is>
      </c>
    </row>
    <row r="44">
      <c r="A44" s="17" t="n">
        <v>40</v>
      </c>
      <c r="B44" s="17" t="inlineStr">
        <is>
          <t>Dirt Candy</t>
        </is>
      </c>
      <c r="C44" s="17" t="inlineStr">
        <is>
          <t>Downtown</t>
        </is>
      </c>
      <c r="D44" s="17" t="inlineStr">
        <is>
          <t>Vegetarian</t>
        </is>
      </c>
    </row>
    <row r="45">
      <c r="A45" s="17" t="n">
        <v>41</v>
      </c>
      <c r="B45" s="17" t="inlineStr">
        <is>
          <t>Ippudo</t>
        </is>
      </c>
      <c r="C45" s="17" t="inlineStr">
        <is>
          <t>Midtown</t>
        </is>
      </c>
      <c r="D45" s="17" t="inlineStr">
        <is>
          <t>Japanese</t>
        </is>
      </c>
    </row>
    <row r="46">
      <c r="A46" s="17" t="n">
        <v>42</v>
      </c>
      <c r="B46" s="17" t="inlineStr">
        <is>
          <t>Marea</t>
        </is>
      </c>
      <c r="C46" s="17" t="inlineStr">
        <is>
          <t>Midtown</t>
        </is>
      </c>
      <c r="D46" s="17" t="inlineStr">
        <is>
          <t>Italian</t>
        </is>
      </c>
    </row>
    <row r="47">
      <c r="A47" s="17" t="n">
        <v>43</v>
      </c>
      <c r="B47" s="17" t="inlineStr">
        <is>
          <t>Lighthouse</t>
        </is>
      </c>
      <c r="C47" s="17" t="inlineStr">
        <is>
          <t>Brooklyn</t>
        </is>
      </c>
      <c r="D47" s="17" t="inlineStr">
        <is>
          <t>American</t>
        </is>
      </c>
    </row>
    <row r="48">
      <c r="A48" s="17" t="n">
        <v>44</v>
      </c>
      <c r="B48" s="17" t="inlineStr">
        <is>
          <t>Ayurveda</t>
        </is>
      </c>
      <c r="C48" s="17" t="inlineStr">
        <is>
          <t>UWS</t>
        </is>
      </c>
      <c r="D48" s="17" t="inlineStr">
        <is>
          <t>Vegetarian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Orders Analysis — Price Over Time &amp; Customer Spend</t>
        </is>
      </c>
    </row>
    <row r="3">
      <c r="A3" s="3" t="inlineStr">
        <is>
          <t>MONTHLY ORDER METRICS</t>
        </is>
      </c>
    </row>
    <row r="4">
      <c r="A4" s="4" t="inlineStr">
        <is>
          <t>Month</t>
        </is>
      </c>
      <c r="B4" s="4" t="inlineStr">
        <is>
          <t>Month #</t>
        </is>
      </c>
      <c r="C4" s="4" t="inlineStr">
        <is>
          <t>Order Count</t>
        </is>
      </c>
      <c r="D4" s="4" t="inlineStr">
        <is>
          <t>Total Revenue</t>
        </is>
      </c>
      <c r="E4" s="4" t="inlineStr">
        <is>
          <t>Avg Order $</t>
        </is>
      </c>
      <c r="F4" s="4" t="inlineStr">
        <is>
          <t>Std Dev $</t>
        </is>
      </c>
      <c r="G4" s="4" t="inlineStr">
        <is>
          <t>MoM Growth %</t>
        </is>
      </c>
    </row>
    <row r="5">
      <c r="A5" s="7" t="inlineStr">
        <is>
          <t>April</t>
        </is>
      </c>
      <c r="B5" s="7" t="n">
        <v>4</v>
      </c>
      <c r="C5" s="7" t="n">
        <v>87</v>
      </c>
      <c r="D5" s="13" t="n">
        <v>836</v>
      </c>
      <c r="E5" s="22" t="n">
        <v>9.609999999999999</v>
      </c>
      <c r="F5" s="13" t="n">
        <v>2.56</v>
      </c>
      <c r="G5" s="7" t="inlineStr">
        <is>
          <t>—</t>
        </is>
      </c>
    </row>
    <row r="6">
      <c r="A6" s="7" t="inlineStr">
        <is>
          <t>May</t>
        </is>
      </c>
      <c r="B6" s="7" t="n">
        <v>5</v>
      </c>
      <c r="C6" s="7" t="n">
        <v>85</v>
      </c>
      <c r="D6" s="13" t="n">
        <v>1263</v>
      </c>
      <c r="E6" s="22" t="n">
        <v>14.86</v>
      </c>
      <c r="F6" s="13" t="n">
        <v>3.4</v>
      </c>
      <c r="G6" s="23" t="n">
        <v>0.546312974950746</v>
      </c>
    </row>
    <row r="7">
      <c r="A7" s="7" t="inlineStr">
        <is>
          <t>June</t>
        </is>
      </c>
      <c r="B7" s="7" t="n">
        <v>6</v>
      </c>
      <c r="C7" s="7" t="n">
        <v>92</v>
      </c>
      <c r="D7" s="13" t="n">
        <v>1394</v>
      </c>
      <c r="E7" s="22" t="n">
        <v>15.15</v>
      </c>
      <c r="F7" s="13" t="n">
        <v>2.84</v>
      </c>
      <c r="G7" s="18" t="n">
        <v>0.01974250404488965</v>
      </c>
    </row>
    <row r="8">
      <c r="A8" s="7" t="inlineStr">
        <is>
          <t>July</t>
        </is>
      </c>
      <c r="B8" s="7" t="n">
        <v>7</v>
      </c>
      <c r="C8" s="7" t="n">
        <v>78</v>
      </c>
      <c r="D8" s="13" t="n">
        <v>1405</v>
      </c>
      <c r="E8" s="22" t="n">
        <v>18.01</v>
      </c>
      <c r="F8" s="13" t="n">
        <v>2.85</v>
      </c>
      <c r="G8" s="18" t="n">
        <v>0.1887944671301918</v>
      </c>
    </row>
    <row r="9">
      <c r="A9" s="7" t="inlineStr">
        <is>
          <t>August</t>
        </is>
      </c>
      <c r="B9" s="7" t="n">
        <v>8</v>
      </c>
      <c r="C9" s="7" t="n">
        <v>73</v>
      </c>
      <c r="D9" s="13" t="n">
        <v>1544</v>
      </c>
      <c r="E9" s="22" t="n">
        <v>21.15</v>
      </c>
      <c r="F9" s="13" t="n">
        <v>4.46</v>
      </c>
      <c r="G9" s="18" t="n">
        <v>0.1742017257348997</v>
      </c>
    </row>
    <row r="10">
      <c r="A10" s="7" t="inlineStr">
        <is>
          <t>September</t>
        </is>
      </c>
      <c r="B10" s="7" t="n">
        <v>9</v>
      </c>
      <c r="C10" s="7" t="n">
        <v>85</v>
      </c>
      <c r="D10" s="13" t="n">
        <v>2508</v>
      </c>
      <c r="E10" s="22" t="n">
        <v>29.51</v>
      </c>
      <c r="F10" s="13" t="n">
        <v>4.52</v>
      </c>
      <c r="G10" s="23" t="n">
        <v>0.3950320024382811</v>
      </c>
    </row>
    <row r="11">
      <c r="A11" s="24" t="inlineStr">
        <is>
          <t>TOTAL / OVERALL</t>
        </is>
      </c>
      <c r="B11" s="25" t="n"/>
      <c r="C11" s="24" t="n">
        <v>500</v>
      </c>
      <c r="D11" s="26" t="n">
        <v>8950</v>
      </c>
      <c r="E11" s="26" t="n">
        <v>17.9</v>
      </c>
      <c r="F11" s="25" t="n"/>
      <c r="G11" s="25" t="n"/>
    </row>
    <row r="13">
      <c r="A13" s="3" t="inlineStr">
        <is>
          <t>LINEAR TREND</t>
        </is>
      </c>
    </row>
    <row r="14">
      <c r="A14" t="inlineStr">
        <is>
          <t>Slope ($ per month)</t>
        </is>
      </c>
      <c r="B14" s="27" t="n">
        <v>3.46</v>
      </c>
    </row>
    <row r="15">
      <c r="A15" t="inlineStr">
        <is>
          <t>R-squared</t>
        </is>
      </c>
      <c r="B15" s="28" t="n">
        <v>0.91</v>
      </c>
    </row>
    <row r="16">
      <c r="A16" t="inlineStr">
        <is>
          <t>P-value</t>
        </is>
      </c>
      <c r="B16" s="29" t="n">
        <v>0.0031</v>
      </c>
    </row>
    <row r="17">
      <c r="A17" t="inlineStr">
        <is>
          <t>Interpretation</t>
        </is>
      </c>
      <c r="B17" t="inlineStr">
        <is>
          <t>Highly significant upward trend in AOV</t>
        </is>
      </c>
    </row>
    <row r="19">
      <c r="A19" s="3" t="inlineStr">
        <is>
          <t>CUSTOMER SPEND SUMMARY (6 months)</t>
        </is>
      </c>
      <c r="D19" s="3" t="inlineStr">
        <is>
          <t>SPEND TIERS (by quantiles)</t>
        </is>
      </c>
    </row>
    <row r="20">
      <c r="A20" s="4" t="inlineStr">
        <is>
          <t>Metric</t>
        </is>
      </c>
      <c r="B20" s="4" t="inlineStr">
        <is>
          <t>Value</t>
        </is>
      </c>
      <c r="D20" s="4" t="inlineStr">
        <is>
          <t>Tier</t>
        </is>
      </c>
      <c r="E20" s="4" t="inlineStr">
        <is>
          <t>Threshold</t>
        </is>
      </c>
      <c r="F20" s="4" t="inlineStr">
        <is>
          <t>Customers</t>
        </is>
      </c>
      <c r="G20" s="4" t="inlineStr">
        <is>
          <t>Avg Spend</t>
        </is>
      </c>
    </row>
    <row r="21">
      <c r="A21" s="7" t="inlineStr">
        <is>
          <t>Unique Customers</t>
        </is>
      </c>
      <c r="B21" s="8" t="n">
        <v>224</v>
      </c>
      <c r="D21" s="7" t="inlineStr">
        <is>
          <t>Low</t>
        </is>
      </c>
      <c r="E21" s="7" t="inlineStr">
        <is>
          <t>≤ $27</t>
        </is>
      </c>
      <c r="F21" s="7" t="n">
        <v>74</v>
      </c>
      <c r="G21" s="13" t="n">
        <v>17.43</v>
      </c>
    </row>
    <row r="22">
      <c r="A22" s="7" t="inlineStr">
        <is>
          <t>Mean Total Spend</t>
        </is>
      </c>
      <c r="B22" s="12" t="n">
        <v>39.96</v>
      </c>
      <c r="D22" s="7" t="inlineStr">
        <is>
          <t>Medium</t>
        </is>
      </c>
      <c r="E22" s="7" t="inlineStr">
        <is>
          <t>≤ $45</t>
        </is>
      </c>
      <c r="F22" s="7" t="n">
        <v>74</v>
      </c>
      <c r="G22" s="13" t="n">
        <v>34.66</v>
      </c>
    </row>
    <row r="23">
      <c r="A23" s="7" t="inlineStr">
        <is>
          <t>Median Total Spend</t>
        </is>
      </c>
      <c r="B23" s="12" t="n">
        <v>35</v>
      </c>
      <c r="D23" s="7" t="inlineStr">
        <is>
          <t>High</t>
        </is>
      </c>
      <c r="E23" s="7" t="inlineStr">
        <is>
          <t>&gt; $45</t>
        </is>
      </c>
      <c r="F23" s="7" t="n">
        <v>76</v>
      </c>
      <c r="G23" s="13" t="n">
        <v>67.04000000000001</v>
      </c>
    </row>
    <row r="24">
      <c r="A24" s="7" t="inlineStr">
        <is>
          <t>Std Dev</t>
        </is>
      </c>
      <c r="B24" s="12" t="n">
        <v>24.5</v>
      </c>
    </row>
    <row r="25">
      <c r="A25" s="7" t="inlineStr">
        <is>
          <t>Min</t>
        </is>
      </c>
      <c r="B25" s="12" t="n">
        <v>6</v>
      </c>
    </row>
    <row r="26">
      <c r="A26" s="7" t="inlineStr">
        <is>
          <t>25th Percentile</t>
        </is>
      </c>
      <c r="B26" s="12" t="n">
        <v>22</v>
      </c>
    </row>
    <row r="27">
      <c r="A27" s="7" t="inlineStr">
        <is>
          <t>75th Percentile</t>
        </is>
      </c>
      <c r="B27" s="12" t="n">
        <v>52.25</v>
      </c>
    </row>
    <row r="28">
      <c r="A28" s="7" t="inlineStr">
        <is>
          <t>Max</t>
        </is>
      </c>
      <c r="B28" s="12" t="n">
        <v>145</v>
      </c>
    </row>
  </sheetData>
  <mergeCells count="2">
    <mergeCell ref="B17:D17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Simulation &amp; What-If Scenarios</t>
        </is>
      </c>
    </row>
    <row r="2">
      <c r="A2" s="16" t="inlineStr">
        <is>
          <t>Yellow cells are INPUTS — change them to model different scenarios. Green cells contain formulas that recalculate.</t>
        </is>
      </c>
    </row>
    <row r="4">
      <c r="A4" s="3" t="inlineStr">
        <is>
          <t>SCENARIO 1 — PARTNERSHIP EXPANSION</t>
        </is>
      </c>
    </row>
    <row r="5">
      <c r="A5" s="30" t="inlineStr">
        <is>
          <t>INPUTS</t>
        </is>
      </c>
    </row>
    <row r="6">
      <c r="A6" t="inlineStr">
        <is>
          <t>New restaurants per underserved area</t>
        </is>
      </c>
      <c r="B6" s="31" t="n">
        <v>3</v>
      </c>
      <c r="C6" t="inlineStr">
        <is>
          <t>← edit this (try 2, 3, or 5)</t>
        </is>
      </c>
    </row>
    <row r="7">
      <c r="A7" t="inlineStr">
        <is>
          <t>Number of underserved areas</t>
        </is>
      </c>
      <c r="B7" s="31" t="n">
        <v>3</v>
      </c>
    </row>
    <row r="8">
      <c r="A8" t="inlineStr">
        <is>
          <t>Elasticity (fraction of avg orders captured)</t>
        </is>
      </c>
      <c r="B8" s="32" t="n">
        <v>0.7</v>
      </c>
    </row>
    <row r="9">
      <c r="A9" t="inlineStr">
        <is>
          <t>Current avg monthly orders per restaurant</t>
        </is>
      </c>
      <c r="B9" s="33" t="n">
        <v>1.89</v>
      </c>
    </row>
    <row r="10">
      <c r="A10" t="inlineStr">
        <is>
          <t>Latest AOV (September)</t>
        </is>
      </c>
      <c r="B10" s="13" t="n">
        <v>29.51</v>
      </c>
    </row>
    <row r="11">
      <c r="A11" t="inlineStr">
        <is>
          <t>Projection months</t>
        </is>
      </c>
      <c r="B11" s="31" t="n">
        <v>6</v>
      </c>
    </row>
    <row r="13">
      <c r="A13" s="30" t="inlineStr">
        <is>
          <t>RESULTS (formulas)</t>
        </is>
      </c>
    </row>
    <row r="14">
      <c r="A14" t="inlineStr">
        <is>
          <t>Estimated new monthly orders</t>
        </is>
      </c>
      <c r="B14" s="34">
        <f>B6*B7*B9*B8</f>
        <v/>
      </c>
    </row>
    <row r="15">
      <c r="A15" t="inlineStr">
        <is>
          <t>Estimated extra revenue over projection period</t>
        </is>
      </c>
      <c r="B15" s="35">
        <f>B14*B10*B11</f>
        <v/>
      </c>
    </row>
    <row r="17">
      <c r="A17" s="36" t="inlineStr">
        <is>
          <t>Quick comparison table (pre-calculated reference)</t>
        </is>
      </c>
    </row>
    <row r="18">
      <c r="A18" s="4" t="inlineStr">
        <is>
          <t>New rest. / area</t>
        </is>
      </c>
      <c r="B18" s="4" t="inlineStr">
        <is>
          <t>Extra orders/mo</t>
        </is>
      </c>
      <c r="C18" s="4" t="inlineStr">
        <is>
          <t>Extra 6-mo revenue</t>
        </is>
      </c>
    </row>
    <row r="19">
      <c r="A19" s="7" t="n">
        <v>2</v>
      </c>
      <c r="B19" s="7" t="n">
        <v>8</v>
      </c>
      <c r="C19" s="37" t="n">
        <v>1408</v>
      </c>
    </row>
    <row r="20">
      <c r="A20" s="7" t="n">
        <v>3</v>
      </c>
      <c r="B20" s="7" t="n">
        <v>11.9</v>
      </c>
      <c r="C20" s="37" t="n">
        <v>2113</v>
      </c>
    </row>
    <row r="21">
      <c r="A21" s="7" t="n">
        <v>5</v>
      </c>
      <c r="B21" s="7" t="n">
        <v>19.9</v>
      </c>
      <c r="C21" s="37" t="n">
        <v>3521</v>
      </c>
    </row>
    <row r="23">
      <c r="A23" s="3" t="inlineStr">
        <is>
          <t>SCENARIO 2 — AOV TRAJECTORY (Monte-Carlo Summary)</t>
        </is>
      </c>
    </row>
    <row r="24">
      <c r="A24" s="36" t="inlineStr">
        <is>
          <t>Historical MoM growth rates used: ~26.5% mean, 18.5% std (clipped −15% to +40%)</t>
        </is>
      </c>
    </row>
    <row r="26">
      <c r="A26" s="4" t="inlineStr">
        <is>
          <t>Month Ahead</t>
        </is>
      </c>
      <c r="B26" s="4" t="inlineStr">
        <is>
          <t>P10 (conservative)</t>
        </is>
      </c>
      <c r="C26" s="4" t="inlineStr">
        <is>
          <t>P50 (median)</t>
        </is>
      </c>
      <c r="D26" s="4" t="inlineStr">
        <is>
          <t>P90 (optimistic)</t>
        </is>
      </c>
    </row>
    <row r="27">
      <c r="A27" s="7" t="inlineStr">
        <is>
          <t>M+1</t>
        </is>
      </c>
      <c r="B27" s="38" t="n">
        <v>28.5</v>
      </c>
      <c r="C27" s="39" t="n">
        <v>37.3</v>
      </c>
      <c r="D27" s="38" t="n">
        <v>48</v>
      </c>
    </row>
    <row r="28">
      <c r="A28" s="7" t="inlineStr">
        <is>
          <t>M+2</t>
        </is>
      </c>
      <c r="B28" s="38" t="n">
        <v>30</v>
      </c>
      <c r="C28" s="39" t="n">
        <v>45.7</v>
      </c>
      <c r="D28" s="38" t="n">
        <v>62</v>
      </c>
    </row>
    <row r="29">
      <c r="A29" s="7" t="inlineStr">
        <is>
          <t>M+3</t>
        </is>
      </c>
      <c r="B29" s="38" t="n">
        <v>32</v>
      </c>
      <c r="C29" s="39" t="n">
        <v>56.6</v>
      </c>
      <c r="D29" s="38" t="n">
        <v>80</v>
      </c>
    </row>
    <row r="30">
      <c r="A30" s="7" t="inlineStr">
        <is>
          <t>M+4</t>
        </is>
      </c>
      <c r="B30" s="38" t="n">
        <v>34</v>
      </c>
      <c r="C30" s="39" t="n">
        <v>69.5</v>
      </c>
      <c r="D30" s="38" t="n">
        <v>105</v>
      </c>
    </row>
    <row r="31">
      <c r="A31" s="7" t="inlineStr">
        <is>
          <t>M+5</t>
        </is>
      </c>
      <c r="B31" s="38" t="n">
        <v>36</v>
      </c>
      <c r="C31" s="39" t="n">
        <v>83.90000000000001</v>
      </c>
      <c r="D31" s="38" t="n">
        <v>135</v>
      </c>
    </row>
    <row r="32">
      <c r="A32" s="7" t="inlineStr">
        <is>
          <t>M+6</t>
        </is>
      </c>
      <c r="B32" s="38" t="n">
        <v>38</v>
      </c>
      <c r="C32" s="39" t="n">
        <v>104.7</v>
      </c>
      <c r="D32" s="38" t="n">
        <v>175</v>
      </c>
    </row>
    <row r="34">
      <c r="A34" s="40" t="inlineStr">
        <is>
          <t>Note: Full Monte-Carlo (1,000 paths) was run in the Python solution notebook. Values above are representative percentiles.</t>
        </is>
      </c>
    </row>
    <row r="36">
      <c r="A36" s="3" t="inlineStr">
        <is>
          <t>HOW TO USE THIS SHEET</t>
        </is>
      </c>
    </row>
    <row r="37">
      <c r="A37" t="inlineStr">
        <is>
          <t>1. Change the yellow input cells (new restaurants, elasticity, projection months).</t>
        </is>
      </c>
    </row>
    <row r="38">
      <c r="A38" t="inlineStr">
        <is>
          <t>2. Green result cells recalculate automatically (in Excel / Google Sheets after import).</t>
        </is>
      </c>
    </row>
    <row r="39">
      <c r="A39" t="inlineStr">
        <is>
          <t>3. Compare against the reference table to sanity-check different expansion sizes.</t>
        </is>
      </c>
    </row>
    <row r="40">
      <c r="A40" t="inlineStr">
        <is>
          <t>4. For full probabilistic AOV paths, open FoodWheel_Solution.ipynb and re-run the Simulation section.</t>
        </is>
      </c>
    </row>
  </sheetData>
  <mergeCells count="4">
    <mergeCell ref="A2:F2"/>
    <mergeCell ref="A34:E34"/>
    <mergeCell ref="A1:F1"/>
    <mergeCell ref="A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75" customWidth="1" min="3" max="3"/>
  </cols>
  <sheetData>
    <row r="1">
      <c r="A1" s="1" t="inlineStr">
        <is>
          <t>Data Dictionary &amp; Notes</t>
        </is>
      </c>
    </row>
    <row r="3">
      <c r="A3" s="3" t="inlineStr">
        <is>
          <t>restaurants.csv</t>
        </is>
      </c>
    </row>
    <row r="4">
      <c r="A4" s="4" t="inlineStr">
        <is>
          <t>Column</t>
        </is>
      </c>
      <c r="B4" s="4" t="inlineStr">
        <is>
          <t>Type</t>
        </is>
      </c>
      <c r="C4" s="4" t="inlineStr">
        <is>
          <t>Description</t>
        </is>
      </c>
    </row>
    <row r="5">
      <c r="A5" s="7" t="inlineStr">
        <is>
          <t>id</t>
        </is>
      </c>
      <c r="B5" s="7" t="inlineStr">
        <is>
          <t>int</t>
        </is>
      </c>
      <c r="C5" s="7" t="inlineStr">
        <is>
          <t>Unique restaurant identifier</t>
        </is>
      </c>
    </row>
    <row r="6">
      <c r="A6" s="7" t="inlineStr">
        <is>
          <t>name</t>
        </is>
      </c>
      <c r="B6" s="7" t="inlineStr">
        <is>
          <t>string</t>
        </is>
      </c>
      <c r="C6" s="7" t="inlineStr">
        <is>
          <t>Restaurant name</t>
        </is>
      </c>
    </row>
    <row r="7">
      <c r="A7" s="7" t="inlineStr">
        <is>
          <t>neighborhood</t>
        </is>
      </c>
      <c r="B7" s="7" t="inlineStr">
        <is>
          <t>string</t>
        </is>
      </c>
      <c r="C7" s="7" t="inlineStr">
        <is>
          <t>NYC neighborhood (Downtown, Brooklyn, Midtown, Chinatown, Uptown, Queens, UWS)</t>
        </is>
      </c>
    </row>
    <row r="8">
      <c r="A8" s="7" t="inlineStr">
        <is>
          <t>cuisine</t>
        </is>
      </c>
      <c r="B8" s="7" t="inlineStr">
        <is>
          <t>string</t>
        </is>
      </c>
      <c r="C8" s="7" t="inlineStr">
        <is>
          <t>Primary cuisine type (Chinese, American, Italian, Japanese, Pizza, Vegetarian, Korean)</t>
        </is>
      </c>
    </row>
    <row r="10">
      <c r="A10" s="3" t="inlineStr">
        <is>
          <t>orders.csv</t>
        </is>
      </c>
    </row>
    <row r="11">
      <c r="A11" s="4" t="inlineStr">
        <is>
          <t>Column</t>
        </is>
      </c>
      <c r="B11" s="4" t="inlineStr">
        <is>
          <t>Type</t>
        </is>
      </c>
      <c r="C11" s="4" t="inlineStr">
        <is>
          <t>Description</t>
        </is>
      </c>
    </row>
    <row r="12">
      <c r="A12" s="7" t="inlineStr">
        <is>
          <t>id</t>
        </is>
      </c>
      <c r="B12" s="7" t="inlineStr">
        <is>
          <t>int</t>
        </is>
      </c>
      <c r="C12" s="7" t="inlineStr">
        <is>
          <t>Unique order identifier</t>
        </is>
      </c>
    </row>
    <row r="13">
      <c r="A13" s="7" t="inlineStr">
        <is>
          <t>customer_id</t>
        </is>
      </c>
      <c r="B13" s="7" t="inlineStr">
        <is>
          <t>int</t>
        </is>
      </c>
      <c r="C13" s="7" t="inlineStr">
        <is>
          <t>Customer identifier (0–249)</t>
        </is>
      </c>
    </row>
    <row r="14">
      <c r="A14" s="7" t="inlineStr">
        <is>
          <t>date</t>
        </is>
      </c>
      <c r="B14" s="7" t="inlineStr">
        <is>
          <t>string</t>
        </is>
      </c>
      <c r="C14" s="7" t="inlineStr">
        <is>
          <t>Order date in M-D-YYYY or MM-D-YYYY format (April–September 2017)</t>
        </is>
      </c>
    </row>
    <row r="15">
      <c r="A15" s="7" t="inlineStr">
        <is>
          <t>price</t>
        </is>
      </c>
      <c r="B15" s="7" t="inlineStr">
        <is>
          <t>float</t>
        </is>
      </c>
      <c r="C15" s="7" t="inlineStr">
        <is>
          <t>Order amount in USD</t>
        </is>
      </c>
    </row>
    <row r="18">
      <c r="A18" s="3" t="inlineStr">
        <is>
          <t>Workbook Sheets</t>
        </is>
      </c>
    </row>
    <row r="19">
      <c r="A19" s="4" t="inlineStr">
        <is>
          <t>Sheet</t>
        </is>
      </c>
      <c r="B19" s="4" t="inlineStr">
        <is>
          <t>Purpose</t>
        </is>
      </c>
    </row>
    <row r="20">
      <c r="A20" s="7" t="inlineStr">
        <is>
          <t>Dashboard</t>
        </is>
      </c>
      <c r="B20" s="7" t="inlineStr">
        <is>
          <t>Executive KPIs, cuisine/neighborhood mix, AOV trend, board recommendations</t>
        </is>
      </c>
    </row>
    <row r="21">
      <c r="A21" s="7" t="inlineStr">
        <is>
          <t>Restaurants</t>
        </is>
      </c>
      <c r="B21" s="7" t="inlineStr">
        <is>
          <t>Full restaurant list + cuisine counts + neighborhood × cuisine crosstab</t>
        </is>
      </c>
    </row>
    <row r="22">
      <c r="A22" s="7" t="inlineStr">
        <is>
          <t>Orders Analysis</t>
        </is>
      </c>
      <c r="B22" s="7" t="inlineStr">
        <is>
          <t>Monthly metrics, linear trend stats, customer spend summary &amp; tiers</t>
        </is>
      </c>
    </row>
    <row r="23">
      <c r="A23" s="7" t="inlineStr">
        <is>
          <t>Simulation</t>
        </is>
      </c>
      <c r="B23" s="7" t="inlineStr">
        <is>
          <t>Editable what-if for partnership expansion + AOV projection percentiles</t>
        </is>
      </c>
    </row>
    <row r="24">
      <c r="A24" s="7" t="inlineStr">
        <is>
          <t>Data Dictionary</t>
        </is>
      </c>
      <c r="B24" s="7" t="inlineStr">
        <is>
          <t>This sheet — column definitions and notes</t>
        </is>
      </c>
    </row>
    <row r="27">
      <c r="A27" s="41" t="inlineStr">
        <is>
          <t>Compatible with Google Sheets: File → Import → Upload this 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2026-07-28T01:38:06Z</dcterms:created>
  <dcterms:modified xmlns:dcterms="http://purl.org/dc/terms/" xmlns:xsi="http://www.w3.org/2001/XMLSchema-instance" xsi:type="dcterms:W3CDTF">2026-07-28T01:38:06Z</dcterms:modified>
</cp:coreProperties>
</file>