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RD Estimates" sheetId="3" state="visible" r:id="rId5"/>
    <sheet name="What-If Controls" sheetId="4" state="visible" r:id="rId6"/>
    <sheet name="Group Stats" sheetId="5" state="visible" r:id="rId7"/>
    <sheet name="Simulation Lab" sheetId="6" state="visible" r:id="rId8"/>
    <sheet name="How to use (GS)" sheetId="7" state="visible" r:id="rId9"/>
  </sheets>
  <definedNames>
    <definedName function="false" hidden="true" localSheetId="1" name="_xlnm._FilterDatabase" vbProcedure="false">Data!$A$1:$I$362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Centered forcing variable. Formula: snowfall - 4.</t>
        </r>
      </text>
    </comment>
    <comment ref="F1" authorId="0">
      <text>
        <r>
          <rPr>
            <sz val="10"/>
            <rFont val="Arial"/>
            <family val="2"/>
          </rPr>
          <t xml:space="preserve">T = 1 if snowfall &gt;= 4 (sharp design).</t>
        </r>
      </text>
    </comment>
    <comment ref="G1" authorId="0">
      <text>
        <r>
          <rPr>
            <sz val="10"/>
            <rFont val="Arial"/>
            <family val="2"/>
          </rPr>
          <t xml:space="preserve">1 if |Xc| &lt;= 1.5 (inside primary bandwidth).</t>
        </r>
      </text>
    </comment>
    <comment ref="H1" authorId="0">
      <text>
        <r>
          <rPr>
            <sz val="10"/>
            <rFont val="Arial"/>
            <family val="2"/>
          </rPr>
          <t xml:space="preserve">Triangular weight = 1 - |Xc|/h when inside window.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Pick a bandwidth that exists in the lookup grid (column A of the grid). INDEX/MATCH will return the matching LATE.</t>
        </r>
      </text>
    </comment>
  </commentList>
</comments>
</file>

<file path=xl/sharedStrings.xml><?xml version="1.0" encoding="utf-8"?>
<sst xmlns="http://schemas.openxmlformats.org/spreadsheetml/2006/main" count="877" uniqueCount="476">
  <si>
    <t xml:space="preserve">COMMUTE TIMES &amp; SNOW EMERGENCY — Sharp RDD Analysis (Spreadsheet Edition)</t>
  </si>
  <si>
    <t xml:space="preserve">Google-Sheets / Excel ready  |  Interactive bandwidth what-if  |  Data + calculated columns + sensitivity tables</t>
  </si>
  <si>
    <t xml:space="preserve">PROBLEM STATEMENT</t>
  </si>
  <si>
    <t xml:space="preserve">Does declaring a snow emergency (when daily snowfall reaches the 4-inch threshold) causally reduce average commute times? Because the policy is a deterministic function of a continuous forcing variable (snowfall), a sharp Regression Discontinuity Design (RDD) identifies the Local Average Treatment Effect (LATE) for days near the threshold.</t>
  </si>
  <si>
    <t xml:space="preserve">KEY RESULT (primary specification)</t>
  </si>
  <si>
    <t xml:space="preserve">Local-linear LATE  (h = 1.5 in)</t>
  </si>
  <si>
    <t xml:space="preserve">Interpretation</t>
  </si>
  <si>
    <t xml:space="preserve">Declaring an emergency is associated with ~11 minutes shorter commute for days with snowfall near 4 inches. The estimate is stable across bandwidths 1–3 and disappears at placebo cutpoints — supporting a causal reading at the policy threshold.</t>
  </si>
  <si>
    <t xml:space="preserve">SE = 4.39   |   p = 0.013   |   N = 98   |   95% CI ≈ [-19.8, -2.3]</t>
  </si>
  <si>
    <t xml:space="preserve">WHY A SPREADSHEET SHINES FOR THIS RDD ANALYSIS</t>
  </si>
  <si>
    <t xml:space="preserve">1. LIVE WHAT-IF: Change the yellow Bandwidth cell on the 'What-If Controls' sheet; the displayed LATE updates instantly via INDEX/MATCH on a pre-computed grid.
2. TRANSPARENT DATA: Every observation sits next to its calculated Xc, treatment indicator T, bandwidth flag and triangular weight — filter, sort or use QUERY in Google Sheets.
3. SIDE-BY-SIDE ROBUSTNESS: Bandwidth sensitivity and placebo tables live on one screen; conditional formatting highlights statistically significant cells.
4. AUDITABLE FORMULAS: Helper columns use ordinary Excel/Google formulas (no black-box package). Anyone can verify the discontinuity calculation.
5. SHAREABLE DASHBOARD: One link in Google Sheets gives colleagues the full story + interactive controls without installing R or Python.</t>
  </si>
  <si>
    <t xml:space="preserve">WORKBOOK NAVIGATION</t>
  </si>
  <si>
    <t xml:space="preserve">Dashboard</t>
  </si>
  <si>
    <t xml:space="preserve">You are here — overview, key result, how-to</t>
  </si>
  <si>
    <t xml:space="preserve">Data</t>
  </si>
  <si>
    <t xml:space="preserve">Full 361 rows + formula columns: Xc, T, Inside_BW, Tri_Weight</t>
  </si>
  <si>
    <t xml:space="preserve">RD Estimates</t>
  </si>
  <si>
    <t xml:space="preserve">Main estimate, bandwidth sensitivity table, placebo table, kernel comparison</t>
  </si>
  <si>
    <t xml:space="preserve">What-If Controls</t>
  </si>
  <si>
    <t xml:space="preserve">★ Yellow input cells — change bandwidth and watch LATE update</t>
  </si>
  <si>
    <t xml:space="preserve">Group Stats</t>
  </si>
  <si>
    <t xml:space="preserve">Summary by Emergency status + simple bin counts for density check</t>
  </si>
  <si>
    <t xml:space="preserve">Simulation Lab</t>
  </si>
  <si>
    <t xml:space="preserve">Pre-computed recovery of known discontinuities under different noise/τ</t>
  </si>
  <si>
    <t xml:space="preserve">How to use (GS)</t>
  </si>
  <si>
    <t xml:space="preserve">Google Sheets tips, FILTER/QUERY examples, chart instructions</t>
  </si>
  <si>
    <t xml:space="preserve">Design note: Sharp RDD  |  Cutpoint = 4 inches  |  Outcome = minutes  |  Forcing = snowfall</t>
  </si>
  <si>
    <t xml:space="preserve">date</t>
  </si>
  <si>
    <t xml:space="preserve">snowfall</t>
  </si>
  <si>
    <t xml:space="preserve">emergency</t>
  </si>
  <si>
    <t xml:space="preserve">minutes</t>
  </si>
  <si>
    <t xml:space="preserve">Xc (snowfall-4)</t>
  </si>
  <si>
    <t xml:space="preserve">T (treatment)</t>
  </si>
  <si>
    <t xml:space="preserve">Inside_BW_h1.5</t>
  </si>
  <si>
    <t xml:space="preserve">Tri_Weight_h1.5</t>
  </si>
  <si>
    <t xml:space="preserve">Abs_Xc</t>
  </si>
  <si>
    <t xml:space="preserve">11/1/2017</t>
  </si>
  <si>
    <t xml:space="preserve">No Emergency</t>
  </si>
  <si>
    <t xml:space="preserve">11/2/2017</t>
  </si>
  <si>
    <t xml:space="preserve">Emergency</t>
  </si>
  <si>
    <t xml:space="preserve">11/3/2017</t>
  </si>
  <si>
    <t xml:space="preserve">11/4/2017</t>
  </si>
  <si>
    <t xml:space="preserve">11/5/2017</t>
  </si>
  <si>
    <t xml:space="preserve">11/6/2017</t>
  </si>
  <si>
    <t xml:space="preserve">11/7/2017</t>
  </si>
  <si>
    <t xml:space="preserve">11/8/2017</t>
  </si>
  <si>
    <t xml:space="preserve">11/9/2017</t>
  </si>
  <si>
    <t xml:space="preserve">11/10/2017</t>
  </si>
  <si>
    <t xml:space="preserve">11/11/2017</t>
  </si>
  <si>
    <t xml:space="preserve">11/12/2017</t>
  </si>
  <si>
    <t xml:space="preserve">11/13/2017</t>
  </si>
  <si>
    <t xml:space="preserve">11/14/2017</t>
  </si>
  <si>
    <t xml:space="preserve">11/15/2017</t>
  </si>
  <si>
    <t xml:space="preserve">11/16/2017</t>
  </si>
  <si>
    <t xml:space="preserve">11/17/2017</t>
  </si>
  <si>
    <t xml:space="preserve">11/18/2017</t>
  </si>
  <si>
    <t xml:space="preserve">11/19/2017</t>
  </si>
  <si>
    <t xml:space="preserve">11/20/2017</t>
  </si>
  <si>
    <t xml:space="preserve">11/21/2017</t>
  </si>
  <si>
    <t xml:space="preserve">11/22/2017</t>
  </si>
  <si>
    <t xml:space="preserve">11/23/2017</t>
  </si>
  <si>
    <t xml:space="preserve">11/24/2017</t>
  </si>
  <si>
    <t xml:space="preserve">11/25/2017</t>
  </si>
  <si>
    <t xml:space="preserve">11/26/2017</t>
  </si>
  <si>
    <t xml:space="preserve">11/27/2017</t>
  </si>
  <si>
    <t xml:space="preserve">11/28/2017</t>
  </si>
  <si>
    <t xml:space="preserve">11/29/2017</t>
  </si>
  <si>
    <t xml:space="preserve">11/30/2017</t>
  </si>
  <si>
    <t xml:space="preserve">12/1/2017</t>
  </si>
  <si>
    <t xml:space="preserve">12/2/2017</t>
  </si>
  <si>
    <t xml:space="preserve">12/3/2017</t>
  </si>
  <si>
    <t xml:space="preserve">12/4/2017</t>
  </si>
  <si>
    <t xml:space="preserve">12/5/2017</t>
  </si>
  <si>
    <t xml:space="preserve">12/6/2017</t>
  </si>
  <si>
    <t xml:space="preserve">12/7/2017</t>
  </si>
  <si>
    <t xml:space="preserve">12/8/2017</t>
  </si>
  <si>
    <t xml:space="preserve">12/9/2017</t>
  </si>
  <si>
    <t xml:space="preserve">12/10/2017</t>
  </si>
  <si>
    <t xml:space="preserve">12/11/2017</t>
  </si>
  <si>
    <t xml:space="preserve">12/12/2017</t>
  </si>
  <si>
    <t xml:space="preserve">12/13/2017</t>
  </si>
  <si>
    <t xml:space="preserve">12/14/2017</t>
  </si>
  <si>
    <t xml:space="preserve">12/15/2017</t>
  </si>
  <si>
    <t xml:space="preserve">12/16/2017</t>
  </si>
  <si>
    <t xml:space="preserve">12/17/2017</t>
  </si>
  <si>
    <t xml:space="preserve">12/18/2017</t>
  </si>
  <si>
    <t xml:space="preserve">12/19/2017</t>
  </si>
  <si>
    <t xml:space="preserve">12/20/2017</t>
  </si>
  <si>
    <t xml:space="preserve">12/21/2017</t>
  </si>
  <si>
    <t xml:space="preserve">12/22/2017</t>
  </si>
  <si>
    <t xml:space="preserve">12/23/2017</t>
  </si>
  <si>
    <t xml:space="preserve">12/24/2017</t>
  </si>
  <si>
    <t xml:space="preserve">12/25/2017</t>
  </si>
  <si>
    <t xml:space="preserve">12/26/2017</t>
  </si>
  <si>
    <t xml:space="preserve">12/27/2017</t>
  </si>
  <si>
    <t xml:space="preserve">12/28/2017</t>
  </si>
  <si>
    <t xml:space="preserve">12/29/2017</t>
  </si>
  <si>
    <t xml:space="preserve">12/30/2017</t>
  </si>
  <si>
    <t xml:space="preserve">12/31/2017</t>
  </si>
  <si>
    <t xml:space="preserve">1/1/2018</t>
  </si>
  <si>
    <t xml:space="preserve">1/2/2018</t>
  </si>
  <si>
    <t xml:space="preserve">1/3/2018</t>
  </si>
  <si>
    <t xml:space="preserve">1/4/2018</t>
  </si>
  <si>
    <t xml:space="preserve">1/5/2018</t>
  </si>
  <si>
    <t xml:space="preserve">1/6/2018</t>
  </si>
  <si>
    <t xml:space="preserve">1/7/2018</t>
  </si>
  <si>
    <t xml:space="preserve">1/8/2018</t>
  </si>
  <si>
    <t xml:space="preserve">1/9/2018</t>
  </si>
  <si>
    <t xml:space="preserve">1/10/2018</t>
  </si>
  <si>
    <t xml:space="preserve">1/11/2018</t>
  </si>
  <si>
    <t xml:space="preserve">1/12/2018</t>
  </si>
  <si>
    <t xml:space="preserve">1/13/2018</t>
  </si>
  <si>
    <t xml:space="preserve">1/14/2018</t>
  </si>
  <si>
    <t xml:space="preserve">1/15/2018</t>
  </si>
  <si>
    <t xml:space="preserve">1/16/2018</t>
  </si>
  <si>
    <t xml:space="preserve">1/17/2018</t>
  </si>
  <si>
    <t xml:space="preserve">1/18/2018</t>
  </si>
  <si>
    <t xml:space="preserve">1/19/2018</t>
  </si>
  <si>
    <t xml:space="preserve">1/20/2018</t>
  </si>
  <si>
    <t xml:space="preserve">1/21/2018</t>
  </si>
  <si>
    <t xml:space="preserve">1/22/2018</t>
  </si>
  <si>
    <t xml:space="preserve">1/23/2018</t>
  </si>
  <si>
    <t xml:space="preserve">1/24/2018</t>
  </si>
  <si>
    <t xml:space="preserve">1/25/2018</t>
  </si>
  <si>
    <t xml:space="preserve">1/26/2018</t>
  </si>
  <si>
    <t xml:space="preserve">1/27/2018</t>
  </si>
  <si>
    <t xml:space="preserve">1/28/2018</t>
  </si>
  <si>
    <t xml:space="preserve">1/29/2018</t>
  </si>
  <si>
    <t xml:space="preserve">1/30/2018</t>
  </si>
  <si>
    <t xml:space="preserve">1/31/2018</t>
  </si>
  <si>
    <t xml:space="preserve">2/1/2018</t>
  </si>
  <si>
    <t xml:space="preserve">2/2/2018</t>
  </si>
  <si>
    <t xml:space="preserve">2/3/2018</t>
  </si>
  <si>
    <t xml:space="preserve">2/4/2018</t>
  </si>
  <si>
    <t xml:space="preserve">2/5/2018</t>
  </si>
  <si>
    <t xml:space="preserve">2/6/2018</t>
  </si>
  <si>
    <t xml:space="preserve">2/7/2018</t>
  </si>
  <si>
    <t xml:space="preserve">2/8/2018</t>
  </si>
  <si>
    <t xml:space="preserve">2/9/2018</t>
  </si>
  <si>
    <t xml:space="preserve">2/10/2018</t>
  </si>
  <si>
    <t xml:space="preserve">2/11/2018</t>
  </si>
  <si>
    <t xml:space="preserve">2/12/2018</t>
  </si>
  <si>
    <t xml:space="preserve">2/13/2018</t>
  </si>
  <si>
    <t xml:space="preserve">2/14/2018</t>
  </si>
  <si>
    <t xml:space="preserve">2/15/2018</t>
  </si>
  <si>
    <t xml:space="preserve">2/16/2018</t>
  </si>
  <si>
    <t xml:space="preserve">2/17/2018</t>
  </si>
  <si>
    <t xml:space="preserve">2/18/2018</t>
  </si>
  <si>
    <t xml:space="preserve">2/19/2018</t>
  </si>
  <si>
    <t xml:space="preserve">2/20/2018</t>
  </si>
  <si>
    <t xml:space="preserve">2/21/2018</t>
  </si>
  <si>
    <t xml:space="preserve">2/22/2018</t>
  </si>
  <si>
    <t xml:space="preserve">2/23/2018</t>
  </si>
  <si>
    <t xml:space="preserve">2/24/2018</t>
  </si>
  <si>
    <t xml:space="preserve">2/25/2018</t>
  </si>
  <si>
    <t xml:space="preserve">2/26/2018</t>
  </si>
  <si>
    <t xml:space="preserve">2/27/2018</t>
  </si>
  <si>
    <t xml:space="preserve">2/28/2018</t>
  </si>
  <si>
    <t xml:space="preserve">11/1/2018</t>
  </si>
  <si>
    <t xml:space="preserve">11/2/2018</t>
  </si>
  <si>
    <t xml:space="preserve">11/3/2018</t>
  </si>
  <si>
    <t xml:space="preserve">11/4/2018</t>
  </si>
  <si>
    <t xml:space="preserve">11/5/2018</t>
  </si>
  <si>
    <t xml:space="preserve">11/6/2018</t>
  </si>
  <si>
    <t xml:space="preserve">11/7/2018</t>
  </si>
  <si>
    <t xml:space="preserve">11/8/2018</t>
  </si>
  <si>
    <t xml:space="preserve">11/9/2018</t>
  </si>
  <si>
    <t xml:space="preserve">11/10/2018</t>
  </si>
  <si>
    <t xml:space="preserve">11/11/2018</t>
  </si>
  <si>
    <t xml:space="preserve">11/12/2018</t>
  </si>
  <si>
    <t xml:space="preserve">11/13/2018</t>
  </si>
  <si>
    <t xml:space="preserve">11/14/2018</t>
  </si>
  <si>
    <t xml:space="preserve">11/15/2018</t>
  </si>
  <si>
    <t xml:space="preserve">11/16/2018</t>
  </si>
  <si>
    <t xml:space="preserve">11/17/2018</t>
  </si>
  <si>
    <t xml:space="preserve">11/18/2018</t>
  </si>
  <si>
    <t xml:space="preserve">11/19/2018</t>
  </si>
  <si>
    <t xml:space="preserve">11/20/2018</t>
  </si>
  <si>
    <t xml:space="preserve">11/21/2018</t>
  </si>
  <si>
    <t xml:space="preserve">11/22/2018</t>
  </si>
  <si>
    <t xml:space="preserve">11/23/2018</t>
  </si>
  <si>
    <t xml:space="preserve">11/24/2018</t>
  </si>
  <si>
    <t xml:space="preserve">11/25/2018</t>
  </si>
  <si>
    <t xml:space="preserve">11/26/2018</t>
  </si>
  <si>
    <t xml:space="preserve">11/27/2018</t>
  </si>
  <si>
    <t xml:space="preserve">11/28/2018</t>
  </si>
  <si>
    <t xml:space="preserve">11/29/2018</t>
  </si>
  <si>
    <t xml:space="preserve">11/30/2018</t>
  </si>
  <si>
    <t xml:space="preserve">12/1/2018</t>
  </si>
  <si>
    <t xml:space="preserve">12/2/2018</t>
  </si>
  <si>
    <t xml:space="preserve">12/3/2018</t>
  </si>
  <si>
    <t xml:space="preserve">12/4/2018</t>
  </si>
  <si>
    <t xml:space="preserve">12/5/2018</t>
  </si>
  <si>
    <t xml:space="preserve">12/6/2018</t>
  </si>
  <si>
    <t xml:space="preserve">12/7/2018</t>
  </si>
  <si>
    <t xml:space="preserve">12/8/2018</t>
  </si>
  <si>
    <t xml:space="preserve">12/9/2018</t>
  </si>
  <si>
    <t xml:space="preserve">12/10/2018</t>
  </si>
  <si>
    <t xml:space="preserve">12/11/2018</t>
  </si>
  <si>
    <t xml:space="preserve">12/12/2018</t>
  </si>
  <si>
    <t xml:space="preserve">12/13/2018</t>
  </si>
  <si>
    <t xml:space="preserve">12/14/2018</t>
  </si>
  <si>
    <t xml:space="preserve">12/15/2018</t>
  </si>
  <si>
    <t xml:space="preserve">12/16/2018</t>
  </si>
  <si>
    <t xml:space="preserve">12/17/2018</t>
  </si>
  <si>
    <t xml:space="preserve">12/18/2018</t>
  </si>
  <si>
    <t xml:space="preserve">12/19/2018</t>
  </si>
  <si>
    <t xml:space="preserve">12/20/2018</t>
  </si>
  <si>
    <t xml:space="preserve">12/21/2018</t>
  </si>
  <si>
    <t xml:space="preserve">12/22/2018</t>
  </si>
  <si>
    <t xml:space="preserve">12/23/2018</t>
  </si>
  <si>
    <t xml:space="preserve">12/24/2018</t>
  </si>
  <si>
    <t xml:space="preserve">12/25/2018</t>
  </si>
  <si>
    <t xml:space="preserve">12/26/2018</t>
  </si>
  <si>
    <t xml:space="preserve">12/27/2018</t>
  </si>
  <si>
    <t xml:space="preserve">12/28/2018</t>
  </si>
  <si>
    <t xml:space="preserve">12/29/2018</t>
  </si>
  <si>
    <t xml:space="preserve">12/30/2018</t>
  </si>
  <si>
    <t xml:space="preserve">12/31/2018</t>
  </si>
  <si>
    <t xml:space="preserve">1/1/2019</t>
  </si>
  <si>
    <t xml:space="preserve">1/2/2019</t>
  </si>
  <si>
    <t xml:space="preserve">1/3/2019</t>
  </si>
  <si>
    <t xml:space="preserve">1/4/2019</t>
  </si>
  <si>
    <t xml:space="preserve">1/5/2019</t>
  </si>
  <si>
    <t xml:space="preserve">1/6/2019</t>
  </si>
  <si>
    <t xml:space="preserve">1/7/2019</t>
  </si>
  <si>
    <t xml:space="preserve">1/8/2019</t>
  </si>
  <si>
    <t xml:space="preserve">1/9/2019</t>
  </si>
  <si>
    <t xml:space="preserve">1/10/2019</t>
  </si>
  <si>
    <t xml:space="preserve">1/11/2019</t>
  </si>
  <si>
    <t xml:space="preserve">1/12/2019</t>
  </si>
  <si>
    <t xml:space="preserve">1/13/2019</t>
  </si>
  <si>
    <t xml:space="preserve">1/14/2019</t>
  </si>
  <si>
    <t xml:space="preserve">1/15/2019</t>
  </si>
  <si>
    <t xml:space="preserve">1/16/2019</t>
  </si>
  <si>
    <t xml:space="preserve">1/17/2019</t>
  </si>
  <si>
    <t xml:space="preserve">1/18/2019</t>
  </si>
  <si>
    <t xml:space="preserve">1/19/2019</t>
  </si>
  <si>
    <t xml:space="preserve">1/20/2019</t>
  </si>
  <si>
    <t xml:space="preserve">1/21/2019</t>
  </si>
  <si>
    <t xml:space="preserve">1/22/2019</t>
  </si>
  <si>
    <t xml:space="preserve">1/23/2019</t>
  </si>
  <si>
    <t xml:space="preserve">1/24/2019</t>
  </si>
  <si>
    <t xml:space="preserve">1/25/2019</t>
  </si>
  <si>
    <t xml:space="preserve">1/26/2019</t>
  </si>
  <si>
    <t xml:space="preserve">1/27/2019</t>
  </si>
  <si>
    <t xml:space="preserve">1/28/2019</t>
  </si>
  <si>
    <t xml:space="preserve">1/29/2019</t>
  </si>
  <si>
    <t xml:space="preserve">1/30/2019</t>
  </si>
  <si>
    <t xml:space="preserve">1/31/2019</t>
  </si>
  <si>
    <t xml:space="preserve">2/1/2019</t>
  </si>
  <si>
    <t xml:space="preserve">2/2/2019</t>
  </si>
  <si>
    <t xml:space="preserve">2/3/2019</t>
  </si>
  <si>
    <t xml:space="preserve">2/4/2019</t>
  </si>
  <si>
    <t xml:space="preserve">2/5/2019</t>
  </si>
  <si>
    <t xml:space="preserve">2/6/2019</t>
  </si>
  <si>
    <t xml:space="preserve">2/7/2019</t>
  </si>
  <si>
    <t xml:space="preserve">2/8/2019</t>
  </si>
  <si>
    <t xml:space="preserve">2/9/2019</t>
  </si>
  <si>
    <t xml:space="preserve">2/10/2019</t>
  </si>
  <si>
    <t xml:space="preserve">2/11/2019</t>
  </si>
  <si>
    <t xml:space="preserve">2/12/2019</t>
  </si>
  <si>
    <t xml:space="preserve">2/13/2019</t>
  </si>
  <si>
    <t xml:space="preserve">2/14/2019</t>
  </si>
  <si>
    <t xml:space="preserve">2/15/2019</t>
  </si>
  <si>
    <t xml:space="preserve">2/16/2019</t>
  </si>
  <si>
    <t xml:space="preserve">2/17/2019</t>
  </si>
  <si>
    <t xml:space="preserve">2/18/2019</t>
  </si>
  <si>
    <t xml:space="preserve">2/19/2019</t>
  </si>
  <si>
    <t xml:space="preserve">2/20/2019</t>
  </si>
  <si>
    <t xml:space="preserve">2/21/2019</t>
  </si>
  <si>
    <t xml:space="preserve">2/22/2019</t>
  </si>
  <si>
    <t xml:space="preserve">2/23/2019</t>
  </si>
  <si>
    <t xml:space="preserve">2/24/2019</t>
  </si>
  <si>
    <t xml:space="preserve">2/25/2019</t>
  </si>
  <si>
    <t xml:space="preserve">2/26/2019</t>
  </si>
  <si>
    <t xml:space="preserve">2/27/2019</t>
  </si>
  <si>
    <t xml:space="preserve">2/28/2019</t>
  </si>
  <si>
    <t xml:space="preserve">11/1/2019</t>
  </si>
  <si>
    <t xml:space="preserve">11/2/2019</t>
  </si>
  <si>
    <t xml:space="preserve">11/3/2019</t>
  </si>
  <si>
    <t xml:space="preserve">11/4/2019</t>
  </si>
  <si>
    <t xml:space="preserve">11/5/2019</t>
  </si>
  <si>
    <t xml:space="preserve">11/6/2019</t>
  </si>
  <si>
    <t xml:space="preserve">11/7/2019</t>
  </si>
  <si>
    <t xml:space="preserve">11/8/2019</t>
  </si>
  <si>
    <t xml:space="preserve">11/9/2019</t>
  </si>
  <si>
    <t xml:space="preserve">11/10/2019</t>
  </si>
  <si>
    <t xml:space="preserve">11/11/2019</t>
  </si>
  <si>
    <t xml:space="preserve">11/12/2019</t>
  </si>
  <si>
    <t xml:space="preserve">11/13/2019</t>
  </si>
  <si>
    <t xml:space="preserve">11/14/2019</t>
  </si>
  <si>
    <t xml:space="preserve">11/15/2019</t>
  </si>
  <si>
    <t xml:space="preserve">11/16/2019</t>
  </si>
  <si>
    <t xml:space="preserve">11/17/2019</t>
  </si>
  <si>
    <t xml:space="preserve">11/18/2019</t>
  </si>
  <si>
    <t xml:space="preserve">11/19/2019</t>
  </si>
  <si>
    <t xml:space="preserve">11/20/2019</t>
  </si>
  <si>
    <t xml:space="preserve">11/21/2019</t>
  </si>
  <si>
    <t xml:space="preserve">11/22/2019</t>
  </si>
  <si>
    <t xml:space="preserve">11/23/2019</t>
  </si>
  <si>
    <t xml:space="preserve">11/24/2019</t>
  </si>
  <si>
    <t xml:space="preserve">11/25/2019</t>
  </si>
  <si>
    <t xml:space="preserve">11/26/2019</t>
  </si>
  <si>
    <t xml:space="preserve">11/27/2019</t>
  </si>
  <si>
    <t xml:space="preserve">11/28/2019</t>
  </si>
  <si>
    <t xml:space="preserve">11/29/2019</t>
  </si>
  <si>
    <t xml:space="preserve">11/30/2019</t>
  </si>
  <si>
    <t xml:space="preserve">12/1/2019</t>
  </si>
  <si>
    <t xml:space="preserve">12/2/2019</t>
  </si>
  <si>
    <t xml:space="preserve">12/3/2019</t>
  </si>
  <si>
    <t xml:space="preserve">12/4/2019</t>
  </si>
  <si>
    <t xml:space="preserve">12/5/2019</t>
  </si>
  <si>
    <t xml:space="preserve">12/6/2019</t>
  </si>
  <si>
    <t xml:space="preserve">12/7/2019</t>
  </si>
  <si>
    <t xml:space="preserve">12/8/2019</t>
  </si>
  <si>
    <t xml:space="preserve">12/9/2019</t>
  </si>
  <si>
    <t xml:space="preserve">12/10/2019</t>
  </si>
  <si>
    <t xml:space="preserve">12/11/2019</t>
  </si>
  <si>
    <t xml:space="preserve">12/12/2019</t>
  </si>
  <si>
    <t xml:space="preserve">12/13/2019</t>
  </si>
  <si>
    <t xml:space="preserve">12/14/2019</t>
  </si>
  <si>
    <t xml:space="preserve">12/15/2019</t>
  </si>
  <si>
    <t xml:space="preserve">12/16/2019</t>
  </si>
  <si>
    <t xml:space="preserve">12/17/2019</t>
  </si>
  <si>
    <t xml:space="preserve">12/18/2019</t>
  </si>
  <si>
    <t xml:space="preserve">12/19/2019</t>
  </si>
  <si>
    <t xml:space="preserve">12/20/2019</t>
  </si>
  <si>
    <t xml:space="preserve">12/21/2019</t>
  </si>
  <si>
    <t xml:space="preserve">12/22/2019</t>
  </si>
  <si>
    <t xml:space="preserve">12/23/2019</t>
  </si>
  <si>
    <t xml:space="preserve">12/24/2019</t>
  </si>
  <si>
    <t xml:space="preserve">12/25/2019</t>
  </si>
  <si>
    <t xml:space="preserve">12/26/2019</t>
  </si>
  <si>
    <t xml:space="preserve">12/27/2019</t>
  </si>
  <si>
    <t xml:space="preserve">12/28/2019</t>
  </si>
  <si>
    <t xml:space="preserve">12/29/2019</t>
  </si>
  <si>
    <t xml:space="preserve">12/30/2019</t>
  </si>
  <si>
    <t xml:space="preserve">12/31/2019</t>
  </si>
  <si>
    <t xml:space="preserve">1/1/2020</t>
  </si>
  <si>
    <t xml:space="preserve">1/2/2020</t>
  </si>
  <si>
    <t xml:space="preserve">1/3/2020</t>
  </si>
  <si>
    <t xml:space="preserve">1/4/2020</t>
  </si>
  <si>
    <t xml:space="preserve">1/5/2020</t>
  </si>
  <si>
    <t xml:space="preserve">1/6/2020</t>
  </si>
  <si>
    <t xml:space="preserve">1/7/2020</t>
  </si>
  <si>
    <t xml:space="preserve">1/8/2020</t>
  </si>
  <si>
    <t xml:space="preserve">1/9/2020</t>
  </si>
  <si>
    <t xml:space="preserve">1/10/2020</t>
  </si>
  <si>
    <t xml:space="preserve">1/11/2020</t>
  </si>
  <si>
    <t xml:space="preserve">1/12/2020</t>
  </si>
  <si>
    <t xml:space="preserve">1/13/2020</t>
  </si>
  <si>
    <t xml:space="preserve">1/14/2020</t>
  </si>
  <si>
    <t xml:space="preserve">1/15/2020</t>
  </si>
  <si>
    <t xml:space="preserve">1/16/2020</t>
  </si>
  <si>
    <t xml:space="preserve">1/17/2020</t>
  </si>
  <si>
    <t xml:space="preserve">1/18/2020</t>
  </si>
  <si>
    <t xml:space="preserve">1/19/2020</t>
  </si>
  <si>
    <t xml:space="preserve">1/20/2020</t>
  </si>
  <si>
    <t xml:space="preserve">1/21/2020</t>
  </si>
  <si>
    <t xml:space="preserve">1/22/2020</t>
  </si>
  <si>
    <t xml:space="preserve">1/23/2020</t>
  </si>
  <si>
    <t xml:space="preserve">1/24/2020</t>
  </si>
  <si>
    <t xml:space="preserve">1/25/2020</t>
  </si>
  <si>
    <t xml:space="preserve">1/26/2020</t>
  </si>
  <si>
    <t xml:space="preserve">1/27/2020</t>
  </si>
  <si>
    <t xml:space="preserve">1/28/2020</t>
  </si>
  <si>
    <t xml:space="preserve">1/29/2020</t>
  </si>
  <si>
    <t xml:space="preserve">1/30/2020</t>
  </si>
  <si>
    <t xml:space="preserve">1/31/2020</t>
  </si>
  <si>
    <t xml:space="preserve">2/1/2020</t>
  </si>
  <si>
    <t xml:space="preserve">2/2/2020</t>
  </si>
  <si>
    <t xml:space="preserve">2/3/2020</t>
  </si>
  <si>
    <t xml:space="preserve">2/4/2020</t>
  </si>
  <si>
    <t xml:space="preserve">2/5/2020</t>
  </si>
  <si>
    <t xml:space="preserve">2/6/2020</t>
  </si>
  <si>
    <t xml:space="preserve">2/7/2020</t>
  </si>
  <si>
    <t xml:space="preserve">2/8/2020</t>
  </si>
  <si>
    <t xml:space="preserve">2/9/2020</t>
  </si>
  <si>
    <t xml:space="preserve">2/10/2020</t>
  </si>
  <si>
    <t xml:space="preserve">2/11/2020</t>
  </si>
  <si>
    <t xml:space="preserve">2/12/2020</t>
  </si>
  <si>
    <t xml:space="preserve">2/13/2020</t>
  </si>
  <si>
    <t xml:space="preserve">2/14/2020</t>
  </si>
  <si>
    <t xml:space="preserve">2/15/2020</t>
  </si>
  <si>
    <t xml:space="preserve">2/16/2020</t>
  </si>
  <si>
    <t xml:space="preserve">2/17/2020</t>
  </si>
  <si>
    <t xml:space="preserve">2/18/2020</t>
  </si>
  <si>
    <t xml:space="preserve">2/19/2020</t>
  </si>
  <si>
    <t xml:space="preserve">2/20/2020</t>
  </si>
  <si>
    <t xml:space="preserve">2/21/2020</t>
  </si>
  <si>
    <t xml:space="preserve">2/22/2020</t>
  </si>
  <si>
    <t xml:space="preserve">2/23/2020</t>
  </si>
  <si>
    <t xml:space="preserve">2/24/2020</t>
  </si>
  <si>
    <t xml:space="preserve">2/25/2020</t>
  </si>
  <si>
    <t xml:space="preserve">2/26/2020</t>
  </si>
  <si>
    <t xml:space="preserve">2/27/2020</t>
  </si>
  <si>
    <t xml:space="preserve">2/28/2020</t>
  </si>
  <si>
    <t xml:space="preserve">2/29/2020</t>
  </si>
  <si>
    <t xml:space="preserve">REGRESSION DISCONTINUITY ESTIMATES</t>
  </si>
  <si>
    <t xml:space="preserve">Primary local-linear estimate (rectangular kernel, h = 1.5)</t>
  </si>
  <si>
    <t xml:space="preserve">Specification</t>
  </si>
  <si>
    <t xml:space="preserve">Bandwidth h</t>
  </si>
  <si>
    <t xml:space="preserve">LATE (τ̂)</t>
  </si>
  <si>
    <t xml:space="preserve">Std. Error</t>
  </si>
  <si>
    <t xml:space="preserve">p-value</t>
  </si>
  <si>
    <t xml:space="preserve">N used</t>
  </si>
  <si>
    <t xml:space="preserve">Notes</t>
  </si>
  <si>
    <t xml:space="preserve">Local linear (rectangular)</t>
  </si>
  <si>
    <t xml:space="preserve">Main result — used on Dashboard</t>
  </si>
  <si>
    <t xml:space="preserve">Triangular kernel</t>
  </si>
  <si>
    <t xml:space="preserve">Weights decline linearly to 0 at edge of window</t>
  </si>
  <si>
    <t xml:space="preserve">BANDWIDTH SENSITIVITY (cutpoint = 4, local linear)</t>
  </si>
  <si>
    <t xml:space="preserve">h</t>
  </si>
  <si>
    <t xml:space="preserve">N</t>
  </si>
  <si>
    <t xml:space="preserve">Significant at 5%?</t>
  </si>
  <si>
    <t xml:space="preserve">No</t>
  </si>
  <si>
    <t xml:space="preserve">Yes</t>
  </si>
  <si>
    <t xml:space="preserve">PLACEBO / FALSIFICATION TESTS (h = 1.5) — expect τ̂ ≈ 0</t>
  </si>
  <si>
    <t xml:space="preserve">Placebo cutpoint</t>
  </si>
  <si>
    <t xml:space="preserve">Significant?</t>
  </si>
  <si>
    <t xml:space="preserve">Note: At the true policy cutpoint (4) the effect is large and significant; at every placebo cutpoint it is near zero and insignificant.</t>
  </si>
  <si>
    <t xml:space="preserve">★ INTERACTIVE WHAT-IF CONTROLS</t>
  </si>
  <si>
    <t xml:space="preserve">Change the yellow cell B5. The displayed LATE updates via INDEX/MATCH on the grid below (works in Google Sheets and Excel).</t>
  </si>
  <si>
    <t xml:space="preserve">INPUTS (edit yellow cells — blue font)</t>
  </si>
  <si>
    <t xml:space="preserve">← try values from the grid: 0.75, 1.0, 1.25, 1.5, 1.75, 2.0, 2.25, 2.5, 2.75, 3.0</t>
  </si>
  <si>
    <t xml:space="preserve">Policy cutpoint (fixed)</t>
  </si>
  <si>
    <t xml:space="preserve">True policy threshold is 4; shown for reference</t>
  </si>
  <si>
    <t xml:space="preserve">LIVE OUTPUT (formula-driven)</t>
  </si>
  <si>
    <t xml:space="preserve">Selected LATE (τ̂)</t>
  </si>
  <si>
    <t xml:space="preserve">N inside window</t>
  </si>
  <si>
    <t xml:space="preserve">↑ Change B5 (yellow). The four live outputs update automatically.</t>
  </si>
  <si>
    <t xml:space="preserve">LATE</t>
  </si>
  <si>
    <t xml:space="preserve">SE</t>
  </si>
  <si>
    <t xml:space="preserve">QUICK PLACEBO REFERENCE (h = 1.5 fixed)</t>
  </si>
  <si>
    <t xml:space="preserve">True cutpoint = 4 → large significant effect. All other cuts → insignificant.</t>
  </si>
  <si>
    <t xml:space="preserve">Cut</t>
  </si>
  <si>
    <t xml:space="preserve">p</t>
  </si>
  <si>
    <t xml:space="preserve">GROUP SUMMARY &amp; CONTINUITY DIAGNOSTIC</t>
  </si>
  <si>
    <t xml:space="preserve">Outcome &amp; forcing variable by emergency status</t>
  </si>
  <si>
    <t xml:space="preserve">Group</t>
  </si>
  <si>
    <t xml:space="preserve">Mean snowfall</t>
  </si>
  <si>
    <t xml:space="preserve">SD snowfall</t>
  </si>
  <si>
    <t xml:space="preserve">Mean minutes</t>
  </si>
  <si>
    <t xml:space="preserve">SD minutes</t>
  </si>
  <si>
    <t xml:space="preserve">Overall</t>
  </si>
  <si>
    <t xml:space="preserve">Simple histogram bins of snowfall (visual continuity check)</t>
  </si>
  <si>
    <t xml:space="preserve">If density is roughly continuous around 4, manipulation of the running variable is less of a concern. ★ marks bins near the cutpoint.</t>
  </si>
  <si>
    <t xml:space="preserve">Bin start</t>
  </si>
  <si>
    <t xml:space="preserve">Bin end</t>
  </si>
  <si>
    <t xml:space="preserve">Count</t>
  </si>
  <si>
    <t xml:space="preserve">Near cut?</t>
  </si>
  <si>
    <t xml:space="preserve">★</t>
  </si>
  <si>
    <t xml:space="preserve">SIMULATION LABORATORY — Recovering a known discontinuity</t>
  </si>
  <si>
    <t xml:space="preserve">Synthetic data are generated with a known true LATE (τ_true). The same local-linear estimator is applied. This sheet shows how recovery quality changes with noise.</t>
  </si>
  <si>
    <t xml:space="preserve">PRE-COMPUTED RECOVERY GRID (n = 500, h = 1.5)</t>
  </si>
  <si>
    <t xml:space="preserve">True τ</t>
  </si>
  <si>
    <t xml:space="preserve">Noise SD</t>
  </si>
  <si>
    <t xml:space="preserve">Recovered τ̂</t>
  </si>
  <si>
    <t xml:space="preserve">Bias</t>
  </si>
  <si>
    <t xml:space="preserve">Excellent recovery</t>
  </si>
  <si>
    <t xml:space="preserve">Good</t>
  </si>
  <si>
    <t xml:space="preserve">Noisier but still close</t>
  </si>
  <si>
    <t xml:space="preserve">Attenuated under high noise</t>
  </si>
  <si>
    <t xml:space="preserve">Larger bias when noise is high</t>
  </si>
  <si>
    <t xml:space="preserve">Takeaway: With moderate noise and enough observations near the cutpoint the estimator recovers the true LATE well. High noise increases variance and can introduce bias.</t>
  </si>
  <si>
    <t xml:space="preserve">To run your own simulations: use the Simulation section in Commute_Times_RDD_Solution.R or the Solution Jupyter notebook.</t>
  </si>
  <si>
    <t xml:space="preserve">GOOGLE SHEETS / EXCEL USAGE GUIDE</t>
  </si>
  <si>
    <t xml:space="preserve">Importing into Google Sheets</t>
  </si>
  <si>
    <t xml:space="preserve">1. Upload this .xlsx to Google Drive → Open with Google Sheets.
2. Formulas (INDEX/MATCH, IF, ABS) work natively in Google Sheets.
3. Conditional formatting and filters also transfer.
4. Charts can be recreated with Insert → Chart (scatter of minutes vs snowfall is especially useful).</t>
  </si>
  <si>
    <t xml:space="preserve">How a spreadsheet really shines for RDD</t>
  </si>
  <si>
    <t xml:space="preserve">• Instant sensitivity: change one yellow cell → every dependent number updates. In a notebook you re-run a cell; here the whole team sees the new LATE at once.
• Filterable micro-data: on the Data sheet turn on the filter and keep only Inside_BW_h1.5 = 1. You are now looking at exactly the observations that enter the local linear regression.
• QUERY / FILTER language (Google Sheets): =QUERY(Data!A:I,"select Col2, Col4 where Col7 = 1",1) gives you the analysis sample in one formula.
• Audit trail: every Xc and T is a visible formula, not a hidden package step. Perfect for teaching or for reviewers who want to verify the discontinuity.
• Side-by-side placebo table: the classic ‘effect only appears at the true cutpoint’ story is visible in a single glance — ideal for slides or a quick stakeholder conversation.
• No environment setup: anyone with a browser can open the link; no R, Python, or package installation required.</t>
  </si>
  <si>
    <t xml:space="preserve">Suggested Google Sheets enhancements after import</t>
  </si>
  <si>
    <t xml:space="preserve">1. Data sheet → Data → Create a filter. Then filter G = 1 to isolate the bandwidth sample.
2. Insert a scatter chart: X = snowfall, Y = minutes, color by emergency (or by T).
3. Add a vertical line at x = 4 (helper series with two points at snowfall = 4).
4. On What-If Controls, add data validation on B5 so users can only pick from the list of bandwidths.
5. Protect the lookup grid (rows 15–25) so accidental edits do not break the INDEX/MATCH.</t>
  </si>
  <si>
    <t xml:space="preserve">Companion files</t>
  </si>
  <si>
    <t xml:space="preserve">Commute_Times_RDD_Solution.R  |  Commute_Times_RDD_Solution.ipynb  |  Commute_Times_RDD_Practice_Skeleton.ipynb  |  1-Page Summary Report.docx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</si>
</sst>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&quot; minutes&quot;"/>
    <numFmt numFmtId="166" formatCode="0.000"/>
    <numFmt numFmtId="167" formatCode="0.00"/>
    <numFmt numFmtId="168" formatCode="General"/>
    <numFmt numFmtId="169" formatCode="0.0000"/>
    <numFmt numFmtId="170" formatCode="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22"/>
      <color rgb="FFC0000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6"/>
      <color rgb="FFC00000"/>
      <name val="Arial"/>
      <family val="0"/>
      <charset val="1"/>
    </font>
    <font>
      <sz val="9"/>
      <color rgb="FFC00000"/>
      <name val="Arial"/>
      <family val="0"/>
      <charset val="1"/>
    </font>
    <font>
      <sz val="9"/>
      <color rgb="FF1F4E7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CE4D6"/>
        <bgColor rgb="FFFFF2CC"/>
      </patternFill>
    </fill>
    <fill>
      <patternFill patternType="solid">
        <fgColor rgb="FFE2EFDA"/>
        <bgColor rgb="FFD6EAF8"/>
      </patternFill>
    </fill>
    <fill>
      <patternFill patternType="solid">
        <fgColor rgb="FFD6EAF8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88888"/>
      <rgbColor rgb="FF9999FF"/>
      <rgbColor rgb="FF993366"/>
      <rgbColor rgb="FFFFF2CC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  <col collapsed="false" customWidth="true" hidden="false" outlineLevel="0" max="8" min="3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</row>
    <row r="8" customFormat="false" ht="15" hidden="false" customHeight="false" outlineLevel="0" collapsed="false">
      <c r="A8" s="3" t="s">
        <v>4</v>
      </c>
    </row>
    <row r="9" customFormat="false" ht="15" hidden="false" customHeight="false" outlineLevel="0" collapsed="false">
      <c r="A9" s="5" t="s">
        <v>5</v>
      </c>
      <c r="E9" s="6" t="s">
        <v>6</v>
      </c>
    </row>
    <row r="10" customFormat="false" ht="26.8" hidden="false" customHeight="true" outlineLevel="0" collapsed="false">
      <c r="A10" s="7" t="n">
        <v>-11.06</v>
      </c>
      <c r="B10" s="7"/>
      <c r="C10" s="7"/>
      <c r="E10" s="8" t="s">
        <v>7</v>
      </c>
      <c r="F10" s="8"/>
      <c r="G10" s="8"/>
      <c r="H10" s="8"/>
    </row>
    <row r="11" customFormat="false" ht="15" hidden="false" customHeight="false" outlineLevel="0" collapsed="false">
      <c r="A11" s="9" t="s">
        <v>8</v>
      </c>
      <c r="B11" s="9"/>
      <c r="C11" s="9"/>
      <c r="D11" s="9"/>
      <c r="E11" s="8"/>
      <c r="F11" s="8"/>
      <c r="G11" s="8"/>
      <c r="H11" s="8"/>
    </row>
    <row r="13" customFormat="false" ht="15" hidden="false" customHeight="false" outlineLevel="0" collapsed="false">
      <c r="A13" s="3" t="s">
        <v>9</v>
      </c>
    </row>
    <row r="14" customFormat="false" ht="15" hidden="false" customHeight="true" outlineLevel="0" collapsed="false">
      <c r="A14" s="10" t="s">
        <v>10</v>
      </c>
      <c r="B14" s="10"/>
      <c r="C14" s="10"/>
      <c r="D14" s="10"/>
      <c r="E14" s="10"/>
      <c r="F14" s="10"/>
      <c r="G14" s="10"/>
      <c r="H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</row>
    <row r="19" customFormat="false" ht="15" hidden="false" customHeight="false" outlineLevel="0" collapsed="false">
      <c r="A19" s="3" t="s">
        <v>11</v>
      </c>
    </row>
    <row r="20" customFormat="false" ht="15" hidden="false" customHeight="false" outlineLevel="0" collapsed="false">
      <c r="A20" s="11" t="s">
        <v>12</v>
      </c>
      <c r="B20" s="12" t="s">
        <v>13</v>
      </c>
      <c r="C20" s="12"/>
      <c r="D20" s="12"/>
      <c r="E20" s="12"/>
      <c r="F20" s="12"/>
    </row>
    <row r="21" customFormat="false" ht="15" hidden="false" customHeight="false" outlineLevel="0" collapsed="false">
      <c r="A21" s="11" t="s">
        <v>14</v>
      </c>
      <c r="B21" s="12" t="s">
        <v>15</v>
      </c>
      <c r="C21" s="12"/>
      <c r="D21" s="12"/>
      <c r="E21" s="12"/>
      <c r="F21" s="12"/>
    </row>
    <row r="22" customFormat="false" ht="15" hidden="false" customHeight="false" outlineLevel="0" collapsed="false">
      <c r="A22" s="11" t="s">
        <v>16</v>
      </c>
      <c r="B22" s="12" t="s">
        <v>17</v>
      </c>
      <c r="C22" s="12"/>
      <c r="D22" s="12"/>
      <c r="E22" s="12"/>
      <c r="F22" s="12"/>
    </row>
    <row r="23" customFormat="false" ht="15" hidden="false" customHeight="false" outlineLevel="0" collapsed="false">
      <c r="A23" s="11" t="s">
        <v>18</v>
      </c>
      <c r="B23" s="12" t="s">
        <v>19</v>
      </c>
      <c r="C23" s="12"/>
      <c r="D23" s="12"/>
      <c r="E23" s="12"/>
      <c r="F23" s="12"/>
    </row>
    <row r="24" customFormat="false" ht="15" hidden="false" customHeight="false" outlineLevel="0" collapsed="false">
      <c r="A24" s="11" t="s">
        <v>20</v>
      </c>
      <c r="B24" s="12" t="s">
        <v>21</v>
      </c>
      <c r="C24" s="12"/>
      <c r="D24" s="12"/>
      <c r="E24" s="12"/>
      <c r="F24" s="12"/>
    </row>
    <row r="25" customFormat="false" ht="15" hidden="false" customHeight="false" outlineLevel="0" collapsed="false">
      <c r="A25" s="11" t="s">
        <v>22</v>
      </c>
      <c r="B25" s="12" t="s">
        <v>23</v>
      </c>
      <c r="C25" s="12"/>
      <c r="D25" s="12"/>
      <c r="E25" s="12"/>
      <c r="F25" s="12"/>
    </row>
    <row r="26" customFormat="false" ht="15" hidden="false" customHeight="false" outlineLevel="0" collapsed="false">
      <c r="A26" s="11" t="s">
        <v>24</v>
      </c>
      <c r="B26" s="12" t="s">
        <v>25</v>
      </c>
      <c r="C26" s="12"/>
      <c r="D26" s="12"/>
      <c r="E26" s="12"/>
      <c r="F26" s="12"/>
    </row>
    <row r="28" customFormat="false" ht="15" hidden="false" customHeight="false" outlineLevel="0" collapsed="false">
      <c r="A28" s="13" t="s">
        <v>26</v>
      </c>
      <c r="B28" s="13"/>
      <c r="C28" s="13"/>
      <c r="D28" s="13"/>
      <c r="E28" s="13"/>
      <c r="F28" s="13"/>
      <c r="G28" s="13"/>
      <c r="H28" s="13"/>
    </row>
  </sheetData>
  <mergeCells count="15">
    <mergeCell ref="A1:H1"/>
    <mergeCell ref="A2:H2"/>
    <mergeCell ref="A5:H6"/>
    <mergeCell ref="A10:C10"/>
    <mergeCell ref="E10:H11"/>
    <mergeCell ref="A11:F11"/>
    <mergeCell ref="A14:H17"/>
    <mergeCell ref="B20:F20"/>
    <mergeCell ref="B21:F21"/>
    <mergeCell ref="B22:F22"/>
    <mergeCell ref="B23:F23"/>
    <mergeCell ref="B24:F24"/>
    <mergeCell ref="B25:F25"/>
    <mergeCell ref="B26:F26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9" min="4" style="0" width="15"/>
  </cols>
  <sheetData>
    <row r="1" customFormat="false" ht="26.85" hidden="false" customHeight="false" outlineLevel="0" collapsed="false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4" t="s">
        <v>32</v>
      </c>
      <c r="G1" s="14" t="s">
        <v>33</v>
      </c>
      <c r="H1" s="14" t="s">
        <v>34</v>
      </c>
      <c r="I1" s="14" t="s">
        <v>35</v>
      </c>
    </row>
    <row r="2" customFormat="false" ht="15" hidden="false" customHeight="false" outlineLevel="0" collapsed="false">
      <c r="A2" s="5" t="s">
        <v>36</v>
      </c>
      <c r="B2" s="15" t="n">
        <v>2.218687</v>
      </c>
      <c r="C2" s="5" t="s">
        <v>37</v>
      </c>
      <c r="D2" s="16" t="n">
        <v>63.1364</v>
      </c>
      <c r="E2" s="15" t="n">
        <f aca="false">B2-4</f>
        <v>-1.781313</v>
      </c>
      <c r="F2" s="17" t="n">
        <f aca="false">IF(B2&gt;=4,1,0)</f>
        <v>0</v>
      </c>
      <c r="G2" s="17" t="n">
        <f aca="false">IF(ABS(E2)&lt;=1.5,1,0)</f>
        <v>0</v>
      </c>
      <c r="H2" s="15" t="n">
        <f aca="false">IF(ABS(E2)&lt;=1.5,1-ABS(E2)/1.5,0)</f>
        <v>0</v>
      </c>
      <c r="I2" s="15" t="n">
        <f aca="false">ABS(E2)</f>
        <v>1.781313</v>
      </c>
    </row>
    <row r="3" customFormat="false" ht="15" hidden="false" customHeight="false" outlineLevel="0" collapsed="false">
      <c r="A3" s="5" t="s">
        <v>38</v>
      </c>
      <c r="B3" s="15" t="n">
        <v>4.519099</v>
      </c>
      <c r="C3" s="5" t="s">
        <v>39</v>
      </c>
      <c r="D3" s="16" t="n">
        <v>45.5186</v>
      </c>
      <c r="E3" s="15" t="n">
        <f aca="false">B3-4</f>
        <v>0.519099</v>
      </c>
      <c r="F3" s="17" t="n">
        <f aca="false">IF(B3&gt;=4,1,0)</f>
        <v>1</v>
      </c>
      <c r="G3" s="17" t="n">
        <f aca="false">IF(ABS(E3)&lt;=1.5,1,0)</f>
        <v>1</v>
      </c>
      <c r="H3" s="15" t="n">
        <f aca="false">IF(ABS(E3)&lt;=1.5,1-ABS(E3)/1.5,0)</f>
        <v>0.653934</v>
      </c>
      <c r="I3" s="15" t="n">
        <f aca="false">ABS(E3)</f>
        <v>0.519099</v>
      </c>
    </row>
    <row r="4" customFormat="false" ht="15" hidden="false" customHeight="false" outlineLevel="0" collapsed="false">
      <c r="A4" s="5" t="s">
        <v>40</v>
      </c>
      <c r="B4" s="15" t="n">
        <v>5.124571</v>
      </c>
      <c r="C4" s="5" t="s">
        <v>39</v>
      </c>
      <c r="D4" s="16" t="n">
        <v>41.8361</v>
      </c>
      <c r="E4" s="15" t="n">
        <f aca="false">B4-4</f>
        <v>1.124571</v>
      </c>
      <c r="F4" s="17" t="n">
        <f aca="false">IF(B4&gt;=4,1,0)</f>
        <v>1</v>
      </c>
      <c r="G4" s="17" t="n">
        <f aca="false">IF(ABS(E4)&lt;=1.5,1,0)</f>
        <v>1</v>
      </c>
      <c r="H4" s="15" t="n">
        <f aca="false">IF(ABS(E4)&lt;=1.5,1-ABS(E4)/1.5,0)</f>
        <v>0.250286</v>
      </c>
      <c r="I4" s="15" t="n">
        <f aca="false">ABS(E4)</f>
        <v>1.124571</v>
      </c>
    </row>
    <row r="5" customFormat="false" ht="15" hidden="false" customHeight="false" outlineLevel="0" collapsed="false">
      <c r="A5" s="5" t="s">
        <v>41</v>
      </c>
      <c r="B5" s="15" t="n">
        <v>1.301896</v>
      </c>
      <c r="C5" s="5" t="s">
        <v>37</v>
      </c>
      <c r="D5" s="16" t="n">
        <v>51.2555</v>
      </c>
      <c r="E5" s="15" t="n">
        <f aca="false">B5-4</f>
        <v>-2.698104</v>
      </c>
      <c r="F5" s="17" t="n">
        <f aca="false">IF(B5&gt;=4,1,0)</f>
        <v>0</v>
      </c>
      <c r="G5" s="17" t="n">
        <f aca="false">IF(ABS(E5)&lt;=1.5,1,0)</f>
        <v>0</v>
      </c>
      <c r="H5" s="15" t="n">
        <f aca="false">IF(ABS(E5)&lt;=1.5,1-ABS(E5)/1.5,0)</f>
        <v>0</v>
      </c>
      <c r="I5" s="15" t="n">
        <f aca="false">ABS(E5)</f>
        <v>2.698104</v>
      </c>
    </row>
    <row r="6" customFormat="false" ht="15" hidden="false" customHeight="false" outlineLevel="0" collapsed="false">
      <c r="A6" s="5" t="s">
        <v>42</v>
      </c>
      <c r="B6" s="15" t="n">
        <v>5.314226</v>
      </c>
      <c r="C6" s="5" t="s">
        <v>39</v>
      </c>
      <c r="D6" s="16" t="n">
        <v>37.5759</v>
      </c>
      <c r="E6" s="15" t="n">
        <f aca="false">B6-4</f>
        <v>1.314226</v>
      </c>
      <c r="F6" s="17" t="n">
        <f aca="false">IF(B6&gt;=4,1,0)</f>
        <v>1</v>
      </c>
      <c r="G6" s="17" t="n">
        <f aca="false">IF(ABS(E6)&lt;=1.5,1,0)</f>
        <v>1</v>
      </c>
      <c r="H6" s="15" t="n">
        <f aca="false">IF(ABS(E6)&lt;=1.5,1-ABS(E6)/1.5,0)</f>
        <v>0.123849333333334</v>
      </c>
      <c r="I6" s="15" t="n">
        <f aca="false">ABS(E6)</f>
        <v>1.314226</v>
      </c>
    </row>
    <row r="7" customFormat="false" ht="15" hidden="false" customHeight="false" outlineLevel="0" collapsed="false">
      <c r="A7" s="5" t="s">
        <v>43</v>
      </c>
      <c r="B7" s="15" t="n">
        <v>1.636324</v>
      </c>
      <c r="C7" s="5" t="s">
        <v>37</v>
      </c>
      <c r="D7" s="16" t="n">
        <v>43.8393</v>
      </c>
      <c r="E7" s="15" t="n">
        <f aca="false">B7-4</f>
        <v>-2.363676</v>
      </c>
      <c r="F7" s="17" t="n">
        <f aca="false">IF(B7&gt;=4,1,0)</f>
        <v>0</v>
      </c>
      <c r="G7" s="17" t="n">
        <f aca="false">IF(ABS(E7)&lt;=1.5,1,0)</f>
        <v>0</v>
      </c>
      <c r="H7" s="15" t="n">
        <f aca="false">IF(ABS(E7)&lt;=1.5,1-ABS(E7)/1.5,0)</f>
        <v>0</v>
      </c>
      <c r="I7" s="15" t="n">
        <f aca="false">ABS(E7)</f>
        <v>2.363676</v>
      </c>
    </row>
    <row r="8" customFormat="false" ht="15" hidden="false" customHeight="false" outlineLevel="0" collapsed="false">
      <c r="A8" s="5" t="s">
        <v>44</v>
      </c>
      <c r="B8" s="15" t="n">
        <v>4.722116</v>
      </c>
      <c r="C8" s="5" t="s">
        <v>39</v>
      </c>
      <c r="D8" s="16" t="n">
        <v>26.6415</v>
      </c>
      <c r="E8" s="15" t="n">
        <f aca="false">B8-4</f>
        <v>0.722116</v>
      </c>
      <c r="F8" s="17" t="n">
        <f aca="false">IF(B8&gt;=4,1,0)</f>
        <v>1</v>
      </c>
      <c r="G8" s="17" t="n">
        <f aca="false">IF(ABS(E8)&lt;=1.5,1,0)</f>
        <v>1</v>
      </c>
      <c r="H8" s="15" t="n">
        <f aca="false">IF(ABS(E8)&lt;=1.5,1-ABS(E8)/1.5,0)</f>
        <v>0.518589333333334</v>
      </c>
      <c r="I8" s="15" t="n">
        <f aca="false">ABS(E8)</f>
        <v>0.722116</v>
      </c>
    </row>
    <row r="9" customFormat="false" ht="15" hidden="false" customHeight="false" outlineLevel="0" collapsed="false">
      <c r="A9" s="5" t="s">
        <v>45</v>
      </c>
      <c r="B9" s="15" t="n">
        <v>1.974377</v>
      </c>
      <c r="C9" s="5" t="s">
        <v>37</v>
      </c>
      <c r="D9" s="16" t="n">
        <v>35.7329</v>
      </c>
      <c r="E9" s="15" t="n">
        <f aca="false">B9-4</f>
        <v>-2.025623</v>
      </c>
      <c r="F9" s="17" t="n">
        <f aca="false">IF(B9&gt;=4,1,0)</f>
        <v>0</v>
      </c>
      <c r="G9" s="17" t="n">
        <f aca="false">IF(ABS(E9)&lt;=1.5,1,0)</f>
        <v>0</v>
      </c>
      <c r="H9" s="15" t="n">
        <f aca="false">IF(ABS(E9)&lt;=1.5,1-ABS(E9)/1.5,0)</f>
        <v>0</v>
      </c>
      <c r="I9" s="15" t="n">
        <f aca="false">ABS(E9)</f>
        <v>2.025623</v>
      </c>
    </row>
    <row r="10" customFormat="false" ht="15" hidden="false" customHeight="false" outlineLevel="0" collapsed="false">
      <c r="A10" s="5" t="s">
        <v>46</v>
      </c>
      <c r="B10" s="15" t="n">
        <v>3.308925</v>
      </c>
      <c r="C10" s="5" t="s">
        <v>37</v>
      </c>
      <c r="D10" s="16" t="n">
        <v>52.639</v>
      </c>
      <c r="E10" s="15" t="n">
        <f aca="false">B10-4</f>
        <v>-0.691075</v>
      </c>
      <c r="F10" s="17" t="n">
        <f aca="false">IF(B10&gt;=4,1,0)</f>
        <v>0</v>
      </c>
      <c r="G10" s="17" t="n">
        <f aca="false">IF(ABS(E10)&lt;=1.5,1,0)</f>
        <v>1</v>
      </c>
      <c r="H10" s="15" t="n">
        <f aca="false">IF(ABS(E10)&lt;=1.5,1-ABS(E10)/1.5,0)</f>
        <v>0.539283333333333</v>
      </c>
      <c r="I10" s="15" t="n">
        <f aca="false">ABS(E10)</f>
        <v>0.691075</v>
      </c>
    </row>
    <row r="11" customFormat="false" ht="15" hidden="false" customHeight="false" outlineLevel="0" collapsed="false">
      <c r="A11" s="5" t="s">
        <v>47</v>
      </c>
      <c r="B11" s="15" t="n">
        <v>2.75606</v>
      </c>
      <c r="C11" s="5" t="s">
        <v>37</v>
      </c>
      <c r="D11" s="16" t="n">
        <v>62.9564</v>
      </c>
      <c r="E11" s="15" t="n">
        <f aca="false">B11-4</f>
        <v>-1.24394</v>
      </c>
      <c r="F11" s="17" t="n">
        <f aca="false">IF(B11&gt;=4,1,0)</f>
        <v>0</v>
      </c>
      <c r="G11" s="17" t="n">
        <f aca="false">IF(ABS(E11)&lt;=1.5,1,0)</f>
        <v>1</v>
      </c>
      <c r="H11" s="15" t="n">
        <f aca="false">IF(ABS(E11)&lt;=1.5,1-ABS(E11)/1.5,0)</f>
        <v>0.170706666666667</v>
      </c>
      <c r="I11" s="15" t="n">
        <f aca="false">ABS(E11)</f>
        <v>1.24394</v>
      </c>
    </row>
    <row r="12" customFormat="false" ht="15" hidden="false" customHeight="false" outlineLevel="0" collapsed="false">
      <c r="A12" s="5" t="s">
        <v>48</v>
      </c>
      <c r="B12" s="15" t="n">
        <v>0.68575</v>
      </c>
      <c r="C12" s="5" t="s">
        <v>37</v>
      </c>
      <c r="D12" s="16" t="n">
        <v>41.5688</v>
      </c>
      <c r="E12" s="15" t="n">
        <f aca="false">B12-4</f>
        <v>-3.31425</v>
      </c>
      <c r="F12" s="17" t="n">
        <f aca="false">IF(B12&gt;=4,1,0)</f>
        <v>0</v>
      </c>
      <c r="G12" s="17" t="n">
        <f aca="false">IF(ABS(E12)&lt;=1.5,1,0)</f>
        <v>0</v>
      </c>
      <c r="H12" s="15" t="n">
        <f aca="false">IF(ABS(E12)&lt;=1.5,1-ABS(E12)/1.5,0)</f>
        <v>0</v>
      </c>
      <c r="I12" s="15" t="n">
        <f aca="false">ABS(E12)</f>
        <v>3.31425</v>
      </c>
    </row>
    <row r="13" customFormat="false" ht="15" hidden="false" customHeight="false" outlineLevel="0" collapsed="false">
      <c r="A13" s="5" t="s">
        <v>49</v>
      </c>
      <c r="B13" s="15" t="n">
        <v>0.593928</v>
      </c>
      <c r="C13" s="5" t="s">
        <v>37</v>
      </c>
      <c r="D13" s="16" t="n">
        <v>30.4051</v>
      </c>
      <c r="E13" s="15" t="n">
        <f aca="false">B13-4</f>
        <v>-3.406072</v>
      </c>
      <c r="F13" s="17" t="n">
        <f aca="false">IF(B13&gt;=4,1,0)</f>
        <v>0</v>
      </c>
      <c r="G13" s="17" t="n">
        <f aca="false">IF(ABS(E13)&lt;=1.5,1,0)</f>
        <v>0</v>
      </c>
      <c r="H13" s="15" t="n">
        <f aca="false">IF(ABS(E13)&lt;=1.5,1-ABS(E13)/1.5,0)</f>
        <v>0</v>
      </c>
      <c r="I13" s="15" t="n">
        <f aca="false">ABS(E13)</f>
        <v>3.406072</v>
      </c>
    </row>
    <row r="14" customFormat="false" ht="15" hidden="false" customHeight="false" outlineLevel="0" collapsed="false">
      <c r="A14" s="5" t="s">
        <v>50</v>
      </c>
      <c r="B14" s="15" t="n">
        <v>1.370369</v>
      </c>
      <c r="C14" s="5" t="s">
        <v>37</v>
      </c>
      <c r="D14" s="16" t="n">
        <v>75.0591</v>
      </c>
      <c r="E14" s="15" t="n">
        <f aca="false">B14-4</f>
        <v>-2.629631</v>
      </c>
      <c r="F14" s="17" t="n">
        <f aca="false">IF(B14&gt;=4,1,0)</f>
        <v>0</v>
      </c>
      <c r="G14" s="17" t="n">
        <f aca="false">IF(ABS(E14)&lt;=1.5,1,0)</f>
        <v>0</v>
      </c>
      <c r="H14" s="15" t="n">
        <f aca="false">IF(ABS(E14)&lt;=1.5,1-ABS(E14)/1.5,0)</f>
        <v>0</v>
      </c>
      <c r="I14" s="15" t="n">
        <f aca="false">ABS(E14)</f>
        <v>2.629631</v>
      </c>
    </row>
    <row r="15" customFormat="false" ht="15" hidden="false" customHeight="false" outlineLevel="0" collapsed="false">
      <c r="A15" s="5" t="s">
        <v>51</v>
      </c>
      <c r="B15" s="15" t="n">
        <v>0.273664</v>
      </c>
      <c r="C15" s="5" t="s">
        <v>37</v>
      </c>
      <c r="D15" s="16" t="n">
        <v>43.6144</v>
      </c>
      <c r="E15" s="15" t="n">
        <f aca="false">B15-4</f>
        <v>-3.726336</v>
      </c>
      <c r="F15" s="17" t="n">
        <f aca="false">IF(B15&gt;=4,1,0)</f>
        <v>0</v>
      </c>
      <c r="G15" s="17" t="n">
        <f aca="false">IF(ABS(E15)&lt;=1.5,1,0)</f>
        <v>0</v>
      </c>
      <c r="H15" s="15" t="n">
        <f aca="false">IF(ABS(E15)&lt;=1.5,1-ABS(E15)/1.5,0)</f>
        <v>0</v>
      </c>
      <c r="I15" s="15" t="n">
        <f aca="false">ABS(E15)</f>
        <v>3.726336</v>
      </c>
    </row>
    <row r="16" customFormat="false" ht="15" hidden="false" customHeight="false" outlineLevel="0" collapsed="false">
      <c r="A16" s="5" t="s">
        <v>52</v>
      </c>
      <c r="B16" s="15" t="n">
        <v>0.828076</v>
      </c>
      <c r="C16" s="5" t="s">
        <v>37</v>
      </c>
      <c r="D16" s="16" t="n">
        <v>32.1972</v>
      </c>
      <c r="E16" s="15" t="n">
        <f aca="false">B16-4</f>
        <v>-3.171924</v>
      </c>
      <c r="F16" s="17" t="n">
        <f aca="false">IF(B16&gt;=4,1,0)</f>
        <v>0</v>
      </c>
      <c r="G16" s="17" t="n">
        <f aca="false">IF(ABS(E16)&lt;=1.5,1,0)</f>
        <v>0</v>
      </c>
      <c r="H16" s="15" t="n">
        <f aca="false">IF(ABS(E16)&lt;=1.5,1-ABS(E16)/1.5,0)</f>
        <v>0</v>
      </c>
      <c r="I16" s="15" t="n">
        <f aca="false">ABS(E16)</f>
        <v>3.171924</v>
      </c>
    </row>
    <row r="17" customFormat="false" ht="15" hidden="false" customHeight="false" outlineLevel="0" collapsed="false">
      <c r="A17" s="5" t="s">
        <v>53</v>
      </c>
      <c r="B17" s="15" t="n">
        <v>0.980987</v>
      </c>
      <c r="C17" s="5" t="s">
        <v>37</v>
      </c>
      <c r="D17" s="16" t="n">
        <v>53.8689</v>
      </c>
      <c r="E17" s="15" t="n">
        <f aca="false">B17-4</f>
        <v>-3.019013</v>
      </c>
      <c r="F17" s="17" t="n">
        <f aca="false">IF(B17&gt;=4,1,0)</f>
        <v>0</v>
      </c>
      <c r="G17" s="17" t="n">
        <f aca="false">IF(ABS(E17)&lt;=1.5,1,0)</f>
        <v>0</v>
      </c>
      <c r="H17" s="15" t="n">
        <f aca="false">IF(ABS(E17)&lt;=1.5,1-ABS(E17)/1.5,0)</f>
        <v>0</v>
      </c>
      <c r="I17" s="15" t="n">
        <f aca="false">ABS(E17)</f>
        <v>3.019013</v>
      </c>
    </row>
    <row r="18" customFormat="false" ht="15" hidden="false" customHeight="false" outlineLevel="0" collapsed="false">
      <c r="A18" s="5" t="s">
        <v>54</v>
      </c>
      <c r="B18" s="15" t="n">
        <v>0.927972</v>
      </c>
      <c r="C18" s="5" t="s">
        <v>37</v>
      </c>
      <c r="D18" s="16" t="n">
        <v>52.328</v>
      </c>
      <c r="E18" s="15" t="n">
        <f aca="false">B18-4</f>
        <v>-3.072028</v>
      </c>
      <c r="F18" s="17" t="n">
        <f aca="false">IF(B18&gt;=4,1,0)</f>
        <v>0</v>
      </c>
      <c r="G18" s="17" t="n">
        <f aca="false">IF(ABS(E18)&lt;=1.5,1,0)</f>
        <v>0</v>
      </c>
      <c r="H18" s="15" t="n">
        <f aca="false">IF(ABS(E18)&lt;=1.5,1-ABS(E18)/1.5,0)</f>
        <v>0</v>
      </c>
      <c r="I18" s="15" t="n">
        <f aca="false">ABS(E18)</f>
        <v>3.072028</v>
      </c>
    </row>
    <row r="19" customFormat="false" ht="15" hidden="false" customHeight="false" outlineLevel="0" collapsed="false">
      <c r="A19" s="5" t="s">
        <v>55</v>
      </c>
      <c r="B19" s="15" t="n">
        <v>1.996065</v>
      </c>
      <c r="C19" s="5" t="s">
        <v>37</v>
      </c>
      <c r="D19" s="16" t="n">
        <v>42.7804</v>
      </c>
      <c r="E19" s="15" t="n">
        <f aca="false">B19-4</f>
        <v>-2.003935</v>
      </c>
      <c r="F19" s="17" t="n">
        <f aca="false">IF(B19&gt;=4,1,0)</f>
        <v>0</v>
      </c>
      <c r="G19" s="17" t="n">
        <f aca="false">IF(ABS(E19)&lt;=1.5,1,0)</f>
        <v>0</v>
      </c>
      <c r="H19" s="15" t="n">
        <f aca="false">IF(ABS(E19)&lt;=1.5,1-ABS(E19)/1.5,0)</f>
        <v>0</v>
      </c>
      <c r="I19" s="15" t="n">
        <f aca="false">ABS(E19)</f>
        <v>2.003935</v>
      </c>
    </row>
    <row r="20" customFormat="false" ht="15" hidden="false" customHeight="false" outlineLevel="0" collapsed="false">
      <c r="A20" s="5" t="s">
        <v>56</v>
      </c>
      <c r="B20" s="15" t="n">
        <v>3.159829</v>
      </c>
      <c r="C20" s="5" t="s">
        <v>37</v>
      </c>
      <c r="D20" s="16" t="n">
        <v>49.2096</v>
      </c>
      <c r="E20" s="15" t="n">
        <f aca="false">B20-4</f>
        <v>-0.840171</v>
      </c>
      <c r="F20" s="17" t="n">
        <f aca="false">IF(B20&gt;=4,1,0)</f>
        <v>0</v>
      </c>
      <c r="G20" s="17" t="n">
        <f aca="false">IF(ABS(E20)&lt;=1.5,1,0)</f>
        <v>1</v>
      </c>
      <c r="H20" s="15" t="n">
        <f aca="false">IF(ABS(E20)&lt;=1.5,1-ABS(E20)/1.5,0)</f>
        <v>0.439886</v>
      </c>
      <c r="I20" s="15" t="n">
        <f aca="false">ABS(E20)</f>
        <v>0.840171</v>
      </c>
    </row>
    <row r="21" customFormat="false" ht="15" hidden="false" customHeight="false" outlineLevel="0" collapsed="false">
      <c r="A21" s="5" t="s">
        <v>57</v>
      </c>
      <c r="B21" s="15" t="n">
        <v>2.849358</v>
      </c>
      <c r="C21" s="5" t="s">
        <v>37</v>
      </c>
      <c r="D21" s="16" t="n">
        <v>61.7221</v>
      </c>
      <c r="E21" s="15" t="n">
        <f aca="false">B21-4</f>
        <v>-1.150642</v>
      </c>
      <c r="F21" s="17" t="n">
        <f aca="false">IF(B21&gt;=4,1,0)</f>
        <v>0</v>
      </c>
      <c r="G21" s="17" t="n">
        <f aca="false">IF(ABS(E21)&lt;=1.5,1,0)</f>
        <v>1</v>
      </c>
      <c r="H21" s="15" t="n">
        <f aca="false">IF(ABS(E21)&lt;=1.5,1-ABS(E21)/1.5,0)</f>
        <v>0.232905333333333</v>
      </c>
      <c r="I21" s="15" t="n">
        <f aca="false">ABS(E21)</f>
        <v>1.150642</v>
      </c>
    </row>
    <row r="22" customFormat="false" ht="15" hidden="false" customHeight="false" outlineLevel="0" collapsed="false">
      <c r="A22" s="5" t="s">
        <v>58</v>
      </c>
      <c r="B22" s="15" t="n">
        <v>9.157204</v>
      </c>
      <c r="C22" s="5" t="s">
        <v>39</v>
      </c>
      <c r="D22" s="16" t="n">
        <v>48.701</v>
      </c>
      <c r="E22" s="15" t="n">
        <f aca="false">B22-4</f>
        <v>5.157204</v>
      </c>
      <c r="F22" s="17" t="n">
        <f aca="false">IF(B22&gt;=4,1,0)</f>
        <v>1</v>
      </c>
      <c r="G22" s="17" t="n">
        <f aca="false">IF(ABS(E22)&lt;=1.5,1,0)</f>
        <v>0</v>
      </c>
      <c r="H22" s="15" t="n">
        <f aca="false">IF(ABS(E22)&lt;=1.5,1-ABS(E22)/1.5,0)</f>
        <v>0</v>
      </c>
      <c r="I22" s="15" t="n">
        <f aca="false">ABS(E22)</f>
        <v>5.157204</v>
      </c>
    </row>
    <row r="23" customFormat="false" ht="15" hidden="false" customHeight="false" outlineLevel="0" collapsed="false">
      <c r="A23" s="5" t="s">
        <v>59</v>
      </c>
      <c r="B23" s="15" t="n">
        <v>7.907845</v>
      </c>
      <c r="C23" s="5" t="s">
        <v>39</v>
      </c>
      <c r="D23" s="16" t="n">
        <v>31.8338</v>
      </c>
      <c r="E23" s="15" t="n">
        <f aca="false">B23-4</f>
        <v>3.907845</v>
      </c>
      <c r="F23" s="17" t="n">
        <f aca="false">IF(B23&gt;=4,1,0)</f>
        <v>1</v>
      </c>
      <c r="G23" s="17" t="n">
        <f aca="false">IF(ABS(E23)&lt;=1.5,1,0)</f>
        <v>0</v>
      </c>
      <c r="H23" s="15" t="n">
        <f aca="false">IF(ABS(E23)&lt;=1.5,1-ABS(E23)/1.5,0)</f>
        <v>0</v>
      </c>
      <c r="I23" s="15" t="n">
        <f aca="false">ABS(E23)</f>
        <v>3.907845</v>
      </c>
    </row>
    <row r="24" customFormat="false" ht="15" hidden="false" customHeight="false" outlineLevel="0" collapsed="false">
      <c r="A24" s="5" t="s">
        <v>60</v>
      </c>
      <c r="B24" s="15" t="n">
        <v>0.97124</v>
      </c>
      <c r="C24" s="5" t="s">
        <v>37</v>
      </c>
      <c r="D24" s="16" t="n">
        <v>51.6352</v>
      </c>
      <c r="E24" s="15" t="n">
        <f aca="false">B24-4</f>
        <v>-3.02876</v>
      </c>
      <c r="F24" s="17" t="n">
        <f aca="false">IF(B24&gt;=4,1,0)</f>
        <v>0</v>
      </c>
      <c r="G24" s="17" t="n">
        <f aca="false">IF(ABS(E24)&lt;=1.5,1,0)</f>
        <v>0</v>
      </c>
      <c r="H24" s="15" t="n">
        <f aca="false">IF(ABS(E24)&lt;=1.5,1-ABS(E24)/1.5,0)</f>
        <v>0</v>
      </c>
      <c r="I24" s="15" t="n">
        <f aca="false">ABS(E24)</f>
        <v>3.02876</v>
      </c>
    </row>
    <row r="25" customFormat="false" ht="15" hidden="false" customHeight="false" outlineLevel="0" collapsed="false">
      <c r="A25" s="5" t="s">
        <v>61</v>
      </c>
      <c r="B25" s="15" t="n">
        <v>1.9405</v>
      </c>
      <c r="C25" s="5" t="s">
        <v>37</v>
      </c>
      <c r="D25" s="16" t="n">
        <v>38.9465</v>
      </c>
      <c r="E25" s="15" t="n">
        <f aca="false">B25-4</f>
        <v>-2.0595</v>
      </c>
      <c r="F25" s="17" t="n">
        <f aca="false">IF(B25&gt;=4,1,0)</f>
        <v>0</v>
      </c>
      <c r="G25" s="17" t="n">
        <f aca="false">IF(ABS(E25)&lt;=1.5,1,0)</f>
        <v>0</v>
      </c>
      <c r="H25" s="15" t="n">
        <f aca="false">IF(ABS(E25)&lt;=1.5,1-ABS(E25)/1.5,0)</f>
        <v>0</v>
      </c>
      <c r="I25" s="15" t="n">
        <f aca="false">ABS(E25)</f>
        <v>2.0595</v>
      </c>
    </row>
    <row r="26" customFormat="false" ht="15" hidden="false" customHeight="false" outlineLevel="0" collapsed="false">
      <c r="A26" s="5" t="s">
        <v>62</v>
      </c>
      <c r="B26" s="15" t="n">
        <v>1.562445</v>
      </c>
      <c r="C26" s="5" t="s">
        <v>37</v>
      </c>
      <c r="D26" s="16" t="n">
        <v>66.7806</v>
      </c>
      <c r="E26" s="15" t="n">
        <f aca="false">B26-4</f>
        <v>-2.437555</v>
      </c>
      <c r="F26" s="17" t="n">
        <f aca="false">IF(B26&gt;=4,1,0)</f>
        <v>0</v>
      </c>
      <c r="G26" s="17" t="n">
        <f aca="false">IF(ABS(E26)&lt;=1.5,1,0)</f>
        <v>0</v>
      </c>
      <c r="H26" s="15" t="n">
        <f aca="false">IF(ABS(E26)&lt;=1.5,1-ABS(E26)/1.5,0)</f>
        <v>0</v>
      </c>
      <c r="I26" s="15" t="n">
        <f aca="false">ABS(E26)</f>
        <v>2.437555</v>
      </c>
    </row>
    <row r="27" customFormat="false" ht="15" hidden="false" customHeight="false" outlineLevel="0" collapsed="false">
      <c r="A27" s="5" t="s">
        <v>63</v>
      </c>
      <c r="B27" s="15" t="n">
        <v>3.666094</v>
      </c>
      <c r="C27" s="5" t="s">
        <v>37</v>
      </c>
      <c r="D27" s="16" t="n">
        <v>37.6361</v>
      </c>
      <c r="E27" s="15" t="n">
        <f aca="false">B27-4</f>
        <v>-0.333906</v>
      </c>
      <c r="F27" s="17" t="n">
        <f aca="false">IF(B27&gt;=4,1,0)</f>
        <v>0</v>
      </c>
      <c r="G27" s="17" t="n">
        <f aca="false">IF(ABS(E27)&lt;=1.5,1,0)</f>
        <v>1</v>
      </c>
      <c r="H27" s="15" t="n">
        <f aca="false">IF(ABS(E27)&lt;=1.5,1-ABS(E27)/1.5,0)</f>
        <v>0.777396</v>
      </c>
      <c r="I27" s="15" t="n">
        <f aca="false">ABS(E27)</f>
        <v>0.333906</v>
      </c>
    </row>
    <row r="28" customFormat="false" ht="15" hidden="false" customHeight="false" outlineLevel="0" collapsed="false">
      <c r="A28" s="5" t="s">
        <v>64</v>
      </c>
      <c r="B28" s="15" t="n">
        <v>0.019751</v>
      </c>
      <c r="C28" s="5" t="s">
        <v>37</v>
      </c>
      <c r="D28" s="16" t="n">
        <v>52.2083</v>
      </c>
      <c r="E28" s="15" t="n">
        <f aca="false">B28-4</f>
        <v>-3.980249</v>
      </c>
      <c r="F28" s="17" t="n">
        <f aca="false">IF(B28&gt;=4,1,0)</f>
        <v>0</v>
      </c>
      <c r="G28" s="17" t="n">
        <f aca="false">IF(ABS(E28)&lt;=1.5,1,0)</f>
        <v>0</v>
      </c>
      <c r="H28" s="15" t="n">
        <f aca="false">IF(ABS(E28)&lt;=1.5,1-ABS(E28)/1.5,0)</f>
        <v>0</v>
      </c>
      <c r="I28" s="15" t="n">
        <f aca="false">ABS(E28)</f>
        <v>3.980249</v>
      </c>
    </row>
    <row r="29" customFormat="false" ht="15" hidden="false" customHeight="false" outlineLevel="0" collapsed="false">
      <c r="A29" s="5" t="s">
        <v>65</v>
      </c>
      <c r="B29" s="15" t="n">
        <v>5.529108</v>
      </c>
      <c r="C29" s="5" t="s">
        <v>39</v>
      </c>
      <c r="D29" s="16" t="n">
        <v>44.7079</v>
      </c>
      <c r="E29" s="15" t="n">
        <f aca="false">B29-4</f>
        <v>1.529108</v>
      </c>
      <c r="F29" s="17" t="n">
        <f aca="false">IF(B29&gt;=4,1,0)</f>
        <v>1</v>
      </c>
      <c r="G29" s="17" t="n">
        <f aca="false">IF(ABS(E29)&lt;=1.5,1,0)</f>
        <v>0</v>
      </c>
      <c r="H29" s="15" t="n">
        <f aca="false">IF(ABS(E29)&lt;=1.5,1-ABS(E29)/1.5,0)</f>
        <v>0</v>
      </c>
      <c r="I29" s="15" t="n">
        <f aca="false">ABS(E29)</f>
        <v>1.529108</v>
      </c>
    </row>
    <row r="30" customFormat="false" ht="15" hidden="false" customHeight="false" outlineLevel="0" collapsed="false">
      <c r="A30" s="5" t="s">
        <v>66</v>
      </c>
      <c r="B30" s="15" t="n">
        <v>0.279496</v>
      </c>
      <c r="C30" s="5" t="s">
        <v>37</v>
      </c>
      <c r="D30" s="16" t="n">
        <v>44.827</v>
      </c>
      <c r="E30" s="15" t="n">
        <f aca="false">B30-4</f>
        <v>-3.720504</v>
      </c>
      <c r="F30" s="17" t="n">
        <f aca="false">IF(B30&gt;=4,1,0)</f>
        <v>0</v>
      </c>
      <c r="G30" s="17" t="n">
        <f aca="false">IF(ABS(E30)&lt;=1.5,1,0)</f>
        <v>0</v>
      </c>
      <c r="H30" s="15" t="n">
        <f aca="false">IF(ABS(E30)&lt;=1.5,1-ABS(E30)/1.5,0)</f>
        <v>0</v>
      </c>
      <c r="I30" s="15" t="n">
        <f aca="false">ABS(E30)</f>
        <v>3.720504</v>
      </c>
    </row>
    <row r="31" customFormat="false" ht="15" hidden="false" customHeight="false" outlineLevel="0" collapsed="false">
      <c r="A31" s="5" t="s">
        <v>67</v>
      </c>
      <c r="B31" s="15" t="n">
        <v>3.088114</v>
      </c>
      <c r="C31" s="5" t="s">
        <v>37</v>
      </c>
      <c r="D31" s="16" t="n">
        <v>36.7586</v>
      </c>
      <c r="E31" s="15" t="n">
        <f aca="false">B31-4</f>
        <v>-0.911886</v>
      </c>
      <c r="F31" s="17" t="n">
        <f aca="false">IF(B31&gt;=4,1,0)</f>
        <v>0</v>
      </c>
      <c r="G31" s="17" t="n">
        <f aca="false">IF(ABS(E31)&lt;=1.5,1,0)</f>
        <v>1</v>
      </c>
      <c r="H31" s="15" t="n">
        <f aca="false">IF(ABS(E31)&lt;=1.5,1-ABS(E31)/1.5,0)</f>
        <v>0.392076</v>
      </c>
      <c r="I31" s="15" t="n">
        <f aca="false">ABS(E31)</f>
        <v>0.911886</v>
      </c>
    </row>
    <row r="32" customFormat="false" ht="15" hidden="false" customHeight="false" outlineLevel="0" collapsed="false">
      <c r="A32" s="5" t="s">
        <v>68</v>
      </c>
      <c r="B32" s="15" t="n">
        <v>1.56175</v>
      </c>
      <c r="C32" s="5" t="s">
        <v>37</v>
      </c>
      <c r="D32" s="16" t="n">
        <v>44.5951</v>
      </c>
      <c r="E32" s="15" t="n">
        <f aca="false">B32-4</f>
        <v>-2.43825</v>
      </c>
      <c r="F32" s="17" t="n">
        <f aca="false">IF(B32&gt;=4,1,0)</f>
        <v>0</v>
      </c>
      <c r="G32" s="17" t="n">
        <f aca="false">IF(ABS(E32)&lt;=1.5,1,0)</f>
        <v>0</v>
      </c>
      <c r="H32" s="15" t="n">
        <f aca="false">IF(ABS(E32)&lt;=1.5,1-ABS(E32)/1.5,0)</f>
        <v>0</v>
      </c>
      <c r="I32" s="15" t="n">
        <f aca="false">ABS(E32)</f>
        <v>2.43825</v>
      </c>
    </row>
    <row r="33" customFormat="false" ht="15" hidden="false" customHeight="false" outlineLevel="0" collapsed="false">
      <c r="A33" s="5" t="s">
        <v>69</v>
      </c>
      <c r="B33" s="15" t="n">
        <v>0.121835</v>
      </c>
      <c r="C33" s="5" t="s">
        <v>37</v>
      </c>
      <c r="D33" s="16" t="n">
        <v>41.0264</v>
      </c>
      <c r="E33" s="15" t="n">
        <f aca="false">B33-4</f>
        <v>-3.878165</v>
      </c>
      <c r="F33" s="17" t="n">
        <f aca="false">IF(B33&gt;=4,1,0)</f>
        <v>0</v>
      </c>
      <c r="G33" s="17" t="n">
        <f aca="false">IF(ABS(E33)&lt;=1.5,1,0)</f>
        <v>0</v>
      </c>
      <c r="H33" s="15" t="n">
        <f aca="false">IF(ABS(E33)&lt;=1.5,1-ABS(E33)/1.5,0)</f>
        <v>0</v>
      </c>
      <c r="I33" s="15" t="n">
        <f aca="false">ABS(E33)</f>
        <v>3.878165</v>
      </c>
    </row>
    <row r="34" customFormat="false" ht="15" hidden="false" customHeight="false" outlineLevel="0" collapsed="false">
      <c r="A34" s="5" t="s">
        <v>70</v>
      </c>
      <c r="B34" s="15" t="n">
        <v>0.80394</v>
      </c>
      <c r="C34" s="5" t="s">
        <v>37</v>
      </c>
      <c r="D34" s="16" t="n">
        <v>39.8349</v>
      </c>
      <c r="E34" s="15" t="n">
        <f aca="false">B34-4</f>
        <v>-3.19606</v>
      </c>
      <c r="F34" s="17" t="n">
        <f aca="false">IF(B34&gt;=4,1,0)</f>
        <v>0</v>
      </c>
      <c r="G34" s="17" t="n">
        <f aca="false">IF(ABS(E34)&lt;=1.5,1,0)</f>
        <v>0</v>
      </c>
      <c r="H34" s="15" t="n">
        <f aca="false">IF(ABS(E34)&lt;=1.5,1-ABS(E34)/1.5,0)</f>
        <v>0</v>
      </c>
      <c r="I34" s="15" t="n">
        <f aca="false">ABS(E34)</f>
        <v>3.19606</v>
      </c>
    </row>
    <row r="35" customFormat="false" ht="15" hidden="false" customHeight="false" outlineLevel="0" collapsed="false">
      <c r="A35" s="5" t="s">
        <v>71</v>
      </c>
      <c r="B35" s="15" t="n">
        <v>2.382645</v>
      </c>
      <c r="C35" s="5" t="s">
        <v>37</v>
      </c>
      <c r="D35" s="16" t="n">
        <v>36.5038</v>
      </c>
      <c r="E35" s="15" t="n">
        <f aca="false">B35-4</f>
        <v>-1.617355</v>
      </c>
      <c r="F35" s="17" t="n">
        <f aca="false">IF(B35&gt;=4,1,0)</f>
        <v>0</v>
      </c>
      <c r="G35" s="17" t="n">
        <f aca="false">IF(ABS(E35)&lt;=1.5,1,0)</f>
        <v>0</v>
      </c>
      <c r="H35" s="15" t="n">
        <f aca="false">IF(ABS(E35)&lt;=1.5,1-ABS(E35)/1.5,0)</f>
        <v>0</v>
      </c>
      <c r="I35" s="15" t="n">
        <f aca="false">ABS(E35)</f>
        <v>1.617355</v>
      </c>
    </row>
    <row r="36" customFormat="false" ht="15" hidden="false" customHeight="false" outlineLevel="0" collapsed="false">
      <c r="A36" s="5" t="s">
        <v>72</v>
      </c>
      <c r="B36" s="15" t="n">
        <v>1.260447</v>
      </c>
      <c r="C36" s="5" t="s">
        <v>37</v>
      </c>
      <c r="D36" s="16" t="n">
        <v>55.0578</v>
      </c>
      <c r="E36" s="15" t="n">
        <f aca="false">B36-4</f>
        <v>-2.739553</v>
      </c>
      <c r="F36" s="17" t="n">
        <f aca="false">IF(B36&gt;=4,1,0)</f>
        <v>0</v>
      </c>
      <c r="G36" s="17" t="n">
        <f aca="false">IF(ABS(E36)&lt;=1.5,1,0)</f>
        <v>0</v>
      </c>
      <c r="H36" s="15" t="n">
        <f aca="false">IF(ABS(E36)&lt;=1.5,1-ABS(E36)/1.5,0)</f>
        <v>0</v>
      </c>
      <c r="I36" s="15" t="n">
        <f aca="false">ABS(E36)</f>
        <v>2.739553</v>
      </c>
    </row>
    <row r="37" customFormat="false" ht="15" hidden="false" customHeight="false" outlineLevel="0" collapsed="false">
      <c r="A37" s="5" t="s">
        <v>73</v>
      </c>
      <c r="B37" s="15" t="n">
        <v>2.747556</v>
      </c>
      <c r="C37" s="5" t="s">
        <v>37</v>
      </c>
      <c r="D37" s="16" t="n">
        <v>44.6198</v>
      </c>
      <c r="E37" s="15" t="n">
        <f aca="false">B37-4</f>
        <v>-1.252444</v>
      </c>
      <c r="F37" s="17" t="n">
        <f aca="false">IF(B37&gt;=4,1,0)</f>
        <v>0</v>
      </c>
      <c r="G37" s="17" t="n">
        <f aca="false">IF(ABS(E37)&lt;=1.5,1,0)</f>
        <v>1</v>
      </c>
      <c r="H37" s="15" t="n">
        <f aca="false">IF(ABS(E37)&lt;=1.5,1-ABS(E37)/1.5,0)</f>
        <v>0.165037333333333</v>
      </c>
      <c r="I37" s="15" t="n">
        <f aca="false">ABS(E37)</f>
        <v>1.252444</v>
      </c>
    </row>
    <row r="38" customFormat="false" ht="15" hidden="false" customHeight="false" outlineLevel="0" collapsed="false">
      <c r="A38" s="5" t="s">
        <v>74</v>
      </c>
      <c r="B38" s="15" t="n">
        <v>0.535257</v>
      </c>
      <c r="C38" s="5" t="s">
        <v>37</v>
      </c>
      <c r="D38" s="16" t="n">
        <v>46.134</v>
      </c>
      <c r="E38" s="15" t="n">
        <f aca="false">B38-4</f>
        <v>-3.464743</v>
      </c>
      <c r="F38" s="17" t="n">
        <f aca="false">IF(B38&gt;=4,1,0)</f>
        <v>0</v>
      </c>
      <c r="G38" s="17" t="n">
        <f aca="false">IF(ABS(E38)&lt;=1.5,1,0)</f>
        <v>0</v>
      </c>
      <c r="H38" s="15" t="n">
        <f aca="false">IF(ABS(E38)&lt;=1.5,1-ABS(E38)/1.5,0)</f>
        <v>0</v>
      </c>
      <c r="I38" s="15" t="n">
        <f aca="false">ABS(E38)</f>
        <v>3.464743</v>
      </c>
    </row>
    <row r="39" customFormat="false" ht="15" hidden="false" customHeight="false" outlineLevel="0" collapsed="false">
      <c r="A39" s="5" t="s">
        <v>75</v>
      </c>
      <c r="B39" s="15" t="n">
        <v>3.67819</v>
      </c>
      <c r="C39" s="5" t="s">
        <v>37</v>
      </c>
      <c r="D39" s="16" t="n">
        <v>49.7124</v>
      </c>
      <c r="E39" s="15" t="n">
        <f aca="false">B39-4</f>
        <v>-0.32181</v>
      </c>
      <c r="F39" s="17" t="n">
        <f aca="false">IF(B39&gt;=4,1,0)</f>
        <v>0</v>
      </c>
      <c r="G39" s="17" t="n">
        <f aca="false">IF(ABS(E39)&lt;=1.5,1,0)</f>
        <v>1</v>
      </c>
      <c r="H39" s="15" t="n">
        <f aca="false">IF(ABS(E39)&lt;=1.5,1-ABS(E39)/1.5,0)</f>
        <v>0.78546</v>
      </c>
      <c r="I39" s="15" t="n">
        <f aca="false">ABS(E39)</f>
        <v>0.32181</v>
      </c>
    </row>
    <row r="40" customFormat="false" ht="15" hidden="false" customHeight="false" outlineLevel="0" collapsed="false">
      <c r="A40" s="5" t="s">
        <v>76</v>
      </c>
      <c r="B40" s="15" t="n">
        <v>1.063912</v>
      </c>
      <c r="C40" s="5" t="s">
        <v>37</v>
      </c>
      <c r="D40" s="16" t="n">
        <v>58.8787</v>
      </c>
      <c r="E40" s="15" t="n">
        <f aca="false">B40-4</f>
        <v>-2.936088</v>
      </c>
      <c r="F40" s="17" t="n">
        <f aca="false">IF(B40&gt;=4,1,0)</f>
        <v>0</v>
      </c>
      <c r="G40" s="17" t="n">
        <f aca="false">IF(ABS(E40)&lt;=1.5,1,0)</f>
        <v>0</v>
      </c>
      <c r="H40" s="15" t="n">
        <f aca="false">IF(ABS(E40)&lt;=1.5,1-ABS(E40)/1.5,0)</f>
        <v>0</v>
      </c>
      <c r="I40" s="15" t="n">
        <f aca="false">ABS(E40)</f>
        <v>2.936088</v>
      </c>
    </row>
    <row r="41" customFormat="false" ht="15" hidden="false" customHeight="false" outlineLevel="0" collapsed="false">
      <c r="A41" s="5" t="s">
        <v>77</v>
      </c>
      <c r="B41" s="15" t="n">
        <v>0.445157</v>
      </c>
      <c r="C41" s="5" t="s">
        <v>37</v>
      </c>
      <c r="D41" s="16" t="n">
        <v>59.9973</v>
      </c>
      <c r="E41" s="15" t="n">
        <f aca="false">B41-4</f>
        <v>-3.554843</v>
      </c>
      <c r="F41" s="17" t="n">
        <f aca="false">IF(B41&gt;=4,1,0)</f>
        <v>0</v>
      </c>
      <c r="G41" s="17" t="n">
        <f aca="false">IF(ABS(E41)&lt;=1.5,1,0)</f>
        <v>0</v>
      </c>
      <c r="H41" s="15" t="n">
        <f aca="false">IF(ABS(E41)&lt;=1.5,1-ABS(E41)/1.5,0)</f>
        <v>0</v>
      </c>
      <c r="I41" s="15" t="n">
        <f aca="false">ABS(E41)</f>
        <v>3.554843</v>
      </c>
    </row>
    <row r="42" customFormat="false" ht="15" hidden="false" customHeight="false" outlineLevel="0" collapsed="false">
      <c r="A42" s="5" t="s">
        <v>78</v>
      </c>
      <c r="B42" s="15" t="n">
        <v>1.31169</v>
      </c>
      <c r="C42" s="5" t="s">
        <v>37</v>
      </c>
      <c r="D42" s="16" t="n">
        <v>45.5917</v>
      </c>
      <c r="E42" s="15" t="n">
        <f aca="false">B42-4</f>
        <v>-2.68831</v>
      </c>
      <c r="F42" s="17" t="n">
        <f aca="false">IF(B42&gt;=4,1,0)</f>
        <v>0</v>
      </c>
      <c r="G42" s="17" t="n">
        <f aca="false">IF(ABS(E42)&lt;=1.5,1,0)</f>
        <v>0</v>
      </c>
      <c r="H42" s="15" t="n">
        <f aca="false">IF(ABS(E42)&lt;=1.5,1-ABS(E42)/1.5,0)</f>
        <v>0</v>
      </c>
      <c r="I42" s="15" t="n">
        <f aca="false">ABS(E42)</f>
        <v>2.68831</v>
      </c>
    </row>
    <row r="43" customFormat="false" ht="15" hidden="false" customHeight="false" outlineLevel="0" collapsed="false">
      <c r="A43" s="5" t="s">
        <v>79</v>
      </c>
      <c r="B43" s="15" t="n">
        <v>3.233306</v>
      </c>
      <c r="C43" s="5" t="s">
        <v>37</v>
      </c>
      <c r="D43" s="16" t="n">
        <v>40.6512</v>
      </c>
      <c r="E43" s="15" t="n">
        <f aca="false">B43-4</f>
        <v>-0.766694</v>
      </c>
      <c r="F43" s="17" t="n">
        <f aca="false">IF(B43&gt;=4,1,0)</f>
        <v>0</v>
      </c>
      <c r="G43" s="17" t="n">
        <f aca="false">IF(ABS(E43)&lt;=1.5,1,0)</f>
        <v>1</v>
      </c>
      <c r="H43" s="15" t="n">
        <f aca="false">IF(ABS(E43)&lt;=1.5,1-ABS(E43)/1.5,0)</f>
        <v>0.488870666666667</v>
      </c>
      <c r="I43" s="15" t="n">
        <f aca="false">ABS(E43)</f>
        <v>0.766694</v>
      </c>
    </row>
    <row r="44" customFormat="false" ht="15" hidden="false" customHeight="false" outlineLevel="0" collapsed="false">
      <c r="A44" s="5" t="s">
        <v>80</v>
      </c>
      <c r="B44" s="15" t="n">
        <v>0.409921</v>
      </c>
      <c r="C44" s="5" t="s">
        <v>37</v>
      </c>
      <c r="D44" s="16" t="n">
        <v>44.0351</v>
      </c>
      <c r="E44" s="15" t="n">
        <f aca="false">B44-4</f>
        <v>-3.590079</v>
      </c>
      <c r="F44" s="17" t="n">
        <f aca="false">IF(B44&gt;=4,1,0)</f>
        <v>0</v>
      </c>
      <c r="G44" s="17" t="n">
        <f aca="false">IF(ABS(E44)&lt;=1.5,1,0)</f>
        <v>0</v>
      </c>
      <c r="H44" s="15" t="n">
        <f aca="false">IF(ABS(E44)&lt;=1.5,1-ABS(E44)/1.5,0)</f>
        <v>0</v>
      </c>
      <c r="I44" s="15" t="n">
        <f aca="false">ABS(E44)</f>
        <v>3.590079</v>
      </c>
    </row>
    <row r="45" customFormat="false" ht="15" hidden="false" customHeight="false" outlineLevel="0" collapsed="false">
      <c r="A45" s="5" t="s">
        <v>81</v>
      </c>
      <c r="B45" s="15" t="n">
        <v>0.230351</v>
      </c>
      <c r="C45" s="5" t="s">
        <v>37</v>
      </c>
      <c r="D45" s="16" t="n">
        <v>54.6399</v>
      </c>
      <c r="E45" s="15" t="n">
        <f aca="false">B45-4</f>
        <v>-3.769649</v>
      </c>
      <c r="F45" s="17" t="n">
        <f aca="false">IF(B45&gt;=4,1,0)</f>
        <v>0</v>
      </c>
      <c r="G45" s="17" t="n">
        <f aca="false">IF(ABS(E45)&lt;=1.5,1,0)</f>
        <v>0</v>
      </c>
      <c r="H45" s="15" t="n">
        <f aca="false">IF(ABS(E45)&lt;=1.5,1-ABS(E45)/1.5,0)</f>
        <v>0</v>
      </c>
      <c r="I45" s="15" t="n">
        <f aca="false">ABS(E45)</f>
        <v>3.769649</v>
      </c>
    </row>
    <row r="46" customFormat="false" ht="15" hidden="false" customHeight="false" outlineLevel="0" collapsed="false">
      <c r="A46" s="5" t="s">
        <v>82</v>
      </c>
      <c r="B46" s="15" t="n">
        <v>3.830066</v>
      </c>
      <c r="C46" s="5" t="s">
        <v>37</v>
      </c>
      <c r="D46" s="16" t="n">
        <v>69.065</v>
      </c>
      <c r="E46" s="15" t="n">
        <f aca="false">B46-4</f>
        <v>-0.169934</v>
      </c>
      <c r="F46" s="17" t="n">
        <f aca="false">IF(B46&gt;=4,1,0)</f>
        <v>0</v>
      </c>
      <c r="G46" s="17" t="n">
        <f aca="false">IF(ABS(E46)&lt;=1.5,1,0)</f>
        <v>1</v>
      </c>
      <c r="H46" s="15" t="n">
        <f aca="false">IF(ABS(E46)&lt;=1.5,1-ABS(E46)/1.5,0)</f>
        <v>0.886710666666667</v>
      </c>
      <c r="I46" s="15" t="n">
        <f aca="false">ABS(E46)</f>
        <v>0.169934</v>
      </c>
    </row>
    <row r="47" customFormat="false" ht="15" hidden="false" customHeight="false" outlineLevel="0" collapsed="false">
      <c r="A47" s="5" t="s">
        <v>83</v>
      </c>
      <c r="B47" s="15" t="n">
        <v>0.996659</v>
      </c>
      <c r="C47" s="5" t="s">
        <v>37</v>
      </c>
      <c r="D47" s="16" t="n">
        <v>47.178</v>
      </c>
      <c r="E47" s="15" t="n">
        <f aca="false">B47-4</f>
        <v>-3.003341</v>
      </c>
      <c r="F47" s="17" t="n">
        <f aca="false">IF(B47&gt;=4,1,0)</f>
        <v>0</v>
      </c>
      <c r="G47" s="17" t="n">
        <f aca="false">IF(ABS(E47)&lt;=1.5,1,0)</f>
        <v>0</v>
      </c>
      <c r="H47" s="15" t="n">
        <f aca="false">IF(ABS(E47)&lt;=1.5,1-ABS(E47)/1.5,0)</f>
        <v>0</v>
      </c>
      <c r="I47" s="15" t="n">
        <f aca="false">ABS(E47)</f>
        <v>3.003341</v>
      </c>
    </row>
    <row r="48" customFormat="false" ht="15" hidden="false" customHeight="false" outlineLevel="0" collapsed="false">
      <c r="A48" s="5" t="s">
        <v>84</v>
      </c>
      <c r="B48" s="15" t="n">
        <v>0.133561</v>
      </c>
      <c r="C48" s="5" t="s">
        <v>37</v>
      </c>
      <c r="D48" s="16" t="n">
        <v>33.7791</v>
      </c>
      <c r="E48" s="15" t="n">
        <f aca="false">B48-4</f>
        <v>-3.866439</v>
      </c>
      <c r="F48" s="17" t="n">
        <f aca="false">IF(B48&gt;=4,1,0)</f>
        <v>0</v>
      </c>
      <c r="G48" s="17" t="n">
        <f aca="false">IF(ABS(E48)&lt;=1.5,1,0)</f>
        <v>0</v>
      </c>
      <c r="H48" s="15" t="n">
        <f aca="false">IF(ABS(E48)&lt;=1.5,1-ABS(E48)/1.5,0)</f>
        <v>0</v>
      </c>
      <c r="I48" s="15" t="n">
        <f aca="false">ABS(E48)</f>
        <v>3.866439</v>
      </c>
    </row>
    <row r="49" customFormat="false" ht="15" hidden="false" customHeight="false" outlineLevel="0" collapsed="false">
      <c r="A49" s="5" t="s">
        <v>85</v>
      </c>
      <c r="B49" s="15" t="n">
        <v>2.472433</v>
      </c>
      <c r="C49" s="5" t="s">
        <v>37</v>
      </c>
      <c r="D49" s="16" t="n">
        <v>47.7754</v>
      </c>
      <c r="E49" s="15" t="n">
        <f aca="false">B49-4</f>
        <v>-1.527567</v>
      </c>
      <c r="F49" s="17" t="n">
        <f aca="false">IF(B49&gt;=4,1,0)</f>
        <v>0</v>
      </c>
      <c r="G49" s="17" t="n">
        <f aca="false">IF(ABS(E49)&lt;=1.5,1,0)</f>
        <v>0</v>
      </c>
      <c r="H49" s="15" t="n">
        <f aca="false">IF(ABS(E49)&lt;=1.5,1-ABS(E49)/1.5,0)</f>
        <v>0</v>
      </c>
      <c r="I49" s="15" t="n">
        <f aca="false">ABS(E49)</f>
        <v>1.527567</v>
      </c>
    </row>
    <row r="50" customFormat="false" ht="15" hidden="false" customHeight="false" outlineLevel="0" collapsed="false">
      <c r="A50" s="5" t="s">
        <v>86</v>
      </c>
      <c r="B50" s="15" t="n">
        <v>2.907973</v>
      </c>
      <c r="C50" s="5" t="s">
        <v>37</v>
      </c>
      <c r="D50" s="16" t="n">
        <v>50.1369</v>
      </c>
      <c r="E50" s="15" t="n">
        <f aca="false">B50-4</f>
        <v>-1.092027</v>
      </c>
      <c r="F50" s="17" t="n">
        <f aca="false">IF(B50&gt;=4,1,0)</f>
        <v>0</v>
      </c>
      <c r="G50" s="17" t="n">
        <f aca="false">IF(ABS(E50)&lt;=1.5,1,0)</f>
        <v>1</v>
      </c>
      <c r="H50" s="15" t="n">
        <f aca="false">IF(ABS(E50)&lt;=1.5,1-ABS(E50)/1.5,0)</f>
        <v>0.271982</v>
      </c>
      <c r="I50" s="15" t="n">
        <f aca="false">ABS(E50)</f>
        <v>1.092027</v>
      </c>
    </row>
    <row r="51" customFormat="false" ht="15" hidden="false" customHeight="false" outlineLevel="0" collapsed="false">
      <c r="A51" s="5" t="s">
        <v>87</v>
      </c>
      <c r="B51" s="15" t="n">
        <v>2.717763</v>
      </c>
      <c r="C51" s="5" t="s">
        <v>37</v>
      </c>
      <c r="D51" s="16" t="n">
        <v>53.2049</v>
      </c>
      <c r="E51" s="15" t="n">
        <f aca="false">B51-4</f>
        <v>-1.282237</v>
      </c>
      <c r="F51" s="17" t="n">
        <f aca="false">IF(B51&gt;=4,1,0)</f>
        <v>0</v>
      </c>
      <c r="G51" s="17" t="n">
        <f aca="false">IF(ABS(E51)&lt;=1.5,1,0)</f>
        <v>1</v>
      </c>
      <c r="H51" s="15" t="n">
        <f aca="false">IF(ABS(E51)&lt;=1.5,1-ABS(E51)/1.5,0)</f>
        <v>0.145175333333333</v>
      </c>
      <c r="I51" s="15" t="n">
        <f aca="false">ABS(E51)</f>
        <v>1.282237</v>
      </c>
    </row>
    <row r="52" customFormat="false" ht="15" hidden="false" customHeight="false" outlineLevel="0" collapsed="false">
      <c r="A52" s="5" t="s">
        <v>88</v>
      </c>
      <c r="B52" s="15" t="n">
        <v>0.426578</v>
      </c>
      <c r="C52" s="5" t="s">
        <v>37</v>
      </c>
      <c r="D52" s="16" t="n">
        <v>35.9606</v>
      </c>
      <c r="E52" s="15" t="n">
        <f aca="false">B52-4</f>
        <v>-3.573422</v>
      </c>
      <c r="F52" s="17" t="n">
        <f aca="false">IF(B52&gt;=4,1,0)</f>
        <v>0</v>
      </c>
      <c r="G52" s="17" t="n">
        <f aca="false">IF(ABS(E52)&lt;=1.5,1,0)</f>
        <v>0</v>
      </c>
      <c r="H52" s="15" t="n">
        <f aca="false">IF(ABS(E52)&lt;=1.5,1-ABS(E52)/1.5,0)</f>
        <v>0</v>
      </c>
      <c r="I52" s="15" t="n">
        <f aca="false">ABS(E52)</f>
        <v>3.573422</v>
      </c>
    </row>
    <row r="53" customFormat="false" ht="15" hidden="false" customHeight="false" outlineLevel="0" collapsed="false">
      <c r="A53" s="5" t="s">
        <v>89</v>
      </c>
      <c r="B53" s="15" t="n">
        <v>0.293921</v>
      </c>
      <c r="C53" s="5" t="s">
        <v>37</v>
      </c>
      <c r="D53" s="16" t="n">
        <v>37.9532</v>
      </c>
      <c r="E53" s="15" t="n">
        <f aca="false">B53-4</f>
        <v>-3.706079</v>
      </c>
      <c r="F53" s="17" t="n">
        <f aca="false">IF(B53&gt;=4,1,0)</f>
        <v>0</v>
      </c>
      <c r="G53" s="17" t="n">
        <f aca="false">IF(ABS(E53)&lt;=1.5,1,0)</f>
        <v>0</v>
      </c>
      <c r="H53" s="15" t="n">
        <f aca="false">IF(ABS(E53)&lt;=1.5,1-ABS(E53)/1.5,0)</f>
        <v>0</v>
      </c>
      <c r="I53" s="15" t="n">
        <f aca="false">ABS(E53)</f>
        <v>3.706079</v>
      </c>
    </row>
    <row r="54" customFormat="false" ht="15" hidden="false" customHeight="false" outlineLevel="0" collapsed="false">
      <c r="A54" s="5" t="s">
        <v>90</v>
      </c>
      <c r="B54" s="15" t="n">
        <v>3.894759</v>
      </c>
      <c r="C54" s="5" t="s">
        <v>37</v>
      </c>
      <c r="D54" s="16" t="n">
        <v>45.3996</v>
      </c>
      <c r="E54" s="15" t="n">
        <f aca="false">B54-4</f>
        <v>-0.105241</v>
      </c>
      <c r="F54" s="17" t="n">
        <f aca="false">IF(B54&gt;=4,1,0)</f>
        <v>0</v>
      </c>
      <c r="G54" s="17" t="n">
        <f aca="false">IF(ABS(E54)&lt;=1.5,1,0)</f>
        <v>1</v>
      </c>
      <c r="H54" s="15" t="n">
        <f aca="false">IF(ABS(E54)&lt;=1.5,1-ABS(E54)/1.5,0)</f>
        <v>0.929839333333333</v>
      </c>
      <c r="I54" s="15" t="n">
        <f aca="false">ABS(E54)</f>
        <v>0.105241</v>
      </c>
    </row>
    <row r="55" customFormat="false" ht="15" hidden="false" customHeight="false" outlineLevel="0" collapsed="false">
      <c r="A55" s="5" t="s">
        <v>91</v>
      </c>
      <c r="B55" s="15" t="n">
        <v>0.71039</v>
      </c>
      <c r="C55" s="5" t="s">
        <v>37</v>
      </c>
      <c r="D55" s="16" t="n">
        <v>62.5706</v>
      </c>
      <c r="E55" s="15" t="n">
        <f aca="false">B55-4</f>
        <v>-3.28961</v>
      </c>
      <c r="F55" s="17" t="n">
        <f aca="false">IF(B55&gt;=4,1,0)</f>
        <v>0</v>
      </c>
      <c r="G55" s="17" t="n">
        <f aca="false">IF(ABS(E55)&lt;=1.5,1,0)</f>
        <v>0</v>
      </c>
      <c r="H55" s="15" t="n">
        <f aca="false">IF(ABS(E55)&lt;=1.5,1-ABS(E55)/1.5,0)</f>
        <v>0</v>
      </c>
      <c r="I55" s="15" t="n">
        <f aca="false">ABS(E55)</f>
        <v>3.28961</v>
      </c>
    </row>
    <row r="56" customFormat="false" ht="15" hidden="false" customHeight="false" outlineLevel="0" collapsed="false">
      <c r="A56" s="5" t="s">
        <v>92</v>
      </c>
      <c r="B56" s="15" t="n">
        <v>3.359868</v>
      </c>
      <c r="C56" s="5" t="s">
        <v>37</v>
      </c>
      <c r="D56" s="16" t="n">
        <v>31.612</v>
      </c>
      <c r="E56" s="15" t="n">
        <f aca="false">B56-4</f>
        <v>-0.640132</v>
      </c>
      <c r="F56" s="17" t="n">
        <f aca="false">IF(B56&gt;=4,1,0)</f>
        <v>0</v>
      </c>
      <c r="G56" s="17" t="n">
        <f aca="false">IF(ABS(E56)&lt;=1.5,1,0)</f>
        <v>1</v>
      </c>
      <c r="H56" s="15" t="n">
        <f aca="false">IF(ABS(E56)&lt;=1.5,1-ABS(E56)/1.5,0)</f>
        <v>0.573245333333333</v>
      </c>
      <c r="I56" s="15" t="n">
        <f aca="false">ABS(E56)</f>
        <v>0.640132</v>
      </c>
    </row>
    <row r="57" customFormat="false" ht="15" hidden="false" customHeight="false" outlineLevel="0" collapsed="false">
      <c r="A57" s="5" t="s">
        <v>93</v>
      </c>
      <c r="B57" s="15" t="n">
        <v>2.946304</v>
      </c>
      <c r="C57" s="5" t="s">
        <v>37</v>
      </c>
      <c r="D57" s="16" t="n">
        <v>53.8851</v>
      </c>
      <c r="E57" s="15" t="n">
        <f aca="false">B57-4</f>
        <v>-1.053696</v>
      </c>
      <c r="F57" s="17" t="n">
        <f aca="false">IF(B57&gt;=4,1,0)</f>
        <v>0</v>
      </c>
      <c r="G57" s="17" t="n">
        <f aca="false">IF(ABS(E57)&lt;=1.5,1,0)</f>
        <v>1</v>
      </c>
      <c r="H57" s="15" t="n">
        <f aca="false">IF(ABS(E57)&lt;=1.5,1-ABS(E57)/1.5,0)</f>
        <v>0.297536</v>
      </c>
      <c r="I57" s="15" t="n">
        <f aca="false">ABS(E57)</f>
        <v>1.053696</v>
      </c>
    </row>
    <row r="58" customFormat="false" ht="15" hidden="false" customHeight="false" outlineLevel="0" collapsed="false">
      <c r="A58" s="5" t="s">
        <v>94</v>
      </c>
      <c r="B58" s="15" t="n">
        <v>2.45312</v>
      </c>
      <c r="C58" s="5" t="s">
        <v>37</v>
      </c>
      <c r="D58" s="16" t="n">
        <v>46.1938</v>
      </c>
      <c r="E58" s="15" t="n">
        <f aca="false">B58-4</f>
        <v>-1.54688</v>
      </c>
      <c r="F58" s="17" t="n">
        <f aca="false">IF(B58&gt;=4,1,0)</f>
        <v>0</v>
      </c>
      <c r="G58" s="17" t="n">
        <f aca="false">IF(ABS(E58)&lt;=1.5,1,0)</f>
        <v>0</v>
      </c>
      <c r="H58" s="15" t="n">
        <f aca="false">IF(ABS(E58)&lt;=1.5,1-ABS(E58)/1.5,0)</f>
        <v>0</v>
      </c>
      <c r="I58" s="15" t="n">
        <f aca="false">ABS(E58)</f>
        <v>1.54688</v>
      </c>
    </row>
    <row r="59" customFormat="false" ht="15" hidden="false" customHeight="false" outlineLevel="0" collapsed="false">
      <c r="A59" s="5" t="s">
        <v>95</v>
      </c>
      <c r="B59" s="15" t="n">
        <v>0.684215</v>
      </c>
      <c r="C59" s="5" t="s">
        <v>37</v>
      </c>
      <c r="D59" s="16" t="n">
        <v>65.1526</v>
      </c>
      <c r="E59" s="15" t="n">
        <f aca="false">B59-4</f>
        <v>-3.315785</v>
      </c>
      <c r="F59" s="17" t="n">
        <f aca="false">IF(B59&gt;=4,1,0)</f>
        <v>0</v>
      </c>
      <c r="G59" s="17" t="n">
        <f aca="false">IF(ABS(E59)&lt;=1.5,1,0)</f>
        <v>0</v>
      </c>
      <c r="H59" s="15" t="n">
        <f aca="false">IF(ABS(E59)&lt;=1.5,1-ABS(E59)/1.5,0)</f>
        <v>0</v>
      </c>
      <c r="I59" s="15" t="n">
        <f aca="false">ABS(E59)</f>
        <v>3.315785</v>
      </c>
    </row>
    <row r="60" customFormat="false" ht="15" hidden="false" customHeight="false" outlineLevel="0" collapsed="false">
      <c r="A60" s="5" t="s">
        <v>96</v>
      </c>
      <c r="B60" s="15" t="n">
        <v>2.515916</v>
      </c>
      <c r="C60" s="5" t="s">
        <v>37</v>
      </c>
      <c r="D60" s="16" t="n">
        <v>54.2671</v>
      </c>
      <c r="E60" s="15" t="n">
        <f aca="false">B60-4</f>
        <v>-1.484084</v>
      </c>
      <c r="F60" s="17" t="n">
        <f aca="false">IF(B60&gt;=4,1,0)</f>
        <v>0</v>
      </c>
      <c r="G60" s="17" t="n">
        <f aca="false">IF(ABS(E60)&lt;=1.5,1,0)</f>
        <v>1</v>
      </c>
      <c r="H60" s="15" t="n">
        <f aca="false">IF(ABS(E60)&lt;=1.5,1-ABS(E60)/1.5,0)</f>
        <v>0.0106106666666665</v>
      </c>
      <c r="I60" s="15" t="n">
        <f aca="false">ABS(E60)</f>
        <v>1.484084</v>
      </c>
    </row>
    <row r="61" customFormat="false" ht="15" hidden="false" customHeight="false" outlineLevel="0" collapsed="false">
      <c r="A61" s="5" t="s">
        <v>97</v>
      </c>
      <c r="B61" s="15" t="n">
        <v>4.370092</v>
      </c>
      <c r="C61" s="5" t="s">
        <v>39</v>
      </c>
      <c r="D61" s="16" t="n">
        <v>31.9334</v>
      </c>
      <c r="E61" s="15" t="n">
        <f aca="false">B61-4</f>
        <v>0.370092</v>
      </c>
      <c r="F61" s="17" t="n">
        <f aca="false">IF(B61&gt;=4,1,0)</f>
        <v>1</v>
      </c>
      <c r="G61" s="17" t="n">
        <f aca="false">IF(ABS(E61)&lt;=1.5,1,0)</f>
        <v>1</v>
      </c>
      <c r="H61" s="15" t="n">
        <f aca="false">IF(ABS(E61)&lt;=1.5,1-ABS(E61)/1.5,0)</f>
        <v>0.753272</v>
      </c>
      <c r="I61" s="15" t="n">
        <f aca="false">ABS(E61)</f>
        <v>0.370092</v>
      </c>
    </row>
    <row r="62" customFormat="false" ht="15" hidden="false" customHeight="false" outlineLevel="0" collapsed="false">
      <c r="A62" s="5" t="s">
        <v>98</v>
      </c>
      <c r="B62" s="15" t="n">
        <v>2.995842</v>
      </c>
      <c r="C62" s="5" t="s">
        <v>37</v>
      </c>
      <c r="D62" s="16" t="n">
        <v>59.835</v>
      </c>
      <c r="E62" s="15" t="n">
        <f aca="false">B62-4</f>
        <v>-1.004158</v>
      </c>
      <c r="F62" s="17" t="n">
        <f aca="false">IF(B62&gt;=4,1,0)</f>
        <v>0</v>
      </c>
      <c r="G62" s="17" t="n">
        <f aca="false">IF(ABS(E62)&lt;=1.5,1,0)</f>
        <v>1</v>
      </c>
      <c r="H62" s="15" t="n">
        <f aca="false">IF(ABS(E62)&lt;=1.5,1-ABS(E62)/1.5,0)</f>
        <v>0.330561333333333</v>
      </c>
      <c r="I62" s="15" t="n">
        <f aca="false">ABS(E62)</f>
        <v>1.004158</v>
      </c>
    </row>
    <row r="63" customFormat="false" ht="15" hidden="false" customHeight="false" outlineLevel="0" collapsed="false">
      <c r="A63" s="5" t="s">
        <v>99</v>
      </c>
      <c r="B63" s="15" t="n">
        <v>1.083191</v>
      </c>
      <c r="C63" s="5" t="s">
        <v>37</v>
      </c>
      <c r="D63" s="16" t="n">
        <v>55.2204</v>
      </c>
      <c r="E63" s="15" t="n">
        <f aca="false">B63-4</f>
        <v>-2.916809</v>
      </c>
      <c r="F63" s="17" t="n">
        <f aca="false">IF(B63&gt;=4,1,0)</f>
        <v>0</v>
      </c>
      <c r="G63" s="17" t="n">
        <f aca="false">IF(ABS(E63)&lt;=1.5,1,0)</f>
        <v>0</v>
      </c>
      <c r="H63" s="15" t="n">
        <f aca="false">IF(ABS(E63)&lt;=1.5,1-ABS(E63)/1.5,0)</f>
        <v>0</v>
      </c>
      <c r="I63" s="15" t="n">
        <f aca="false">ABS(E63)</f>
        <v>2.916809</v>
      </c>
    </row>
    <row r="64" customFormat="false" ht="15" hidden="false" customHeight="false" outlineLevel="0" collapsed="false">
      <c r="A64" s="5" t="s">
        <v>100</v>
      </c>
      <c r="B64" s="15" t="n">
        <v>0.942933</v>
      </c>
      <c r="C64" s="5" t="s">
        <v>37</v>
      </c>
      <c r="D64" s="16" t="n">
        <v>45.3476</v>
      </c>
      <c r="E64" s="15" t="n">
        <f aca="false">B64-4</f>
        <v>-3.057067</v>
      </c>
      <c r="F64" s="17" t="n">
        <f aca="false">IF(B64&gt;=4,1,0)</f>
        <v>0</v>
      </c>
      <c r="G64" s="17" t="n">
        <f aca="false">IF(ABS(E64)&lt;=1.5,1,0)</f>
        <v>0</v>
      </c>
      <c r="H64" s="15" t="n">
        <f aca="false">IF(ABS(E64)&lt;=1.5,1-ABS(E64)/1.5,0)</f>
        <v>0</v>
      </c>
      <c r="I64" s="15" t="n">
        <f aca="false">ABS(E64)</f>
        <v>3.057067</v>
      </c>
    </row>
    <row r="65" customFormat="false" ht="15" hidden="false" customHeight="false" outlineLevel="0" collapsed="false">
      <c r="A65" s="5" t="s">
        <v>101</v>
      </c>
      <c r="B65" s="15" t="n">
        <v>1.394495</v>
      </c>
      <c r="C65" s="5" t="s">
        <v>37</v>
      </c>
      <c r="D65" s="16" t="n">
        <v>33.7608</v>
      </c>
      <c r="E65" s="15" t="n">
        <f aca="false">B65-4</f>
        <v>-2.605505</v>
      </c>
      <c r="F65" s="17" t="n">
        <f aca="false">IF(B65&gt;=4,1,0)</f>
        <v>0</v>
      </c>
      <c r="G65" s="17" t="n">
        <f aca="false">IF(ABS(E65)&lt;=1.5,1,0)</f>
        <v>0</v>
      </c>
      <c r="H65" s="15" t="n">
        <f aca="false">IF(ABS(E65)&lt;=1.5,1-ABS(E65)/1.5,0)</f>
        <v>0</v>
      </c>
      <c r="I65" s="15" t="n">
        <f aca="false">ABS(E65)</f>
        <v>2.605505</v>
      </c>
    </row>
    <row r="66" customFormat="false" ht="15" hidden="false" customHeight="false" outlineLevel="0" collapsed="false">
      <c r="A66" s="5" t="s">
        <v>102</v>
      </c>
      <c r="B66" s="15" t="n">
        <v>1.787693</v>
      </c>
      <c r="C66" s="5" t="s">
        <v>37</v>
      </c>
      <c r="D66" s="16" t="n">
        <v>54.1686</v>
      </c>
      <c r="E66" s="15" t="n">
        <f aca="false">B66-4</f>
        <v>-2.212307</v>
      </c>
      <c r="F66" s="17" t="n">
        <f aca="false">IF(B66&gt;=4,1,0)</f>
        <v>0</v>
      </c>
      <c r="G66" s="17" t="n">
        <f aca="false">IF(ABS(E66)&lt;=1.5,1,0)</f>
        <v>0</v>
      </c>
      <c r="H66" s="15" t="n">
        <f aca="false">IF(ABS(E66)&lt;=1.5,1-ABS(E66)/1.5,0)</f>
        <v>0</v>
      </c>
      <c r="I66" s="15" t="n">
        <f aca="false">ABS(E66)</f>
        <v>2.212307</v>
      </c>
    </row>
    <row r="67" customFormat="false" ht="15" hidden="false" customHeight="false" outlineLevel="0" collapsed="false">
      <c r="A67" s="5" t="s">
        <v>103</v>
      </c>
      <c r="B67" s="15" t="n">
        <v>2.565186</v>
      </c>
      <c r="C67" s="5" t="s">
        <v>37</v>
      </c>
      <c r="D67" s="16" t="n">
        <v>36.7659</v>
      </c>
      <c r="E67" s="15" t="n">
        <f aca="false">B67-4</f>
        <v>-1.434814</v>
      </c>
      <c r="F67" s="17" t="n">
        <f aca="false">IF(B67&gt;=4,1,0)</f>
        <v>0</v>
      </c>
      <c r="G67" s="17" t="n">
        <f aca="false">IF(ABS(E67)&lt;=1.5,1,0)</f>
        <v>1</v>
      </c>
      <c r="H67" s="15" t="n">
        <f aca="false">IF(ABS(E67)&lt;=1.5,1-ABS(E67)/1.5,0)</f>
        <v>0.0434573333333335</v>
      </c>
      <c r="I67" s="15" t="n">
        <f aca="false">ABS(E67)</f>
        <v>1.434814</v>
      </c>
    </row>
    <row r="68" customFormat="false" ht="15" hidden="false" customHeight="false" outlineLevel="0" collapsed="false">
      <c r="A68" s="5" t="s">
        <v>104</v>
      </c>
      <c r="B68" s="15" t="n">
        <v>1.55063</v>
      </c>
      <c r="C68" s="5" t="s">
        <v>37</v>
      </c>
      <c r="D68" s="16" t="n">
        <v>34.2842</v>
      </c>
      <c r="E68" s="15" t="n">
        <f aca="false">B68-4</f>
        <v>-2.44937</v>
      </c>
      <c r="F68" s="17" t="n">
        <f aca="false">IF(B68&gt;=4,1,0)</f>
        <v>0</v>
      </c>
      <c r="G68" s="17" t="n">
        <f aca="false">IF(ABS(E68)&lt;=1.5,1,0)</f>
        <v>0</v>
      </c>
      <c r="H68" s="15" t="n">
        <f aca="false">IF(ABS(E68)&lt;=1.5,1-ABS(E68)/1.5,0)</f>
        <v>0</v>
      </c>
      <c r="I68" s="15" t="n">
        <f aca="false">ABS(E68)</f>
        <v>2.44937</v>
      </c>
    </row>
    <row r="69" customFormat="false" ht="15" hidden="false" customHeight="false" outlineLevel="0" collapsed="false">
      <c r="A69" s="5" t="s">
        <v>105</v>
      </c>
      <c r="B69" s="15" t="n">
        <v>1.704327</v>
      </c>
      <c r="C69" s="5" t="s">
        <v>37</v>
      </c>
      <c r="D69" s="16" t="n">
        <v>72.6742</v>
      </c>
      <c r="E69" s="15" t="n">
        <f aca="false">B69-4</f>
        <v>-2.295673</v>
      </c>
      <c r="F69" s="17" t="n">
        <f aca="false">IF(B69&gt;=4,1,0)</f>
        <v>0</v>
      </c>
      <c r="G69" s="17" t="n">
        <f aca="false">IF(ABS(E69)&lt;=1.5,1,0)</f>
        <v>0</v>
      </c>
      <c r="H69" s="15" t="n">
        <f aca="false">IF(ABS(E69)&lt;=1.5,1-ABS(E69)/1.5,0)</f>
        <v>0</v>
      </c>
      <c r="I69" s="15" t="n">
        <f aca="false">ABS(E69)</f>
        <v>2.295673</v>
      </c>
    </row>
    <row r="70" customFormat="false" ht="15" hidden="false" customHeight="false" outlineLevel="0" collapsed="false">
      <c r="A70" s="5" t="s">
        <v>106</v>
      </c>
      <c r="B70" s="15" t="n">
        <v>0.905361</v>
      </c>
      <c r="C70" s="5" t="s">
        <v>37</v>
      </c>
      <c r="D70" s="16" t="n">
        <v>30.6182</v>
      </c>
      <c r="E70" s="15" t="n">
        <f aca="false">B70-4</f>
        <v>-3.094639</v>
      </c>
      <c r="F70" s="17" t="n">
        <f aca="false">IF(B70&gt;=4,1,0)</f>
        <v>0</v>
      </c>
      <c r="G70" s="17" t="n">
        <f aca="false">IF(ABS(E70)&lt;=1.5,1,0)</f>
        <v>0</v>
      </c>
      <c r="H70" s="15" t="n">
        <f aca="false">IF(ABS(E70)&lt;=1.5,1-ABS(E70)/1.5,0)</f>
        <v>0</v>
      </c>
      <c r="I70" s="15" t="n">
        <f aca="false">ABS(E70)</f>
        <v>3.094639</v>
      </c>
    </row>
    <row r="71" customFormat="false" ht="15" hidden="false" customHeight="false" outlineLevel="0" collapsed="false">
      <c r="A71" s="5" t="s">
        <v>107</v>
      </c>
      <c r="B71" s="15" t="n">
        <v>0.309443</v>
      </c>
      <c r="C71" s="5" t="s">
        <v>37</v>
      </c>
      <c r="D71" s="16" t="n">
        <v>49.5808</v>
      </c>
      <c r="E71" s="15" t="n">
        <f aca="false">B71-4</f>
        <v>-3.690557</v>
      </c>
      <c r="F71" s="17" t="n">
        <f aca="false">IF(B71&gt;=4,1,0)</f>
        <v>0</v>
      </c>
      <c r="G71" s="17" t="n">
        <f aca="false">IF(ABS(E71)&lt;=1.5,1,0)</f>
        <v>0</v>
      </c>
      <c r="H71" s="15" t="n">
        <f aca="false">IF(ABS(E71)&lt;=1.5,1-ABS(E71)/1.5,0)</f>
        <v>0</v>
      </c>
      <c r="I71" s="15" t="n">
        <f aca="false">ABS(E71)</f>
        <v>3.690557</v>
      </c>
    </row>
    <row r="72" customFormat="false" ht="15" hidden="false" customHeight="false" outlineLevel="0" collapsed="false">
      <c r="A72" s="5" t="s">
        <v>108</v>
      </c>
      <c r="B72" s="15" t="n">
        <v>3.122395</v>
      </c>
      <c r="C72" s="5" t="s">
        <v>37</v>
      </c>
      <c r="D72" s="16" t="n">
        <v>47.2883</v>
      </c>
      <c r="E72" s="15" t="n">
        <f aca="false">B72-4</f>
        <v>-0.877605</v>
      </c>
      <c r="F72" s="17" t="n">
        <f aca="false">IF(B72&gt;=4,1,0)</f>
        <v>0</v>
      </c>
      <c r="G72" s="17" t="n">
        <f aca="false">IF(ABS(E72)&lt;=1.5,1,0)</f>
        <v>1</v>
      </c>
      <c r="H72" s="15" t="n">
        <f aca="false">IF(ABS(E72)&lt;=1.5,1-ABS(E72)/1.5,0)</f>
        <v>0.41493</v>
      </c>
      <c r="I72" s="15" t="n">
        <f aca="false">ABS(E72)</f>
        <v>0.877605</v>
      </c>
    </row>
    <row r="73" customFormat="false" ht="15" hidden="false" customHeight="false" outlineLevel="0" collapsed="false">
      <c r="A73" s="5" t="s">
        <v>109</v>
      </c>
      <c r="B73" s="15" t="n">
        <v>1.469886</v>
      </c>
      <c r="C73" s="5" t="s">
        <v>37</v>
      </c>
      <c r="D73" s="16" t="n">
        <v>53.2772</v>
      </c>
      <c r="E73" s="15" t="n">
        <f aca="false">B73-4</f>
        <v>-2.530114</v>
      </c>
      <c r="F73" s="17" t="n">
        <f aca="false">IF(B73&gt;=4,1,0)</f>
        <v>0</v>
      </c>
      <c r="G73" s="17" t="n">
        <f aca="false">IF(ABS(E73)&lt;=1.5,1,0)</f>
        <v>0</v>
      </c>
      <c r="H73" s="15" t="n">
        <f aca="false">IF(ABS(E73)&lt;=1.5,1-ABS(E73)/1.5,0)</f>
        <v>0</v>
      </c>
      <c r="I73" s="15" t="n">
        <f aca="false">ABS(E73)</f>
        <v>2.530114</v>
      </c>
    </row>
    <row r="74" customFormat="false" ht="15" hidden="false" customHeight="false" outlineLevel="0" collapsed="false">
      <c r="A74" s="5" t="s">
        <v>110</v>
      </c>
      <c r="B74" s="15" t="n">
        <v>6.587838</v>
      </c>
      <c r="C74" s="5" t="s">
        <v>39</v>
      </c>
      <c r="D74" s="16" t="n">
        <v>49.4069</v>
      </c>
      <c r="E74" s="15" t="n">
        <f aca="false">B74-4</f>
        <v>2.587838</v>
      </c>
      <c r="F74" s="17" t="n">
        <f aca="false">IF(B74&gt;=4,1,0)</f>
        <v>1</v>
      </c>
      <c r="G74" s="17" t="n">
        <f aca="false">IF(ABS(E74)&lt;=1.5,1,0)</f>
        <v>0</v>
      </c>
      <c r="H74" s="15" t="n">
        <f aca="false">IF(ABS(E74)&lt;=1.5,1-ABS(E74)/1.5,0)</f>
        <v>0</v>
      </c>
      <c r="I74" s="15" t="n">
        <f aca="false">ABS(E74)</f>
        <v>2.587838</v>
      </c>
    </row>
    <row r="75" customFormat="false" ht="15" hidden="false" customHeight="false" outlineLevel="0" collapsed="false">
      <c r="A75" s="5" t="s">
        <v>111</v>
      </c>
      <c r="B75" s="15" t="n">
        <v>0.201783</v>
      </c>
      <c r="C75" s="5" t="s">
        <v>37</v>
      </c>
      <c r="D75" s="16" t="n">
        <v>53.4638</v>
      </c>
      <c r="E75" s="15" t="n">
        <f aca="false">B75-4</f>
        <v>-3.798217</v>
      </c>
      <c r="F75" s="17" t="n">
        <f aca="false">IF(B75&gt;=4,1,0)</f>
        <v>0</v>
      </c>
      <c r="G75" s="17" t="n">
        <f aca="false">IF(ABS(E75)&lt;=1.5,1,0)</f>
        <v>0</v>
      </c>
      <c r="H75" s="15" t="n">
        <f aca="false">IF(ABS(E75)&lt;=1.5,1-ABS(E75)/1.5,0)</f>
        <v>0</v>
      </c>
      <c r="I75" s="15" t="n">
        <f aca="false">ABS(E75)</f>
        <v>3.798217</v>
      </c>
    </row>
    <row r="76" customFormat="false" ht="15" hidden="false" customHeight="false" outlineLevel="0" collapsed="false">
      <c r="A76" s="5" t="s">
        <v>112</v>
      </c>
      <c r="B76" s="15" t="n">
        <v>1.855203</v>
      </c>
      <c r="C76" s="5" t="s">
        <v>37</v>
      </c>
      <c r="D76" s="16" t="n">
        <v>49.8223</v>
      </c>
      <c r="E76" s="15" t="n">
        <f aca="false">B76-4</f>
        <v>-2.144797</v>
      </c>
      <c r="F76" s="17" t="n">
        <f aca="false">IF(B76&gt;=4,1,0)</f>
        <v>0</v>
      </c>
      <c r="G76" s="17" t="n">
        <f aca="false">IF(ABS(E76)&lt;=1.5,1,0)</f>
        <v>0</v>
      </c>
      <c r="H76" s="15" t="n">
        <f aca="false">IF(ABS(E76)&lt;=1.5,1-ABS(E76)/1.5,0)</f>
        <v>0</v>
      </c>
      <c r="I76" s="15" t="n">
        <f aca="false">ABS(E76)</f>
        <v>2.144797</v>
      </c>
    </row>
    <row r="77" customFormat="false" ht="15" hidden="false" customHeight="false" outlineLevel="0" collapsed="false">
      <c r="A77" s="5" t="s">
        <v>113</v>
      </c>
      <c r="B77" s="15" t="n">
        <v>0.031103</v>
      </c>
      <c r="C77" s="5" t="s">
        <v>37</v>
      </c>
      <c r="D77" s="16" t="n">
        <v>49.7794</v>
      </c>
      <c r="E77" s="15" t="n">
        <f aca="false">B77-4</f>
        <v>-3.968897</v>
      </c>
      <c r="F77" s="17" t="n">
        <f aca="false">IF(B77&gt;=4,1,0)</f>
        <v>0</v>
      </c>
      <c r="G77" s="17" t="n">
        <f aca="false">IF(ABS(E77)&lt;=1.5,1,0)</f>
        <v>0</v>
      </c>
      <c r="H77" s="15" t="n">
        <f aca="false">IF(ABS(E77)&lt;=1.5,1-ABS(E77)/1.5,0)</f>
        <v>0</v>
      </c>
      <c r="I77" s="15" t="n">
        <f aca="false">ABS(E77)</f>
        <v>3.968897</v>
      </c>
    </row>
    <row r="78" customFormat="false" ht="15" hidden="false" customHeight="false" outlineLevel="0" collapsed="false">
      <c r="A78" s="5" t="s">
        <v>114</v>
      </c>
      <c r="B78" s="15" t="n">
        <v>6.220753</v>
      </c>
      <c r="C78" s="5" t="s">
        <v>39</v>
      </c>
      <c r="D78" s="16" t="n">
        <v>42.0255</v>
      </c>
      <c r="E78" s="15" t="n">
        <f aca="false">B78-4</f>
        <v>2.220753</v>
      </c>
      <c r="F78" s="17" t="n">
        <f aca="false">IF(B78&gt;=4,1,0)</f>
        <v>1</v>
      </c>
      <c r="G78" s="17" t="n">
        <f aca="false">IF(ABS(E78)&lt;=1.5,1,0)</f>
        <v>0</v>
      </c>
      <c r="H78" s="15" t="n">
        <f aca="false">IF(ABS(E78)&lt;=1.5,1-ABS(E78)/1.5,0)</f>
        <v>0</v>
      </c>
      <c r="I78" s="15" t="n">
        <f aca="false">ABS(E78)</f>
        <v>2.220753</v>
      </c>
    </row>
    <row r="79" customFormat="false" ht="15" hidden="false" customHeight="false" outlineLevel="0" collapsed="false">
      <c r="A79" s="5" t="s">
        <v>115</v>
      </c>
      <c r="B79" s="15" t="n">
        <v>0.872191</v>
      </c>
      <c r="C79" s="5" t="s">
        <v>37</v>
      </c>
      <c r="D79" s="16" t="n">
        <v>48.8055</v>
      </c>
      <c r="E79" s="15" t="n">
        <f aca="false">B79-4</f>
        <v>-3.127809</v>
      </c>
      <c r="F79" s="17" t="n">
        <f aca="false">IF(B79&gt;=4,1,0)</f>
        <v>0</v>
      </c>
      <c r="G79" s="17" t="n">
        <f aca="false">IF(ABS(E79)&lt;=1.5,1,0)</f>
        <v>0</v>
      </c>
      <c r="H79" s="15" t="n">
        <f aca="false">IF(ABS(E79)&lt;=1.5,1-ABS(E79)/1.5,0)</f>
        <v>0</v>
      </c>
      <c r="I79" s="15" t="n">
        <f aca="false">ABS(E79)</f>
        <v>3.127809</v>
      </c>
    </row>
    <row r="80" customFormat="false" ht="15" hidden="false" customHeight="false" outlineLevel="0" collapsed="false">
      <c r="A80" s="5" t="s">
        <v>116</v>
      </c>
      <c r="B80" s="15" t="n">
        <v>1.235027</v>
      </c>
      <c r="C80" s="5" t="s">
        <v>37</v>
      </c>
      <c r="D80" s="16" t="n">
        <v>35.5408</v>
      </c>
      <c r="E80" s="15" t="n">
        <f aca="false">B80-4</f>
        <v>-2.764973</v>
      </c>
      <c r="F80" s="17" t="n">
        <f aca="false">IF(B80&gt;=4,1,0)</f>
        <v>0</v>
      </c>
      <c r="G80" s="17" t="n">
        <f aca="false">IF(ABS(E80)&lt;=1.5,1,0)</f>
        <v>0</v>
      </c>
      <c r="H80" s="15" t="n">
        <f aca="false">IF(ABS(E80)&lt;=1.5,1-ABS(E80)/1.5,0)</f>
        <v>0</v>
      </c>
      <c r="I80" s="15" t="n">
        <f aca="false">ABS(E80)</f>
        <v>2.764973</v>
      </c>
    </row>
    <row r="81" customFormat="false" ht="15" hidden="false" customHeight="false" outlineLevel="0" collapsed="false">
      <c r="A81" s="5" t="s">
        <v>117</v>
      </c>
      <c r="B81" s="15" t="n">
        <v>0.014787</v>
      </c>
      <c r="C81" s="5" t="s">
        <v>37</v>
      </c>
      <c r="D81" s="16" t="n">
        <v>60.3939</v>
      </c>
      <c r="E81" s="15" t="n">
        <f aca="false">B81-4</f>
        <v>-3.985213</v>
      </c>
      <c r="F81" s="17" t="n">
        <f aca="false">IF(B81&gt;=4,1,0)</f>
        <v>0</v>
      </c>
      <c r="G81" s="17" t="n">
        <f aca="false">IF(ABS(E81)&lt;=1.5,1,0)</f>
        <v>0</v>
      </c>
      <c r="H81" s="15" t="n">
        <f aca="false">IF(ABS(E81)&lt;=1.5,1-ABS(E81)/1.5,0)</f>
        <v>0</v>
      </c>
      <c r="I81" s="15" t="n">
        <f aca="false">ABS(E81)</f>
        <v>3.985213</v>
      </c>
    </row>
    <row r="82" customFormat="false" ht="15" hidden="false" customHeight="false" outlineLevel="0" collapsed="false">
      <c r="A82" s="5" t="s">
        <v>118</v>
      </c>
      <c r="B82" s="15" t="n">
        <v>2.958784</v>
      </c>
      <c r="C82" s="5" t="s">
        <v>37</v>
      </c>
      <c r="D82" s="16" t="n">
        <v>49.2643</v>
      </c>
      <c r="E82" s="15" t="n">
        <f aca="false">B82-4</f>
        <v>-1.041216</v>
      </c>
      <c r="F82" s="17" t="n">
        <f aca="false">IF(B82&gt;=4,1,0)</f>
        <v>0</v>
      </c>
      <c r="G82" s="17" t="n">
        <f aca="false">IF(ABS(E82)&lt;=1.5,1,0)</f>
        <v>1</v>
      </c>
      <c r="H82" s="15" t="n">
        <f aca="false">IF(ABS(E82)&lt;=1.5,1-ABS(E82)/1.5,0)</f>
        <v>0.305856</v>
      </c>
      <c r="I82" s="15" t="n">
        <f aca="false">ABS(E82)</f>
        <v>1.041216</v>
      </c>
    </row>
    <row r="83" customFormat="false" ht="15" hidden="false" customHeight="false" outlineLevel="0" collapsed="false">
      <c r="A83" s="5" t="s">
        <v>119</v>
      </c>
      <c r="B83" s="15" t="n">
        <v>2.184054</v>
      </c>
      <c r="C83" s="5" t="s">
        <v>37</v>
      </c>
      <c r="D83" s="16" t="n">
        <v>24.3585</v>
      </c>
      <c r="E83" s="15" t="n">
        <f aca="false">B83-4</f>
        <v>-1.815946</v>
      </c>
      <c r="F83" s="17" t="n">
        <f aca="false">IF(B83&gt;=4,1,0)</f>
        <v>0</v>
      </c>
      <c r="G83" s="17" t="n">
        <f aca="false">IF(ABS(E83)&lt;=1.5,1,0)</f>
        <v>0</v>
      </c>
      <c r="H83" s="15" t="n">
        <f aca="false">IF(ABS(E83)&lt;=1.5,1-ABS(E83)/1.5,0)</f>
        <v>0</v>
      </c>
      <c r="I83" s="15" t="n">
        <f aca="false">ABS(E83)</f>
        <v>1.815946</v>
      </c>
    </row>
    <row r="84" customFormat="false" ht="15" hidden="false" customHeight="false" outlineLevel="0" collapsed="false">
      <c r="A84" s="5" t="s">
        <v>120</v>
      </c>
      <c r="B84" s="15" t="n">
        <v>2.390512</v>
      </c>
      <c r="C84" s="5" t="s">
        <v>37</v>
      </c>
      <c r="D84" s="16" t="n">
        <v>58.9614</v>
      </c>
      <c r="E84" s="15" t="n">
        <f aca="false">B84-4</f>
        <v>-1.609488</v>
      </c>
      <c r="F84" s="17" t="n">
        <f aca="false">IF(B84&gt;=4,1,0)</f>
        <v>0</v>
      </c>
      <c r="G84" s="17" t="n">
        <f aca="false">IF(ABS(E84)&lt;=1.5,1,0)</f>
        <v>0</v>
      </c>
      <c r="H84" s="15" t="n">
        <f aca="false">IF(ABS(E84)&lt;=1.5,1-ABS(E84)/1.5,0)</f>
        <v>0</v>
      </c>
      <c r="I84" s="15" t="n">
        <f aca="false">ABS(E84)</f>
        <v>1.609488</v>
      </c>
    </row>
    <row r="85" customFormat="false" ht="15" hidden="false" customHeight="false" outlineLevel="0" collapsed="false">
      <c r="A85" s="5" t="s">
        <v>121</v>
      </c>
      <c r="B85" s="15" t="n">
        <v>2.720547</v>
      </c>
      <c r="C85" s="5" t="s">
        <v>37</v>
      </c>
      <c r="D85" s="16" t="n">
        <v>60.7208</v>
      </c>
      <c r="E85" s="15" t="n">
        <f aca="false">B85-4</f>
        <v>-1.279453</v>
      </c>
      <c r="F85" s="17" t="n">
        <f aca="false">IF(B85&gt;=4,1,0)</f>
        <v>0</v>
      </c>
      <c r="G85" s="17" t="n">
        <f aca="false">IF(ABS(E85)&lt;=1.5,1,0)</f>
        <v>1</v>
      </c>
      <c r="H85" s="15" t="n">
        <f aca="false">IF(ABS(E85)&lt;=1.5,1-ABS(E85)/1.5,0)</f>
        <v>0.147031333333333</v>
      </c>
      <c r="I85" s="15" t="n">
        <f aca="false">ABS(E85)</f>
        <v>1.279453</v>
      </c>
    </row>
    <row r="86" customFormat="false" ht="15" hidden="false" customHeight="false" outlineLevel="0" collapsed="false">
      <c r="A86" s="5" t="s">
        <v>122</v>
      </c>
      <c r="B86" s="15" t="n">
        <v>5.898757</v>
      </c>
      <c r="C86" s="5" t="s">
        <v>39</v>
      </c>
      <c r="D86" s="16" t="n">
        <v>37.7849</v>
      </c>
      <c r="E86" s="15" t="n">
        <f aca="false">B86-4</f>
        <v>1.898757</v>
      </c>
      <c r="F86" s="17" t="n">
        <f aca="false">IF(B86&gt;=4,1,0)</f>
        <v>1</v>
      </c>
      <c r="G86" s="17" t="n">
        <f aca="false">IF(ABS(E86)&lt;=1.5,1,0)</f>
        <v>0</v>
      </c>
      <c r="H86" s="15" t="n">
        <f aca="false">IF(ABS(E86)&lt;=1.5,1-ABS(E86)/1.5,0)</f>
        <v>0</v>
      </c>
      <c r="I86" s="15" t="n">
        <f aca="false">ABS(E86)</f>
        <v>1.898757</v>
      </c>
    </row>
    <row r="87" customFormat="false" ht="15" hidden="false" customHeight="false" outlineLevel="0" collapsed="false">
      <c r="A87" s="5" t="s">
        <v>123</v>
      </c>
      <c r="B87" s="15" t="n">
        <v>0.555997</v>
      </c>
      <c r="C87" s="5" t="s">
        <v>37</v>
      </c>
      <c r="D87" s="16" t="n">
        <v>50.1504</v>
      </c>
      <c r="E87" s="15" t="n">
        <f aca="false">B87-4</f>
        <v>-3.444003</v>
      </c>
      <c r="F87" s="17" t="n">
        <f aca="false">IF(B87&gt;=4,1,0)</f>
        <v>0</v>
      </c>
      <c r="G87" s="17" t="n">
        <f aca="false">IF(ABS(E87)&lt;=1.5,1,0)</f>
        <v>0</v>
      </c>
      <c r="H87" s="15" t="n">
        <f aca="false">IF(ABS(E87)&lt;=1.5,1-ABS(E87)/1.5,0)</f>
        <v>0</v>
      </c>
      <c r="I87" s="15" t="n">
        <f aca="false">ABS(E87)</f>
        <v>3.444003</v>
      </c>
    </row>
    <row r="88" customFormat="false" ht="15" hidden="false" customHeight="false" outlineLevel="0" collapsed="false">
      <c r="A88" s="5" t="s">
        <v>124</v>
      </c>
      <c r="B88" s="15" t="n">
        <v>2.349725</v>
      </c>
      <c r="C88" s="5" t="s">
        <v>37</v>
      </c>
      <c r="D88" s="16" t="n">
        <v>68.3848</v>
      </c>
      <c r="E88" s="15" t="n">
        <f aca="false">B88-4</f>
        <v>-1.650275</v>
      </c>
      <c r="F88" s="17" t="n">
        <f aca="false">IF(B88&gt;=4,1,0)</f>
        <v>0</v>
      </c>
      <c r="G88" s="17" t="n">
        <f aca="false">IF(ABS(E88)&lt;=1.5,1,0)</f>
        <v>0</v>
      </c>
      <c r="H88" s="15" t="n">
        <f aca="false">IF(ABS(E88)&lt;=1.5,1-ABS(E88)/1.5,0)</f>
        <v>0</v>
      </c>
      <c r="I88" s="15" t="n">
        <f aca="false">ABS(E88)</f>
        <v>1.650275</v>
      </c>
    </row>
    <row r="89" customFormat="false" ht="15" hidden="false" customHeight="false" outlineLevel="0" collapsed="false">
      <c r="A89" s="5" t="s">
        <v>125</v>
      </c>
      <c r="B89" s="15" t="n">
        <v>0.27847</v>
      </c>
      <c r="C89" s="5" t="s">
        <v>37</v>
      </c>
      <c r="D89" s="16" t="n">
        <v>56.7345</v>
      </c>
      <c r="E89" s="15" t="n">
        <f aca="false">B89-4</f>
        <v>-3.72153</v>
      </c>
      <c r="F89" s="17" t="n">
        <f aca="false">IF(B89&gt;=4,1,0)</f>
        <v>0</v>
      </c>
      <c r="G89" s="17" t="n">
        <f aca="false">IF(ABS(E89)&lt;=1.5,1,0)</f>
        <v>0</v>
      </c>
      <c r="H89" s="15" t="n">
        <f aca="false">IF(ABS(E89)&lt;=1.5,1-ABS(E89)/1.5,0)</f>
        <v>0</v>
      </c>
      <c r="I89" s="15" t="n">
        <f aca="false">ABS(E89)</f>
        <v>3.72153</v>
      </c>
    </row>
    <row r="90" customFormat="false" ht="15" hidden="false" customHeight="false" outlineLevel="0" collapsed="false">
      <c r="A90" s="5" t="s">
        <v>126</v>
      </c>
      <c r="B90" s="15" t="n">
        <v>0.070849</v>
      </c>
      <c r="C90" s="5" t="s">
        <v>37</v>
      </c>
      <c r="D90" s="16" t="n">
        <v>27.3787</v>
      </c>
      <c r="E90" s="15" t="n">
        <f aca="false">B90-4</f>
        <v>-3.929151</v>
      </c>
      <c r="F90" s="17" t="n">
        <f aca="false">IF(B90&gt;=4,1,0)</f>
        <v>0</v>
      </c>
      <c r="G90" s="17" t="n">
        <f aca="false">IF(ABS(E90)&lt;=1.5,1,0)</f>
        <v>0</v>
      </c>
      <c r="H90" s="15" t="n">
        <f aca="false">IF(ABS(E90)&lt;=1.5,1-ABS(E90)/1.5,0)</f>
        <v>0</v>
      </c>
      <c r="I90" s="15" t="n">
        <f aca="false">ABS(E90)</f>
        <v>3.929151</v>
      </c>
    </row>
    <row r="91" customFormat="false" ht="15" hidden="false" customHeight="false" outlineLevel="0" collapsed="false">
      <c r="A91" s="5" t="s">
        <v>127</v>
      </c>
      <c r="B91" s="15" t="n">
        <v>0.167337</v>
      </c>
      <c r="C91" s="5" t="s">
        <v>37</v>
      </c>
      <c r="D91" s="16" t="n">
        <v>63.6666</v>
      </c>
      <c r="E91" s="15" t="n">
        <f aca="false">B91-4</f>
        <v>-3.832663</v>
      </c>
      <c r="F91" s="17" t="n">
        <f aca="false">IF(B91&gt;=4,1,0)</f>
        <v>0</v>
      </c>
      <c r="G91" s="17" t="n">
        <f aca="false">IF(ABS(E91)&lt;=1.5,1,0)</f>
        <v>0</v>
      </c>
      <c r="H91" s="15" t="n">
        <f aca="false">IF(ABS(E91)&lt;=1.5,1-ABS(E91)/1.5,0)</f>
        <v>0</v>
      </c>
      <c r="I91" s="15" t="n">
        <f aca="false">ABS(E91)</f>
        <v>3.832663</v>
      </c>
    </row>
    <row r="92" customFormat="false" ht="15" hidden="false" customHeight="false" outlineLevel="0" collapsed="false">
      <c r="A92" s="5" t="s">
        <v>128</v>
      </c>
      <c r="B92" s="15" t="n">
        <v>4.981993</v>
      </c>
      <c r="C92" s="5" t="s">
        <v>39</v>
      </c>
      <c r="D92" s="16" t="n">
        <v>24.9962</v>
      </c>
      <c r="E92" s="15" t="n">
        <f aca="false">B92-4</f>
        <v>0.981993</v>
      </c>
      <c r="F92" s="17" t="n">
        <f aca="false">IF(B92&gt;=4,1,0)</f>
        <v>1</v>
      </c>
      <c r="G92" s="17" t="n">
        <f aca="false">IF(ABS(E92)&lt;=1.5,1,0)</f>
        <v>1</v>
      </c>
      <c r="H92" s="15" t="n">
        <f aca="false">IF(ABS(E92)&lt;=1.5,1-ABS(E92)/1.5,0)</f>
        <v>0.345338</v>
      </c>
      <c r="I92" s="15" t="n">
        <f aca="false">ABS(E92)</f>
        <v>0.981993</v>
      </c>
    </row>
    <row r="93" customFormat="false" ht="15" hidden="false" customHeight="false" outlineLevel="0" collapsed="false">
      <c r="A93" s="5" t="s">
        <v>129</v>
      </c>
      <c r="B93" s="15" t="n">
        <v>8.707875</v>
      </c>
      <c r="C93" s="5" t="s">
        <v>39</v>
      </c>
      <c r="D93" s="16" t="n">
        <v>39.2528</v>
      </c>
      <c r="E93" s="15" t="n">
        <f aca="false">B93-4</f>
        <v>4.707875</v>
      </c>
      <c r="F93" s="17" t="n">
        <f aca="false">IF(B93&gt;=4,1,0)</f>
        <v>1</v>
      </c>
      <c r="G93" s="17" t="n">
        <f aca="false">IF(ABS(E93)&lt;=1.5,1,0)</f>
        <v>0</v>
      </c>
      <c r="H93" s="15" t="n">
        <f aca="false">IF(ABS(E93)&lt;=1.5,1-ABS(E93)/1.5,0)</f>
        <v>0</v>
      </c>
      <c r="I93" s="15" t="n">
        <f aca="false">ABS(E93)</f>
        <v>4.707875</v>
      </c>
    </row>
    <row r="94" customFormat="false" ht="15" hidden="false" customHeight="false" outlineLevel="0" collapsed="false">
      <c r="A94" s="5" t="s">
        <v>130</v>
      </c>
      <c r="B94" s="15" t="n">
        <v>1.155542</v>
      </c>
      <c r="C94" s="5" t="s">
        <v>37</v>
      </c>
      <c r="D94" s="16" t="n">
        <v>44.4236</v>
      </c>
      <c r="E94" s="15" t="n">
        <f aca="false">B94-4</f>
        <v>-2.844458</v>
      </c>
      <c r="F94" s="17" t="n">
        <f aca="false">IF(B94&gt;=4,1,0)</f>
        <v>0</v>
      </c>
      <c r="G94" s="17" t="n">
        <f aca="false">IF(ABS(E94)&lt;=1.5,1,0)</f>
        <v>0</v>
      </c>
      <c r="H94" s="15" t="n">
        <f aca="false">IF(ABS(E94)&lt;=1.5,1-ABS(E94)/1.5,0)</f>
        <v>0</v>
      </c>
      <c r="I94" s="15" t="n">
        <f aca="false">ABS(E94)</f>
        <v>2.844458</v>
      </c>
    </row>
    <row r="95" customFormat="false" ht="15" hidden="false" customHeight="false" outlineLevel="0" collapsed="false">
      <c r="A95" s="5" t="s">
        <v>131</v>
      </c>
      <c r="B95" s="15" t="n">
        <v>4.909155</v>
      </c>
      <c r="C95" s="5" t="s">
        <v>39</v>
      </c>
      <c r="D95" s="16" t="n">
        <v>54.7462</v>
      </c>
      <c r="E95" s="15" t="n">
        <f aca="false">B95-4</f>
        <v>0.909155</v>
      </c>
      <c r="F95" s="17" t="n">
        <f aca="false">IF(B95&gt;=4,1,0)</f>
        <v>1</v>
      </c>
      <c r="G95" s="17" t="n">
        <f aca="false">IF(ABS(E95)&lt;=1.5,1,0)</f>
        <v>1</v>
      </c>
      <c r="H95" s="15" t="n">
        <f aca="false">IF(ABS(E95)&lt;=1.5,1-ABS(E95)/1.5,0)</f>
        <v>0.393896666666667</v>
      </c>
      <c r="I95" s="15" t="n">
        <f aca="false">ABS(E95)</f>
        <v>0.909155</v>
      </c>
    </row>
    <row r="96" customFormat="false" ht="15" hidden="false" customHeight="false" outlineLevel="0" collapsed="false">
      <c r="A96" s="5" t="s">
        <v>132</v>
      </c>
      <c r="B96" s="15" t="n">
        <v>2.698317</v>
      </c>
      <c r="C96" s="5" t="s">
        <v>37</v>
      </c>
      <c r="D96" s="16" t="n">
        <v>45.7826</v>
      </c>
      <c r="E96" s="15" t="n">
        <f aca="false">B96-4</f>
        <v>-1.301683</v>
      </c>
      <c r="F96" s="17" t="n">
        <f aca="false">IF(B96&gt;=4,1,0)</f>
        <v>0</v>
      </c>
      <c r="G96" s="17" t="n">
        <f aca="false">IF(ABS(E96)&lt;=1.5,1,0)</f>
        <v>1</v>
      </c>
      <c r="H96" s="15" t="n">
        <f aca="false">IF(ABS(E96)&lt;=1.5,1-ABS(E96)/1.5,0)</f>
        <v>0.132211333333333</v>
      </c>
      <c r="I96" s="15" t="n">
        <f aca="false">ABS(E96)</f>
        <v>1.301683</v>
      </c>
    </row>
    <row r="97" customFormat="false" ht="15" hidden="false" customHeight="false" outlineLevel="0" collapsed="false">
      <c r="A97" s="5" t="s">
        <v>133</v>
      </c>
      <c r="B97" s="15" t="n">
        <v>2.50926</v>
      </c>
      <c r="C97" s="5" t="s">
        <v>37</v>
      </c>
      <c r="D97" s="16" t="n">
        <v>46.1688</v>
      </c>
      <c r="E97" s="15" t="n">
        <f aca="false">B97-4</f>
        <v>-1.49074</v>
      </c>
      <c r="F97" s="17" t="n">
        <f aca="false">IF(B97&gt;=4,1,0)</f>
        <v>0</v>
      </c>
      <c r="G97" s="17" t="n">
        <f aca="false">IF(ABS(E97)&lt;=1.5,1,0)</f>
        <v>1</v>
      </c>
      <c r="H97" s="15" t="n">
        <f aca="false">IF(ABS(E97)&lt;=1.5,1-ABS(E97)/1.5,0)</f>
        <v>0.00617333333333325</v>
      </c>
      <c r="I97" s="15" t="n">
        <f aca="false">ABS(E97)</f>
        <v>1.49074</v>
      </c>
    </row>
    <row r="98" customFormat="false" ht="15" hidden="false" customHeight="false" outlineLevel="0" collapsed="false">
      <c r="A98" s="5" t="s">
        <v>134</v>
      </c>
      <c r="B98" s="15" t="n">
        <v>1.93398</v>
      </c>
      <c r="C98" s="5" t="s">
        <v>37</v>
      </c>
      <c r="D98" s="16" t="n">
        <v>36.1047</v>
      </c>
      <c r="E98" s="15" t="n">
        <f aca="false">B98-4</f>
        <v>-2.06602</v>
      </c>
      <c r="F98" s="17" t="n">
        <f aca="false">IF(B98&gt;=4,1,0)</f>
        <v>0</v>
      </c>
      <c r="G98" s="17" t="n">
        <f aca="false">IF(ABS(E98)&lt;=1.5,1,0)</f>
        <v>0</v>
      </c>
      <c r="H98" s="15" t="n">
        <f aca="false">IF(ABS(E98)&lt;=1.5,1-ABS(E98)/1.5,0)</f>
        <v>0</v>
      </c>
      <c r="I98" s="15" t="n">
        <f aca="false">ABS(E98)</f>
        <v>2.06602</v>
      </c>
    </row>
    <row r="99" customFormat="false" ht="15" hidden="false" customHeight="false" outlineLevel="0" collapsed="false">
      <c r="A99" s="5" t="s">
        <v>135</v>
      </c>
      <c r="B99" s="15" t="n">
        <v>2.035518</v>
      </c>
      <c r="C99" s="5" t="s">
        <v>37</v>
      </c>
      <c r="D99" s="16" t="n">
        <v>41.058</v>
      </c>
      <c r="E99" s="15" t="n">
        <f aca="false">B99-4</f>
        <v>-1.964482</v>
      </c>
      <c r="F99" s="17" t="n">
        <f aca="false">IF(B99&gt;=4,1,0)</f>
        <v>0</v>
      </c>
      <c r="G99" s="17" t="n">
        <f aca="false">IF(ABS(E99)&lt;=1.5,1,0)</f>
        <v>0</v>
      </c>
      <c r="H99" s="15" t="n">
        <f aca="false">IF(ABS(E99)&lt;=1.5,1-ABS(E99)/1.5,0)</f>
        <v>0</v>
      </c>
      <c r="I99" s="15" t="n">
        <f aca="false">ABS(E99)</f>
        <v>1.964482</v>
      </c>
    </row>
    <row r="100" customFormat="false" ht="15" hidden="false" customHeight="false" outlineLevel="0" collapsed="false">
      <c r="A100" s="5" t="s">
        <v>136</v>
      </c>
      <c r="B100" s="15" t="n">
        <v>1.796316</v>
      </c>
      <c r="C100" s="5" t="s">
        <v>37</v>
      </c>
      <c r="D100" s="16" t="n">
        <v>58.408</v>
      </c>
      <c r="E100" s="15" t="n">
        <f aca="false">B100-4</f>
        <v>-2.203684</v>
      </c>
      <c r="F100" s="17" t="n">
        <f aca="false">IF(B100&gt;=4,1,0)</f>
        <v>0</v>
      </c>
      <c r="G100" s="17" t="n">
        <f aca="false">IF(ABS(E100)&lt;=1.5,1,0)</f>
        <v>0</v>
      </c>
      <c r="H100" s="15" t="n">
        <f aca="false">IF(ABS(E100)&lt;=1.5,1-ABS(E100)/1.5,0)</f>
        <v>0</v>
      </c>
      <c r="I100" s="15" t="n">
        <f aca="false">ABS(E100)</f>
        <v>2.203684</v>
      </c>
    </row>
    <row r="101" customFormat="false" ht="15" hidden="false" customHeight="false" outlineLevel="0" collapsed="false">
      <c r="A101" s="5" t="s">
        <v>137</v>
      </c>
      <c r="B101" s="15" t="n">
        <v>2.752108</v>
      </c>
      <c r="C101" s="5" t="s">
        <v>37</v>
      </c>
      <c r="D101" s="16" t="n">
        <v>54.8977</v>
      </c>
      <c r="E101" s="15" t="n">
        <f aca="false">B101-4</f>
        <v>-1.247892</v>
      </c>
      <c r="F101" s="17" t="n">
        <f aca="false">IF(B101&gt;=4,1,0)</f>
        <v>0</v>
      </c>
      <c r="G101" s="17" t="n">
        <f aca="false">IF(ABS(E101)&lt;=1.5,1,0)</f>
        <v>1</v>
      </c>
      <c r="H101" s="15" t="n">
        <f aca="false">IF(ABS(E101)&lt;=1.5,1-ABS(E101)/1.5,0)</f>
        <v>0.168072</v>
      </c>
      <c r="I101" s="15" t="n">
        <f aca="false">ABS(E101)</f>
        <v>1.247892</v>
      </c>
    </row>
    <row r="102" customFormat="false" ht="15" hidden="false" customHeight="false" outlineLevel="0" collapsed="false">
      <c r="A102" s="5" t="s">
        <v>138</v>
      </c>
      <c r="B102" s="15" t="n">
        <v>1.378296</v>
      </c>
      <c r="C102" s="5" t="s">
        <v>37</v>
      </c>
      <c r="D102" s="16" t="n">
        <v>61.6444</v>
      </c>
      <c r="E102" s="15" t="n">
        <f aca="false">B102-4</f>
        <v>-2.621704</v>
      </c>
      <c r="F102" s="17" t="n">
        <f aca="false">IF(B102&gt;=4,1,0)</f>
        <v>0</v>
      </c>
      <c r="G102" s="17" t="n">
        <f aca="false">IF(ABS(E102)&lt;=1.5,1,0)</f>
        <v>0</v>
      </c>
      <c r="H102" s="15" t="n">
        <f aca="false">IF(ABS(E102)&lt;=1.5,1-ABS(E102)/1.5,0)</f>
        <v>0</v>
      </c>
      <c r="I102" s="15" t="n">
        <f aca="false">ABS(E102)</f>
        <v>2.621704</v>
      </c>
    </row>
    <row r="103" customFormat="false" ht="15" hidden="false" customHeight="false" outlineLevel="0" collapsed="false">
      <c r="A103" s="5" t="s">
        <v>139</v>
      </c>
      <c r="B103" s="15" t="n">
        <v>1.732274</v>
      </c>
      <c r="C103" s="5" t="s">
        <v>37</v>
      </c>
      <c r="D103" s="16" t="n">
        <v>55.7565</v>
      </c>
      <c r="E103" s="15" t="n">
        <f aca="false">B103-4</f>
        <v>-2.267726</v>
      </c>
      <c r="F103" s="17" t="n">
        <f aca="false">IF(B103&gt;=4,1,0)</f>
        <v>0</v>
      </c>
      <c r="G103" s="17" t="n">
        <f aca="false">IF(ABS(E103)&lt;=1.5,1,0)</f>
        <v>0</v>
      </c>
      <c r="H103" s="15" t="n">
        <f aca="false">IF(ABS(E103)&lt;=1.5,1-ABS(E103)/1.5,0)</f>
        <v>0</v>
      </c>
      <c r="I103" s="15" t="n">
        <f aca="false">ABS(E103)</f>
        <v>2.267726</v>
      </c>
    </row>
    <row r="104" customFormat="false" ht="15" hidden="false" customHeight="false" outlineLevel="0" collapsed="false">
      <c r="A104" s="5" t="s">
        <v>140</v>
      </c>
      <c r="B104" s="15" t="n">
        <v>1.867111</v>
      </c>
      <c r="C104" s="5" t="s">
        <v>37</v>
      </c>
      <c r="D104" s="16" t="n">
        <v>34.2425</v>
      </c>
      <c r="E104" s="15" t="n">
        <f aca="false">B104-4</f>
        <v>-2.132889</v>
      </c>
      <c r="F104" s="17" t="n">
        <f aca="false">IF(B104&gt;=4,1,0)</f>
        <v>0</v>
      </c>
      <c r="G104" s="17" t="n">
        <f aca="false">IF(ABS(E104)&lt;=1.5,1,0)</f>
        <v>0</v>
      </c>
      <c r="H104" s="15" t="n">
        <f aca="false">IF(ABS(E104)&lt;=1.5,1-ABS(E104)/1.5,0)</f>
        <v>0</v>
      </c>
      <c r="I104" s="15" t="n">
        <f aca="false">ABS(E104)</f>
        <v>2.132889</v>
      </c>
    </row>
    <row r="105" customFormat="false" ht="15" hidden="false" customHeight="false" outlineLevel="0" collapsed="false">
      <c r="A105" s="5" t="s">
        <v>141</v>
      </c>
      <c r="B105" s="15" t="n">
        <v>0.63559</v>
      </c>
      <c r="C105" s="5" t="s">
        <v>37</v>
      </c>
      <c r="D105" s="16" t="n">
        <v>63.5773</v>
      </c>
      <c r="E105" s="15" t="n">
        <f aca="false">B105-4</f>
        <v>-3.36441</v>
      </c>
      <c r="F105" s="17" t="n">
        <f aca="false">IF(B105&gt;=4,1,0)</f>
        <v>0</v>
      </c>
      <c r="G105" s="17" t="n">
        <f aca="false">IF(ABS(E105)&lt;=1.5,1,0)</f>
        <v>0</v>
      </c>
      <c r="H105" s="15" t="n">
        <f aca="false">IF(ABS(E105)&lt;=1.5,1-ABS(E105)/1.5,0)</f>
        <v>0</v>
      </c>
      <c r="I105" s="15" t="n">
        <f aca="false">ABS(E105)</f>
        <v>3.36441</v>
      </c>
    </row>
    <row r="106" customFormat="false" ht="15" hidden="false" customHeight="false" outlineLevel="0" collapsed="false">
      <c r="A106" s="5" t="s">
        <v>142</v>
      </c>
      <c r="B106" s="15" t="n">
        <v>1.309339</v>
      </c>
      <c r="C106" s="5" t="s">
        <v>37</v>
      </c>
      <c r="D106" s="16" t="n">
        <v>51.7607</v>
      </c>
      <c r="E106" s="15" t="n">
        <f aca="false">B106-4</f>
        <v>-2.690661</v>
      </c>
      <c r="F106" s="17" t="n">
        <f aca="false">IF(B106&gt;=4,1,0)</f>
        <v>0</v>
      </c>
      <c r="G106" s="17" t="n">
        <f aca="false">IF(ABS(E106)&lt;=1.5,1,0)</f>
        <v>0</v>
      </c>
      <c r="H106" s="15" t="n">
        <f aca="false">IF(ABS(E106)&lt;=1.5,1-ABS(E106)/1.5,0)</f>
        <v>0</v>
      </c>
      <c r="I106" s="15" t="n">
        <f aca="false">ABS(E106)</f>
        <v>2.690661</v>
      </c>
    </row>
    <row r="107" customFormat="false" ht="15" hidden="false" customHeight="false" outlineLevel="0" collapsed="false">
      <c r="A107" s="5" t="s">
        <v>143</v>
      </c>
      <c r="B107" s="15" t="n">
        <v>7.333716</v>
      </c>
      <c r="C107" s="5" t="s">
        <v>39</v>
      </c>
      <c r="D107" s="16" t="n">
        <v>45.6727</v>
      </c>
      <c r="E107" s="15" t="n">
        <f aca="false">B107-4</f>
        <v>3.333716</v>
      </c>
      <c r="F107" s="17" t="n">
        <f aca="false">IF(B107&gt;=4,1,0)</f>
        <v>1</v>
      </c>
      <c r="G107" s="17" t="n">
        <f aca="false">IF(ABS(E107)&lt;=1.5,1,0)</f>
        <v>0</v>
      </c>
      <c r="H107" s="15" t="n">
        <f aca="false">IF(ABS(E107)&lt;=1.5,1-ABS(E107)/1.5,0)</f>
        <v>0</v>
      </c>
      <c r="I107" s="15" t="n">
        <f aca="false">ABS(E107)</f>
        <v>3.333716</v>
      </c>
    </row>
    <row r="108" customFormat="false" ht="15" hidden="false" customHeight="false" outlineLevel="0" collapsed="false">
      <c r="A108" s="5" t="s">
        <v>144</v>
      </c>
      <c r="B108" s="15" t="n">
        <v>1.723418</v>
      </c>
      <c r="C108" s="5" t="s">
        <v>37</v>
      </c>
      <c r="D108" s="16" t="n">
        <v>56.4774</v>
      </c>
      <c r="E108" s="15" t="n">
        <f aca="false">B108-4</f>
        <v>-2.276582</v>
      </c>
      <c r="F108" s="17" t="n">
        <f aca="false">IF(B108&gt;=4,1,0)</f>
        <v>0</v>
      </c>
      <c r="G108" s="17" t="n">
        <f aca="false">IF(ABS(E108)&lt;=1.5,1,0)</f>
        <v>0</v>
      </c>
      <c r="H108" s="15" t="n">
        <f aca="false">IF(ABS(E108)&lt;=1.5,1-ABS(E108)/1.5,0)</f>
        <v>0</v>
      </c>
      <c r="I108" s="15" t="n">
        <f aca="false">ABS(E108)</f>
        <v>2.276582</v>
      </c>
    </row>
    <row r="109" customFormat="false" ht="15" hidden="false" customHeight="false" outlineLevel="0" collapsed="false">
      <c r="A109" s="5" t="s">
        <v>145</v>
      </c>
      <c r="B109" s="15" t="n">
        <v>6.749147</v>
      </c>
      <c r="C109" s="5" t="s">
        <v>39</v>
      </c>
      <c r="D109" s="16" t="n">
        <v>35.0111</v>
      </c>
      <c r="E109" s="15" t="n">
        <f aca="false">B109-4</f>
        <v>2.749147</v>
      </c>
      <c r="F109" s="17" t="n">
        <f aca="false">IF(B109&gt;=4,1,0)</f>
        <v>1</v>
      </c>
      <c r="G109" s="17" t="n">
        <f aca="false">IF(ABS(E109)&lt;=1.5,1,0)</f>
        <v>0</v>
      </c>
      <c r="H109" s="15" t="n">
        <f aca="false">IF(ABS(E109)&lt;=1.5,1-ABS(E109)/1.5,0)</f>
        <v>0</v>
      </c>
      <c r="I109" s="15" t="n">
        <f aca="false">ABS(E109)</f>
        <v>2.749147</v>
      </c>
    </row>
    <row r="110" customFormat="false" ht="15" hidden="false" customHeight="false" outlineLevel="0" collapsed="false">
      <c r="A110" s="5" t="s">
        <v>146</v>
      </c>
      <c r="B110" s="15" t="n">
        <v>0.047383</v>
      </c>
      <c r="C110" s="5" t="s">
        <v>37</v>
      </c>
      <c r="D110" s="16" t="n">
        <v>35.9233</v>
      </c>
      <c r="E110" s="15" t="n">
        <f aca="false">B110-4</f>
        <v>-3.952617</v>
      </c>
      <c r="F110" s="17" t="n">
        <f aca="false">IF(B110&gt;=4,1,0)</f>
        <v>0</v>
      </c>
      <c r="G110" s="17" t="n">
        <f aca="false">IF(ABS(E110)&lt;=1.5,1,0)</f>
        <v>0</v>
      </c>
      <c r="H110" s="15" t="n">
        <f aca="false">IF(ABS(E110)&lt;=1.5,1-ABS(E110)/1.5,0)</f>
        <v>0</v>
      </c>
      <c r="I110" s="15" t="n">
        <f aca="false">ABS(E110)</f>
        <v>3.952617</v>
      </c>
    </row>
    <row r="111" customFormat="false" ht="15" hidden="false" customHeight="false" outlineLevel="0" collapsed="false">
      <c r="A111" s="5" t="s">
        <v>147</v>
      </c>
      <c r="B111" s="15" t="n">
        <v>1.086887</v>
      </c>
      <c r="C111" s="5" t="s">
        <v>37</v>
      </c>
      <c r="D111" s="16" t="n">
        <v>39.7681</v>
      </c>
      <c r="E111" s="15" t="n">
        <f aca="false">B111-4</f>
        <v>-2.913113</v>
      </c>
      <c r="F111" s="17" t="n">
        <f aca="false">IF(B111&gt;=4,1,0)</f>
        <v>0</v>
      </c>
      <c r="G111" s="17" t="n">
        <f aca="false">IF(ABS(E111)&lt;=1.5,1,0)</f>
        <v>0</v>
      </c>
      <c r="H111" s="15" t="n">
        <f aca="false">IF(ABS(E111)&lt;=1.5,1-ABS(E111)/1.5,0)</f>
        <v>0</v>
      </c>
      <c r="I111" s="15" t="n">
        <f aca="false">ABS(E111)</f>
        <v>2.913113</v>
      </c>
    </row>
    <row r="112" customFormat="false" ht="15" hidden="false" customHeight="false" outlineLevel="0" collapsed="false">
      <c r="A112" s="5" t="s">
        <v>148</v>
      </c>
      <c r="B112" s="15" t="n">
        <v>2.270514</v>
      </c>
      <c r="C112" s="5" t="s">
        <v>37</v>
      </c>
      <c r="D112" s="16" t="n">
        <v>38.3861</v>
      </c>
      <c r="E112" s="15" t="n">
        <f aca="false">B112-4</f>
        <v>-1.729486</v>
      </c>
      <c r="F112" s="17" t="n">
        <f aca="false">IF(B112&gt;=4,1,0)</f>
        <v>0</v>
      </c>
      <c r="G112" s="17" t="n">
        <f aca="false">IF(ABS(E112)&lt;=1.5,1,0)</f>
        <v>0</v>
      </c>
      <c r="H112" s="15" t="n">
        <f aca="false">IF(ABS(E112)&lt;=1.5,1-ABS(E112)/1.5,0)</f>
        <v>0</v>
      </c>
      <c r="I112" s="15" t="n">
        <f aca="false">ABS(E112)</f>
        <v>1.729486</v>
      </c>
    </row>
    <row r="113" customFormat="false" ht="15" hidden="false" customHeight="false" outlineLevel="0" collapsed="false">
      <c r="A113" s="5" t="s">
        <v>149</v>
      </c>
      <c r="B113" s="15" t="n">
        <v>1.373385</v>
      </c>
      <c r="C113" s="5" t="s">
        <v>37</v>
      </c>
      <c r="D113" s="16" t="n">
        <v>24.7499</v>
      </c>
      <c r="E113" s="15" t="n">
        <f aca="false">B113-4</f>
        <v>-2.626615</v>
      </c>
      <c r="F113" s="17" t="n">
        <f aca="false">IF(B113&gt;=4,1,0)</f>
        <v>0</v>
      </c>
      <c r="G113" s="17" t="n">
        <f aca="false">IF(ABS(E113)&lt;=1.5,1,0)</f>
        <v>0</v>
      </c>
      <c r="H113" s="15" t="n">
        <f aca="false">IF(ABS(E113)&lt;=1.5,1-ABS(E113)/1.5,0)</f>
        <v>0</v>
      </c>
      <c r="I113" s="15" t="n">
        <f aca="false">ABS(E113)</f>
        <v>2.626615</v>
      </c>
    </row>
    <row r="114" customFormat="false" ht="15" hidden="false" customHeight="false" outlineLevel="0" collapsed="false">
      <c r="A114" s="5" t="s">
        <v>150</v>
      </c>
      <c r="B114" s="15" t="n">
        <v>2.027671</v>
      </c>
      <c r="C114" s="5" t="s">
        <v>37</v>
      </c>
      <c r="D114" s="16" t="n">
        <v>41.4921</v>
      </c>
      <c r="E114" s="15" t="n">
        <f aca="false">B114-4</f>
        <v>-1.972329</v>
      </c>
      <c r="F114" s="17" t="n">
        <f aca="false">IF(B114&gt;=4,1,0)</f>
        <v>0</v>
      </c>
      <c r="G114" s="17" t="n">
        <f aca="false">IF(ABS(E114)&lt;=1.5,1,0)</f>
        <v>0</v>
      </c>
      <c r="H114" s="15" t="n">
        <f aca="false">IF(ABS(E114)&lt;=1.5,1-ABS(E114)/1.5,0)</f>
        <v>0</v>
      </c>
      <c r="I114" s="15" t="n">
        <f aca="false">ABS(E114)</f>
        <v>1.972329</v>
      </c>
    </row>
    <row r="115" customFormat="false" ht="15" hidden="false" customHeight="false" outlineLevel="0" collapsed="false">
      <c r="A115" s="5" t="s">
        <v>151</v>
      </c>
      <c r="B115" s="15" t="n">
        <v>0.030366</v>
      </c>
      <c r="C115" s="5" t="s">
        <v>37</v>
      </c>
      <c r="D115" s="16" t="n">
        <v>54.3134</v>
      </c>
      <c r="E115" s="15" t="n">
        <f aca="false">B115-4</f>
        <v>-3.969634</v>
      </c>
      <c r="F115" s="17" t="n">
        <f aca="false">IF(B115&gt;=4,1,0)</f>
        <v>0</v>
      </c>
      <c r="G115" s="17" t="n">
        <f aca="false">IF(ABS(E115)&lt;=1.5,1,0)</f>
        <v>0</v>
      </c>
      <c r="H115" s="15" t="n">
        <f aca="false">IF(ABS(E115)&lt;=1.5,1-ABS(E115)/1.5,0)</f>
        <v>0</v>
      </c>
      <c r="I115" s="15" t="n">
        <f aca="false">ABS(E115)</f>
        <v>3.969634</v>
      </c>
    </row>
    <row r="116" customFormat="false" ht="15" hidden="false" customHeight="false" outlineLevel="0" collapsed="false">
      <c r="A116" s="5" t="s">
        <v>152</v>
      </c>
      <c r="B116" s="15" t="n">
        <v>3.5089</v>
      </c>
      <c r="C116" s="5" t="s">
        <v>37</v>
      </c>
      <c r="D116" s="16" t="n">
        <v>43.4587</v>
      </c>
      <c r="E116" s="15" t="n">
        <f aca="false">B116-4</f>
        <v>-0.4911</v>
      </c>
      <c r="F116" s="17" t="n">
        <f aca="false">IF(B116&gt;=4,1,0)</f>
        <v>0</v>
      </c>
      <c r="G116" s="17" t="n">
        <f aca="false">IF(ABS(E116)&lt;=1.5,1,0)</f>
        <v>1</v>
      </c>
      <c r="H116" s="15" t="n">
        <f aca="false">IF(ABS(E116)&lt;=1.5,1-ABS(E116)/1.5,0)</f>
        <v>0.6726</v>
      </c>
      <c r="I116" s="15" t="n">
        <f aca="false">ABS(E116)</f>
        <v>0.4911</v>
      </c>
    </row>
    <row r="117" customFormat="false" ht="15" hidden="false" customHeight="false" outlineLevel="0" collapsed="false">
      <c r="A117" s="5" t="s">
        <v>153</v>
      </c>
      <c r="B117" s="15" t="n">
        <v>1.716495</v>
      </c>
      <c r="C117" s="5" t="s">
        <v>37</v>
      </c>
      <c r="D117" s="16" t="n">
        <v>52.6757</v>
      </c>
      <c r="E117" s="15" t="n">
        <f aca="false">B117-4</f>
        <v>-2.283505</v>
      </c>
      <c r="F117" s="17" t="n">
        <f aca="false">IF(B117&gt;=4,1,0)</f>
        <v>0</v>
      </c>
      <c r="G117" s="17" t="n">
        <f aca="false">IF(ABS(E117)&lt;=1.5,1,0)</f>
        <v>0</v>
      </c>
      <c r="H117" s="15" t="n">
        <f aca="false">IF(ABS(E117)&lt;=1.5,1-ABS(E117)/1.5,0)</f>
        <v>0</v>
      </c>
      <c r="I117" s="15" t="n">
        <f aca="false">ABS(E117)</f>
        <v>2.283505</v>
      </c>
    </row>
    <row r="118" customFormat="false" ht="15" hidden="false" customHeight="false" outlineLevel="0" collapsed="false">
      <c r="A118" s="5" t="s">
        <v>154</v>
      </c>
      <c r="B118" s="15" t="n">
        <v>0.779145</v>
      </c>
      <c r="C118" s="5" t="s">
        <v>37</v>
      </c>
      <c r="D118" s="16" t="n">
        <v>41.4024</v>
      </c>
      <c r="E118" s="15" t="n">
        <f aca="false">B118-4</f>
        <v>-3.220855</v>
      </c>
      <c r="F118" s="17" t="n">
        <f aca="false">IF(B118&gt;=4,1,0)</f>
        <v>0</v>
      </c>
      <c r="G118" s="17" t="n">
        <f aca="false">IF(ABS(E118)&lt;=1.5,1,0)</f>
        <v>0</v>
      </c>
      <c r="H118" s="15" t="n">
        <f aca="false">IF(ABS(E118)&lt;=1.5,1-ABS(E118)/1.5,0)</f>
        <v>0</v>
      </c>
      <c r="I118" s="15" t="n">
        <f aca="false">ABS(E118)</f>
        <v>3.220855</v>
      </c>
    </row>
    <row r="119" customFormat="false" ht="15" hidden="false" customHeight="false" outlineLevel="0" collapsed="false">
      <c r="A119" s="5" t="s">
        <v>155</v>
      </c>
      <c r="B119" s="15" t="n">
        <v>1.094209</v>
      </c>
      <c r="C119" s="5" t="s">
        <v>37</v>
      </c>
      <c r="D119" s="16" t="n">
        <v>39.4451</v>
      </c>
      <c r="E119" s="15" t="n">
        <f aca="false">B119-4</f>
        <v>-2.905791</v>
      </c>
      <c r="F119" s="17" t="n">
        <f aca="false">IF(B119&gt;=4,1,0)</f>
        <v>0</v>
      </c>
      <c r="G119" s="17" t="n">
        <f aca="false">IF(ABS(E119)&lt;=1.5,1,0)</f>
        <v>0</v>
      </c>
      <c r="H119" s="15" t="n">
        <f aca="false">IF(ABS(E119)&lt;=1.5,1-ABS(E119)/1.5,0)</f>
        <v>0</v>
      </c>
      <c r="I119" s="15" t="n">
        <f aca="false">ABS(E119)</f>
        <v>2.905791</v>
      </c>
    </row>
    <row r="120" customFormat="false" ht="15" hidden="false" customHeight="false" outlineLevel="0" collapsed="false">
      <c r="A120" s="5" t="s">
        <v>156</v>
      </c>
      <c r="B120" s="15" t="n">
        <v>4.391472</v>
      </c>
      <c r="C120" s="5" t="s">
        <v>39</v>
      </c>
      <c r="D120" s="16" t="n">
        <v>43.5086</v>
      </c>
      <c r="E120" s="15" t="n">
        <f aca="false">B120-4</f>
        <v>0.391472</v>
      </c>
      <c r="F120" s="17" t="n">
        <f aca="false">IF(B120&gt;=4,1,0)</f>
        <v>1</v>
      </c>
      <c r="G120" s="17" t="n">
        <f aca="false">IF(ABS(E120)&lt;=1.5,1,0)</f>
        <v>1</v>
      </c>
      <c r="H120" s="15" t="n">
        <f aca="false">IF(ABS(E120)&lt;=1.5,1-ABS(E120)/1.5,0)</f>
        <v>0.739018666666667</v>
      </c>
      <c r="I120" s="15" t="n">
        <f aca="false">ABS(E120)</f>
        <v>0.391472</v>
      </c>
    </row>
    <row r="121" customFormat="false" ht="15" hidden="false" customHeight="false" outlineLevel="0" collapsed="false">
      <c r="A121" s="5" t="s">
        <v>157</v>
      </c>
      <c r="B121" s="15" t="n">
        <v>0.008673</v>
      </c>
      <c r="C121" s="5" t="s">
        <v>37</v>
      </c>
      <c r="D121" s="16" t="n">
        <v>55.346</v>
      </c>
      <c r="E121" s="15" t="n">
        <f aca="false">B121-4</f>
        <v>-3.991327</v>
      </c>
      <c r="F121" s="17" t="n">
        <f aca="false">IF(B121&gt;=4,1,0)</f>
        <v>0</v>
      </c>
      <c r="G121" s="17" t="n">
        <f aca="false">IF(ABS(E121)&lt;=1.5,1,0)</f>
        <v>0</v>
      </c>
      <c r="H121" s="15" t="n">
        <f aca="false">IF(ABS(E121)&lt;=1.5,1-ABS(E121)/1.5,0)</f>
        <v>0</v>
      </c>
      <c r="I121" s="15" t="n">
        <f aca="false">ABS(E121)</f>
        <v>3.991327</v>
      </c>
    </row>
    <row r="122" customFormat="false" ht="15" hidden="false" customHeight="false" outlineLevel="0" collapsed="false">
      <c r="A122" s="5" t="s">
        <v>158</v>
      </c>
      <c r="B122" s="15" t="n">
        <v>2.758413</v>
      </c>
      <c r="C122" s="5" t="s">
        <v>37</v>
      </c>
      <c r="D122" s="16" t="n">
        <v>41.1927</v>
      </c>
      <c r="E122" s="15" t="n">
        <f aca="false">B122-4</f>
        <v>-1.241587</v>
      </c>
      <c r="F122" s="17" t="n">
        <f aca="false">IF(B122&gt;=4,1,0)</f>
        <v>0</v>
      </c>
      <c r="G122" s="17" t="n">
        <f aca="false">IF(ABS(E122)&lt;=1.5,1,0)</f>
        <v>1</v>
      </c>
      <c r="H122" s="15" t="n">
        <f aca="false">IF(ABS(E122)&lt;=1.5,1-ABS(E122)/1.5,0)</f>
        <v>0.172275333333333</v>
      </c>
      <c r="I122" s="15" t="n">
        <f aca="false">ABS(E122)</f>
        <v>1.241587</v>
      </c>
    </row>
    <row r="123" customFormat="false" ht="15" hidden="false" customHeight="false" outlineLevel="0" collapsed="false">
      <c r="A123" s="5" t="s">
        <v>159</v>
      </c>
      <c r="B123" s="15" t="n">
        <v>1.105474</v>
      </c>
      <c r="C123" s="5" t="s">
        <v>37</v>
      </c>
      <c r="D123" s="16" t="n">
        <v>53.7953</v>
      </c>
      <c r="E123" s="15" t="n">
        <f aca="false">B123-4</f>
        <v>-2.894526</v>
      </c>
      <c r="F123" s="17" t="n">
        <f aca="false">IF(B123&gt;=4,1,0)</f>
        <v>0</v>
      </c>
      <c r="G123" s="17" t="n">
        <f aca="false">IF(ABS(E123)&lt;=1.5,1,0)</f>
        <v>0</v>
      </c>
      <c r="H123" s="15" t="n">
        <f aca="false">IF(ABS(E123)&lt;=1.5,1-ABS(E123)/1.5,0)</f>
        <v>0</v>
      </c>
      <c r="I123" s="15" t="n">
        <f aca="false">ABS(E123)</f>
        <v>2.894526</v>
      </c>
    </row>
    <row r="124" customFormat="false" ht="15" hidden="false" customHeight="false" outlineLevel="0" collapsed="false">
      <c r="A124" s="5" t="s">
        <v>160</v>
      </c>
      <c r="B124" s="15" t="n">
        <v>4.615619</v>
      </c>
      <c r="C124" s="5" t="s">
        <v>39</v>
      </c>
      <c r="D124" s="16" t="n">
        <v>47.723</v>
      </c>
      <c r="E124" s="15" t="n">
        <f aca="false">B124-4</f>
        <v>0.615619</v>
      </c>
      <c r="F124" s="17" t="n">
        <f aca="false">IF(B124&gt;=4,1,0)</f>
        <v>1</v>
      </c>
      <c r="G124" s="17" t="n">
        <f aca="false">IF(ABS(E124)&lt;=1.5,1,0)</f>
        <v>1</v>
      </c>
      <c r="H124" s="15" t="n">
        <f aca="false">IF(ABS(E124)&lt;=1.5,1-ABS(E124)/1.5,0)</f>
        <v>0.589587333333334</v>
      </c>
      <c r="I124" s="15" t="n">
        <f aca="false">ABS(E124)</f>
        <v>0.615619</v>
      </c>
    </row>
    <row r="125" customFormat="false" ht="15" hidden="false" customHeight="false" outlineLevel="0" collapsed="false">
      <c r="A125" s="5" t="s">
        <v>161</v>
      </c>
      <c r="B125" s="15" t="n">
        <v>1.561193</v>
      </c>
      <c r="C125" s="5" t="s">
        <v>37</v>
      </c>
      <c r="D125" s="16" t="n">
        <v>42.6676</v>
      </c>
      <c r="E125" s="15" t="n">
        <f aca="false">B125-4</f>
        <v>-2.438807</v>
      </c>
      <c r="F125" s="17" t="n">
        <f aca="false">IF(B125&gt;=4,1,0)</f>
        <v>0</v>
      </c>
      <c r="G125" s="17" t="n">
        <f aca="false">IF(ABS(E125)&lt;=1.5,1,0)</f>
        <v>0</v>
      </c>
      <c r="H125" s="15" t="n">
        <f aca="false">IF(ABS(E125)&lt;=1.5,1-ABS(E125)/1.5,0)</f>
        <v>0</v>
      </c>
      <c r="I125" s="15" t="n">
        <f aca="false">ABS(E125)</f>
        <v>2.438807</v>
      </c>
    </row>
    <row r="126" customFormat="false" ht="15" hidden="false" customHeight="false" outlineLevel="0" collapsed="false">
      <c r="A126" s="5" t="s">
        <v>162</v>
      </c>
      <c r="B126" s="15" t="n">
        <v>1.882737</v>
      </c>
      <c r="C126" s="5" t="s">
        <v>37</v>
      </c>
      <c r="D126" s="16" t="n">
        <v>50.3866</v>
      </c>
      <c r="E126" s="15" t="n">
        <f aca="false">B126-4</f>
        <v>-2.117263</v>
      </c>
      <c r="F126" s="17" t="n">
        <f aca="false">IF(B126&gt;=4,1,0)</f>
        <v>0</v>
      </c>
      <c r="G126" s="17" t="n">
        <f aca="false">IF(ABS(E126)&lt;=1.5,1,0)</f>
        <v>0</v>
      </c>
      <c r="H126" s="15" t="n">
        <f aca="false">IF(ABS(E126)&lt;=1.5,1-ABS(E126)/1.5,0)</f>
        <v>0</v>
      </c>
      <c r="I126" s="15" t="n">
        <f aca="false">ABS(E126)</f>
        <v>2.117263</v>
      </c>
    </row>
    <row r="127" customFormat="false" ht="15" hidden="false" customHeight="false" outlineLevel="0" collapsed="false">
      <c r="A127" s="5" t="s">
        <v>163</v>
      </c>
      <c r="B127" s="15" t="n">
        <v>3.571848</v>
      </c>
      <c r="C127" s="5" t="s">
        <v>37</v>
      </c>
      <c r="D127" s="16" t="n">
        <v>67.5879</v>
      </c>
      <c r="E127" s="15" t="n">
        <f aca="false">B127-4</f>
        <v>-0.428152</v>
      </c>
      <c r="F127" s="17" t="n">
        <f aca="false">IF(B127&gt;=4,1,0)</f>
        <v>0</v>
      </c>
      <c r="G127" s="17" t="n">
        <f aca="false">IF(ABS(E127)&lt;=1.5,1,0)</f>
        <v>1</v>
      </c>
      <c r="H127" s="15" t="n">
        <f aca="false">IF(ABS(E127)&lt;=1.5,1-ABS(E127)/1.5,0)</f>
        <v>0.714565333333334</v>
      </c>
      <c r="I127" s="15" t="n">
        <f aca="false">ABS(E127)</f>
        <v>0.428152</v>
      </c>
    </row>
    <row r="128" customFormat="false" ht="15" hidden="false" customHeight="false" outlineLevel="0" collapsed="false">
      <c r="A128" s="5" t="s">
        <v>164</v>
      </c>
      <c r="B128" s="15" t="n">
        <v>3.934062</v>
      </c>
      <c r="C128" s="5" t="s">
        <v>37</v>
      </c>
      <c r="D128" s="16" t="n">
        <v>55.2249</v>
      </c>
      <c r="E128" s="15" t="n">
        <f aca="false">B128-4</f>
        <v>-0.0659380000000001</v>
      </c>
      <c r="F128" s="17" t="n">
        <f aca="false">IF(B128&gt;=4,1,0)</f>
        <v>0</v>
      </c>
      <c r="G128" s="17" t="n">
        <f aca="false">IF(ABS(E128)&lt;=1.5,1,0)</f>
        <v>1</v>
      </c>
      <c r="H128" s="15" t="n">
        <f aca="false">IF(ABS(E128)&lt;=1.5,1-ABS(E128)/1.5,0)</f>
        <v>0.956041333333333</v>
      </c>
      <c r="I128" s="15" t="n">
        <f aca="false">ABS(E128)</f>
        <v>0.0659380000000001</v>
      </c>
    </row>
    <row r="129" customFormat="false" ht="15" hidden="false" customHeight="false" outlineLevel="0" collapsed="false">
      <c r="A129" s="5" t="s">
        <v>165</v>
      </c>
      <c r="B129" s="15" t="n">
        <v>7.760054</v>
      </c>
      <c r="C129" s="5" t="s">
        <v>39</v>
      </c>
      <c r="D129" s="16" t="n">
        <v>55.857</v>
      </c>
      <c r="E129" s="15" t="n">
        <f aca="false">B129-4</f>
        <v>3.760054</v>
      </c>
      <c r="F129" s="17" t="n">
        <f aca="false">IF(B129&gt;=4,1,0)</f>
        <v>1</v>
      </c>
      <c r="G129" s="17" t="n">
        <f aca="false">IF(ABS(E129)&lt;=1.5,1,0)</f>
        <v>0</v>
      </c>
      <c r="H129" s="15" t="n">
        <f aca="false">IF(ABS(E129)&lt;=1.5,1-ABS(E129)/1.5,0)</f>
        <v>0</v>
      </c>
      <c r="I129" s="15" t="n">
        <f aca="false">ABS(E129)</f>
        <v>3.760054</v>
      </c>
    </row>
    <row r="130" customFormat="false" ht="15" hidden="false" customHeight="false" outlineLevel="0" collapsed="false">
      <c r="A130" s="5" t="s">
        <v>166</v>
      </c>
      <c r="B130" s="15" t="n">
        <v>1.929038</v>
      </c>
      <c r="C130" s="5" t="s">
        <v>37</v>
      </c>
      <c r="D130" s="16" t="n">
        <v>42.6137</v>
      </c>
      <c r="E130" s="15" t="n">
        <f aca="false">B130-4</f>
        <v>-2.070962</v>
      </c>
      <c r="F130" s="17" t="n">
        <f aca="false">IF(B130&gt;=4,1,0)</f>
        <v>0</v>
      </c>
      <c r="G130" s="17" t="n">
        <f aca="false">IF(ABS(E130)&lt;=1.5,1,0)</f>
        <v>0</v>
      </c>
      <c r="H130" s="15" t="n">
        <f aca="false">IF(ABS(E130)&lt;=1.5,1-ABS(E130)/1.5,0)</f>
        <v>0</v>
      </c>
      <c r="I130" s="15" t="n">
        <f aca="false">ABS(E130)</f>
        <v>2.070962</v>
      </c>
    </row>
    <row r="131" customFormat="false" ht="15" hidden="false" customHeight="false" outlineLevel="0" collapsed="false">
      <c r="A131" s="5" t="s">
        <v>167</v>
      </c>
      <c r="B131" s="15" t="n">
        <v>3.040559</v>
      </c>
      <c r="C131" s="5" t="s">
        <v>37</v>
      </c>
      <c r="D131" s="16" t="n">
        <v>58.881</v>
      </c>
      <c r="E131" s="15" t="n">
        <f aca="false">B131-4</f>
        <v>-0.959441</v>
      </c>
      <c r="F131" s="17" t="n">
        <f aca="false">IF(B131&gt;=4,1,0)</f>
        <v>0</v>
      </c>
      <c r="G131" s="17" t="n">
        <f aca="false">IF(ABS(E131)&lt;=1.5,1,0)</f>
        <v>1</v>
      </c>
      <c r="H131" s="15" t="n">
        <f aca="false">IF(ABS(E131)&lt;=1.5,1-ABS(E131)/1.5,0)</f>
        <v>0.360372666666667</v>
      </c>
      <c r="I131" s="15" t="n">
        <f aca="false">ABS(E131)</f>
        <v>0.959441</v>
      </c>
    </row>
    <row r="132" customFormat="false" ht="15" hidden="false" customHeight="false" outlineLevel="0" collapsed="false">
      <c r="A132" s="5" t="s">
        <v>168</v>
      </c>
      <c r="B132" s="15" t="n">
        <v>2.116868</v>
      </c>
      <c r="C132" s="5" t="s">
        <v>37</v>
      </c>
      <c r="D132" s="16" t="n">
        <v>37.0808</v>
      </c>
      <c r="E132" s="15" t="n">
        <f aca="false">B132-4</f>
        <v>-1.883132</v>
      </c>
      <c r="F132" s="17" t="n">
        <f aca="false">IF(B132&gt;=4,1,0)</f>
        <v>0</v>
      </c>
      <c r="G132" s="17" t="n">
        <f aca="false">IF(ABS(E132)&lt;=1.5,1,0)</f>
        <v>0</v>
      </c>
      <c r="H132" s="15" t="n">
        <f aca="false">IF(ABS(E132)&lt;=1.5,1-ABS(E132)/1.5,0)</f>
        <v>0</v>
      </c>
      <c r="I132" s="15" t="n">
        <f aca="false">ABS(E132)</f>
        <v>1.883132</v>
      </c>
    </row>
    <row r="133" customFormat="false" ht="15" hidden="false" customHeight="false" outlineLevel="0" collapsed="false">
      <c r="A133" s="5" t="s">
        <v>169</v>
      </c>
      <c r="B133" s="15" t="n">
        <v>1.252794</v>
      </c>
      <c r="C133" s="5" t="s">
        <v>37</v>
      </c>
      <c r="D133" s="16" t="n">
        <v>50.6869</v>
      </c>
      <c r="E133" s="15" t="n">
        <f aca="false">B133-4</f>
        <v>-2.747206</v>
      </c>
      <c r="F133" s="17" t="n">
        <f aca="false">IF(B133&gt;=4,1,0)</f>
        <v>0</v>
      </c>
      <c r="G133" s="17" t="n">
        <f aca="false">IF(ABS(E133)&lt;=1.5,1,0)</f>
        <v>0</v>
      </c>
      <c r="H133" s="15" t="n">
        <f aca="false">IF(ABS(E133)&lt;=1.5,1-ABS(E133)/1.5,0)</f>
        <v>0</v>
      </c>
      <c r="I133" s="15" t="n">
        <f aca="false">ABS(E133)</f>
        <v>2.747206</v>
      </c>
    </row>
    <row r="134" customFormat="false" ht="15" hidden="false" customHeight="false" outlineLevel="0" collapsed="false">
      <c r="A134" s="5" t="s">
        <v>170</v>
      </c>
      <c r="B134" s="15" t="n">
        <v>5.753321</v>
      </c>
      <c r="C134" s="5" t="s">
        <v>39</v>
      </c>
      <c r="D134" s="16" t="n">
        <v>54.952</v>
      </c>
      <c r="E134" s="15" t="n">
        <f aca="false">B134-4</f>
        <v>1.753321</v>
      </c>
      <c r="F134" s="17" t="n">
        <f aca="false">IF(B134&gt;=4,1,0)</f>
        <v>1</v>
      </c>
      <c r="G134" s="17" t="n">
        <f aca="false">IF(ABS(E134)&lt;=1.5,1,0)</f>
        <v>0</v>
      </c>
      <c r="H134" s="15" t="n">
        <f aca="false">IF(ABS(E134)&lt;=1.5,1-ABS(E134)/1.5,0)</f>
        <v>0</v>
      </c>
      <c r="I134" s="15" t="n">
        <f aca="false">ABS(E134)</f>
        <v>1.753321</v>
      </c>
    </row>
    <row r="135" customFormat="false" ht="15" hidden="false" customHeight="false" outlineLevel="0" collapsed="false">
      <c r="A135" s="5" t="s">
        <v>171</v>
      </c>
      <c r="B135" s="15" t="n">
        <v>0.554158</v>
      </c>
      <c r="C135" s="5" t="s">
        <v>37</v>
      </c>
      <c r="D135" s="16" t="n">
        <v>52.8756</v>
      </c>
      <c r="E135" s="15" t="n">
        <f aca="false">B135-4</f>
        <v>-3.445842</v>
      </c>
      <c r="F135" s="17" t="n">
        <f aca="false">IF(B135&gt;=4,1,0)</f>
        <v>0</v>
      </c>
      <c r="G135" s="17" t="n">
        <f aca="false">IF(ABS(E135)&lt;=1.5,1,0)</f>
        <v>0</v>
      </c>
      <c r="H135" s="15" t="n">
        <f aca="false">IF(ABS(E135)&lt;=1.5,1-ABS(E135)/1.5,0)</f>
        <v>0</v>
      </c>
      <c r="I135" s="15" t="n">
        <f aca="false">ABS(E135)</f>
        <v>3.445842</v>
      </c>
    </row>
    <row r="136" customFormat="false" ht="15" hidden="false" customHeight="false" outlineLevel="0" collapsed="false">
      <c r="A136" s="5" t="s">
        <v>172</v>
      </c>
      <c r="B136" s="15" t="n">
        <v>0.270821</v>
      </c>
      <c r="C136" s="5" t="s">
        <v>37</v>
      </c>
      <c r="D136" s="16" t="n">
        <v>51.061</v>
      </c>
      <c r="E136" s="15" t="n">
        <f aca="false">B136-4</f>
        <v>-3.729179</v>
      </c>
      <c r="F136" s="17" t="n">
        <f aca="false">IF(B136&gt;=4,1,0)</f>
        <v>0</v>
      </c>
      <c r="G136" s="17" t="n">
        <f aca="false">IF(ABS(E136)&lt;=1.5,1,0)</f>
        <v>0</v>
      </c>
      <c r="H136" s="15" t="n">
        <f aca="false">IF(ABS(E136)&lt;=1.5,1-ABS(E136)/1.5,0)</f>
        <v>0</v>
      </c>
      <c r="I136" s="15" t="n">
        <f aca="false">ABS(E136)</f>
        <v>3.729179</v>
      </c>
    </row>
    <row r="137" customFormat="false" ht="15" hidden="false" customHeight="false" outlineLevel="0" collapsed="false">
      <c r="A137" s="5" t="s">
        <v>173</v>
      </c>
      <c r="B137" s="15" t="n">
        <v>8.152374</v>
      </c>
      <c r="C137" s="5" t="s">
        <v>39</v>
      </c>
      <c r="D137" s="16" t="n">
        <v>37.4737</v>
      </c>
      <c r="E137" s="15" t="n">
        <f aca="false">B137-4</f>
        <v>4.152374</v>
      </c>
      <c r="F137" s="17" t="n">
        <f aca="false">IF(B137&gt;=4,1,0)</f>
        <v>1</v>
      </c>
      <c r="G137" s="17" t="n">
        <f aca="false">IF(ABS(E137)&lt;=1.5,1,0)</f>
        <v>0</v>
      </c>
      <c r="H137" s="15" t="n">
        <f aca="false">IF(ABS(E137)&lt;=1.5,1-ABS(E137)/1.5,0)</f>
        <v>0</v>
      </c>
      <c r="I137" s="15" t="n">
        <f aca="false">ABS(E137)</f>
        <v>4.152374</v>
      </c>
    </row>
    <row r="138" customFormat="false" ht="15" hidden="false" customHeight="false" outlineLevel="0" collapsed="false">
      <c r="A138" s="5" t="s">
        <v>174</v>
      </c>
      <c r="B138" s="15" t="n">
        <v>2.175495</v>
      </c>
      <c r="C138" s="5" t="s">
        <v>37</v>
      </c>
      <c r="D138" s="16" t="n">
        <v>43.4332</v>
      </c>
      <c r="E138" s="15" t="n">
        <f aca="false">B138-4</f>
        <v>-1.824505</v>
      </c>
      <c r="F138" s="17" t="n">
        <f aca="false">IF(B138&gt;=4,1,0)</f>
        <v>0</v>
      </c>
      <c r="G138" s="17" t="n">
        <f aca="false">IF(ABS(E138)&lt;=1.5,1,0)</f>
        <v>0</v>
      </c>
      <c r="H138" s="15" t="n">
        <f aca="false">IF(ABS(E138)&lt;=1.5,1-ABS(E138)/1.5,0)</f>
        <v>0</v>
      </c>
      <c r="I138" s="15" t="n">
        <f aca="false">ABS(E138)</f>
        <v>1.824505</v>
      </c>
    </row>
    <row r="139" customFormat="false" ht="15" hidden="false" customHeight="false" outlineLevel="0" collapsed="false">
      <c r="A139" s="5" t="s">
        <v>175</v>
      </c>
      <c r="B139" s="15" t="n">
        <v>1.41728</v>
      </c>
      <c r="C139" s="5" t="s">
        <v>37</v>
      </c>
      <c r="D139" s="16" t="n">
        <v>73.5709</v>
      </c>
      <c r="E139" s="15" t="n">
        <f aca="false">B139-4</f>
        <v>-2.58272</v>
      </c>
      <c r="F139" s="17" t="n">
        <f aca="false">IF(B139&gt;=4,1,0)</f>
        <v>0</v>
      </c>
      <c r="G139" s="17" t="n">
        <f aca="false">IF(ABS(E139)&lt;=1.5,1,0)</f>
        <v>0</v>
      </c>
      <c r="H139" s="15" t="n">
        <f aca="false">IF(ABS(E139)&lt;=1.5,1-ABS(E139)/1.5,0)</f>
        <v>0</v>
      </c>
      <c r="I139" s="15" t="n">
        <f aca="false">ABS(E139)</f>
        <v>2.58272</v>
      </c>
    </row>
    <row r="140" customFormat="false" ht="15" hidden="false" customHeight="false" outlineLevel="0" collapsed="false">
      <c r="A140" s="5" t="s">
        <v>176</v>
      </c>
      <c r="B140" s="15" t="n">
        <v>6.537139</v>
      </c>
      <c r="C140" s="5" t="s">
        <v>39</v>
      </c>
      <c r="D140" s="16" t="n">
        <v>51.616</v>
      </c>
      <c r="E140" s="15" t="n">
        <f aca="false">B140-4</f>
        <v>2.537139</v>
      </c>
      <c r="F140" s="17" t="n">
        <f aca="false">IF(B140&gt;=4,1,0)</f>
        <v>1</v>
      </c>
      <c r="G140" s="17" t="n">
        <f aca="false">IF(ABS(E140)&lt;=1.5,1,0)</f>
        <v>0</v>
      </c>
      <c r="H140" s="15" t="n">
        <f aca="false">IF(ABS(E140)&lt;=1.5,1-ABS(E140)/1.5,0)</f>
        <v>0</v>
      </c>
      <c r="I140" s="15" t="n">
        <f aca="false">ABS(E140)</f>
        <v>2.537139</v>
      </c>
    </row>
    <row r="141" customFormat="false" ht="15" hidden="false" customHeight="false" outlineLevel="0" collapsed="false">
      <c r="A141" s="5" t="s">
        <v>177</v>
      </c>
      <c r="B141" s="15" t="n">
        <v>0.61925</v>
      </c>
      <c r="C141" s="5" t="s">
        <v>37</v>
      </c>
      <c r="D141" s="16" t="n">
        <v>61.782</v>
      </c>
      <c r="E141" s="15" t="n">
        <f aca="false">B141-4</f>
        <v>-3.38075</v>
      </c>
      <c r="F141" s="17" t="n">
        <f aca="false">IF(B141&gt;=4,1,0)</f>
        <v>0</v>
      </c>
      <c r="G141" s="17" t="n">
        <f aca="false">IF(ABS(E141)&lt;=1.5,1,0)</f>
        <v>0</v>
      </c>
      <c r="H141" s="15" t="n">
        <f aca="false">IF(ABS(E141)&lt;=1.5,1-ABS(E141)/1.5,0)</f>
        <v>0</v>
      </c>
      <c r="I141" s="15" t="n">
        <f aca="false">ABS(E141)</f>
        <v>3.38075</v>
      </c>
    </row>
    <row r="142" customFormat="false" ht="15" hidden="false" customHeight="false" outlineLevel="0" collapsed="false">
      <c r="A142" s="5" t="s">
        <v>178</v>
      </c>
      <c r="B142" s="15" t="n">
        <v>0.585667</v>
      </c>
      <c r="C142" s="5" t="s">
        <v>37</v>
      </c>
      <c r="D142" s="16" t="n">
        <v>35.5026</v>
      </c>
      <c r="E142" s="15" t="n">
        <f aca="false">B142-4</f>
        <v>-3.414333</v>
      </c>
      <c r="F142" s="17" t="n">
        <f aca="false">IF(B142&gt;=4,1,0)</f>
        <v>0</v>
      </c>
      <c r="G142" s="17" t="n">
        <f aca="false">IF(ABS(E142)&lt;=1.5,1,0)</f>
        <v>0</v>
      </c>
      <c r="H142" s="15" t="n">
        <f aca="false">IF(ABS(E142)&lt;=1.5,1-ABS(E142)/1.5,0)</f>
        <v>0</v>
      </c>
      <c r="I142" s="15" t="n">
        <f aca="false">ABS(E142)</f>
        <v>3.414333</v>
      </c>
    </row>
    <row r="143" customFormat="false" ht="15" hidden="false" customHeight="false" outlineLevel="0" collapsed="false">
      <c r="A143" s="5" t="s">
        <v>179</v>
      </c>
      <c r="B143" s="15" t="n">
        <v>3.069979</v>
      </c>
      <c r="C143" s="5" t="s">
        <v>37</v>
      </c>
      <c r="D143" s="16" t="n">
        <v>55.5611</v>
      </c>
      <c r="E143" s="15" t="n">
        <f aca="false">B143-4</f>
        <v>-0.930021</v>
      </c>
      <c r="F143" s="17" t="n">
        <f aca="false">IF(B143&gt;=4,1,0)</f>
        <v>0</v>
      </c>
      <c r="G143" s="17" t="n">
        <f aca="false">IF(ABS(E143)&lt;=1.5,1,0)</f>
        <v>1</v>
      </c>
      <c r="H143" s="15" t="n">
        <f aca="false">IF(ABS(E143)&lt;=1.5,1-ABS(E143)/1.5,0)</f>
        <v>0.379986</v>
      </c>
      <c r="I143" s="15" t="n">
        <f aca="false">ABS(E143)</f>
        <v>0.930021</v>
      </c>
    </row>
    <row r="144" customFormat="false" ht="15" hidden="false" customHeight="false" outlineLevel="0" collapsed="false">
      <c r="A144" s="5" t="s">
        <v>180</v>
      </c>
      <c r="B144" s="15" t="n">
        <v>0.859013</v>
      </c>
      <c r="C144" s="5" t="s">
        <v>37</v>
      </c>
      <c r="D144" s="16" t="n">
        <v>35.0271</v>
      </c>
      <c r="E144" s="15" t="n">
        <f aca="false">B144-4</f>
        <v>-3.140987</v>
      </c>
      <c r="F144" s="17" t="n">
        <f aca="false">IF(B144&gt;=4,1,0)</f>
        <v>0</v>
      </c>
      <c r="G144" s="17" t="n">
        <f aca="false">IF(ABS(E144)&lt;=1.5,1,0)</f>
        <v>0</v>
      </c>
      <c r="H144" s="15" t="n">
        <f aca="false">IF(ABS(E144)&lt;=1.5,1-ABS(E144)/1.5,0)</f>
        <v>0</v>
      </c>
      <c r="I144" s="15" t="n">
        <f aca="false">ABS(E144)</f>
        <v>3.140987</v>
      </c>
    </row>
    <row r="145" customFormat="false" ht="15" hidden="false" customHeight="false" outlineLevel="0" collapsed="false">
      <c r="A145" s="5" t="s">
        <v>181</v>
      </c>
      <c r="B145" s="15" t="n">
        <v>1.404356</v>
      </c>
      <c r="C145" s="5" t="s">
        <v>37</v>
      </c>
      <c r="D145" s="16" t="n">
        <v>51.3048</v>
      </c>
      <c r="E145" s="15" t="n">
        <f aca="false">B145-4</f>
        <v>-2.595644</v>
      </c>
      <c r="F145" s="17" t="n">
        <f aca="false">IF(B145&gt;=4,1,0)</f>
        <v>0</v>
      </c>
      <c r="G145" s="17" t="n">
        <f aca="false">IF(ABS(E145)&lt;=1.5,1,0)</f>
        <v>0</v>
      </c>
      <c r="H145" s="15" t="n">
        <f aca="false">IF(ABS(E145)&lt;=1.5,1-ABS(E145)/1.5,0)</f>
        <v>0</v>
      </c>
      <c r="I145" s="15" t="n">
        <f aca="false">ABS(E145)</f>
        <v>2.595644</v>
      </c>
    </row>
    <row r="146" customFormat="false" ht="15" hidden="false" customHeight="false" outlineLevel="0" collapsed="false">
      <c r="A146" s="5" t="s">
        <v>182</v>
      </c>
      <c r="B146" s="15" t="n">
        <v>0.983911</v>
      </c>
      <c r="C146" s="5" t="s">
        <v>37</v>
      </c>
      <c r="D146" s="16" t="n">
        <v>59.8289</v>
      </c>
      <c r="E146" s="15" t="n">
        <f aca="false">B146-4</f>
        <v>-3.016089</v>
      </c>
      <c r="F146" s="17" t="n">
        <f aca="false">IF(B146&gt;=4,1,0)</f>
        <v>0</v>
      </c>
      <c r="G146" s="17" t="n">
        <f aca="false">IF(ABS(E146)&lt;=1.5,1,0)</f>
        <v>0</v>
      </c>
      <c r="H146" s="15" t="n">
        <f aca="false">IF(ABS(E146)&lt;=1.5,1-ABS(E146)/1.5,0)</f>
        <v>0</v>
      </c>
      <c r="I146" s="15" t="n">
        <f aca="false">ABS(E146)</f>
        <v>3.016089</v>
      </c>
    </row>
    <row r="147" customFormat="false" ht="15" hidden="false" customHeight="false" outlineLevel="0" collapsed="false">
      <c r="A147" s="5" t="s">
        <v>183</v>
      </c>
      <c r="B147" s="15" t="n">
        <v>0.49307</v>
      </c>
      <c r="C147" s="5" t="s">
        <v>37</v>
      </c>
      <c r="D147" s="16" t="n">
        <v>56.3799</v>
      </c>
      <c r="E147" s="15" t="n">
        <f aca="false">B147-4</f>
        <v>-3.50693</v>
      </c>
      <c r="F147" s="17" t="n">
        <f aca="false">IF(B147&gt;=4,1,0)</f>
        <v>0</v>
      </c>
      <c r="G147" s="17" t="n">
        <f aca="false">IF(ABS(E147)&lt;=1.5,1,0)</f>
        <v>0</v>
      </c>
      <c r="H147" s="15" t="n">
        <f aca="false">IF(ABS(E147)&lt;=1.5,1-ABS(E147)/1.5,0)</f>
        <v>0</v>
      </c>
      <c r="I147" s="15" t="n">
        <f aca="false">ABS(E147)</f>
        <v>3.50693</v>
      </c>
    </row>
    <row r="148" customFormat="false" ht="15" hidden="false" customHeight="false" outlineLevel="0" collapsed="false">
      <c r="A148" s="5" t="s">
        <v>184</v>
      </c>
      <c r="B148" s="15" t="n">
        <v>2.842683</v>
      </c>
      <c r="C148" s="5" t="s">
        <v>37</v>
      </c>
      <c r="D148" s="16" t="n">
        <v>59.3288</v>
      </c>
      <c r="E148" s="15" t="n">
        <f aca="false">B148-4</f>
        <v>-1.157317</v>
      </c>
      <c r="F148" s="17" t="n">
        <f aca="false">IF(B148&gt;=4,1,0)</f>
        <v>0</v>
      </c>
      <c r="G148" s="17" t="n">
        <f aca="false">IF(ABS(E148)&lt;=1.5,1,0)</f>
        <v>1</v>
      </c>
      <c r="H148" s="15" t="n">
        <f aca="false">IF(ABS(E148)&lt;=1.5,1-ABS(E148)/1.5,0)</f>
        <v>0.228455333333333</v>
      </c>
      <c r="I148" s="15" t="n">
        <f aca="false">ABS(E148)</f>
        <v>1.157317</v>
      </c>
    </row>
    <row r="149" customFormat="false" ht="15" hidden="false" customHeight="false" outlineLevel="0" collapsed="false">
      <c r="A149" s="5" t="s">
        <v>185</v>
      </c>
      <c r="B149" s="15" t="n">
        <v>0.282331</v>
      </c>
      <c r="C149" s="5" t="s">
        <v>37</v>
      </c>
      <c r="D149" s="16" t="n">
        <v>49.2154</v>
      </c>
      <c r="E149" s="15" t="n">
        <f aca="false">B149-4</f>
        <v>-3.717669</v>
      </c>
      <c r="F149" s="17" t="n">
        <f aca="false">IF(B149&gt;=4,1,0)</f>
        <v>0</v>
      </c>
      <c r="G149" s="17" t="n">
        <f aca="false">IF(ABS(E149)&lt;=1.5,1,0)</f>
        <v>0</v>
      </c>
      <c r="H149" s="15" t="n">
        <f aca="false">IF(ABS(E149)&lt;=1.5,1-ABS(E149)/1.5,0)</f>
        <v>0</v>
      </c>
      <c r="I149" s="15" t="n">
        <f aca="false">ABS(E149)</f>
        <v>3.717669</v>
      </c>
    </row>
    <row r="150" customFormat="false" ht="15" hidden="false" customHeight="false" outlineLevel="0" collapsed="false">
      <c r="A150" s="5" t="s">
        <v>186</v>
      </c>
      <c r="B150" s="15" t="n">
        <v>2.946426</v>
      </c>
      <c r="C150" s="5" t="s">
        <v>37</v>
      </c>
      <c r="D150" s="16" t="n">
        <v>38.339</v>
      </c>
      <c r="E150" s="15" t="n">
        <f aca="false">B150-4</f>
        <v>-1.053574</v>
      </c>
      <c r="F150" s="17" t="n">
        <f aca="false">IF(B150&gt;=4,1,0)</f>
        <v>0</v>
      </c>
      <c r="G150" s="17" t="n">
        <f aca="false">IF(ABS(E150)&lt;=1.5,1,0)</f>
        <v>1</v>
      </c>
      <c r="H150" s="15" t="n">
        <f aca="false">IF(ABS(E150)&lt;=1.5,1-ABS(E150)/1.5,0)</f>
        <v>0.297617333333334</v>
      </c>
      <c r="I150" s="15" t="n">
        <f aca="false">ABS(E150)</f>
        <v>1.053574</v>
      </c>
    </row>
    <row r="151" customFormat="false" ht="15" hidden="false" customHeight="false" outlineLevel="0" collapsed="false">
      <c r="A151" s="5" t="s">
        <v>187</v>
      </c>
      <c r="B151" s="15" t="n">
        <v>5.074782</v>
      </c>
      <c r="C151" s="5" t="s">
        <v>39</v>
      </c>
      <c r="D151" s="16" t="n">
        <v>37.7428</v>
      </c>
      <c r="E151" s="15" t="n">
        <f aca="false">B151-4</f>
        <v>1.074782</v>
      </c>
      <c r="F151" s="17" t="n">
        <f aca="false">IF(B151&gt;=4,1,0)</f>
        <v>1</v>
      </c>
      <c r="G151" s="17" t="n">
        <f aca="false">IF(ABS(E151)&lt;=1.5,1,0)</f>
        <v>1</v>
      </c>
      <c r="H151" s="15" t="n">
        <f aca="false">IF(ABS(E151)&lt;=1.5,1-ABS(E151)/1.5,0)</f>
        <v>0.283478666666667</v>
      </c>
      <c r="I151" s="15" t="n">
        <f aca="false">ABS(E151)</f>
        <v>1.074782</v>
      </c>
    </row>
    <row r="152" customFormat="false" ht="15" hidden="false" customHeight="false" outlineLevel="0" collapsed="false">
      <c r="A152" s="5" t="s">
        <v>188</v>
      </c>
      <c r="B152" s="15" t="n">
        <v>4.723306</v>
      </c>
      <c r="C152" s="5" t="s">
        <v>39</v>
      </c>
      <c r="D152" s="16" t="n">
        <v>27.0315</v>
      </c>
      <c r="E152" s="15" t="n">
        <f aca="false">B152-4</f>
        <v>0.723306</v>
      </c>
      <c r="F152" s="17" t="n">
        <f aca="false">IF(B152&gt;=4,1,0)</f>
        <v>1</v>
      </c>
      <c r="G152" s="17" t="n">
        <f aca="false">IF(ABS(E152)&lt;=1.5,1,0)</f>
        <v>1</v>
      </c>
      <c r="H152" s="15" t="n">
        <f aca="false">IF(ABS(E152)&lt;=1.5,1-ABS(E152)/1.5,0)</f>
        <v>0.517796</v>
      </c>
      <c r="I152" s="15" t="n">
        <f aca="false">ABS(E152)</f>
        <v>0.723306</v>
      </c>
    </row>
    <row r="153" customFormat="false" ht="15" hidden="false" customHeight="false" outlineLevel="0" collapsed="false">
      <c r="A153" s="5" t="s">
        <v>189</v>
      </c>
      <c r="B153" s="15" t="n">
        <v>9.757241</v>
      </c>
      <c r="C153" s="5" t="s">
        <v>39</v>
      </c>
      <c r="D153" s="16" t="n">
        <v>51.4908</v>
      </c>
      <c r="E153" s="15" t="n">
        <f aca="false">B153-4</f>
        <v>5.757241</v>
      </c>
      <c r="F153" s="17" t="n">
        <f aca="false">IF(B153&gt;=4,1,0)</f>
        <v>1</v>
      </c>
      <c r="G153" s="17" t="n">
        <f aca="false">IF(ABS(E153)&lt;=1.5,1,0)</f>
        <v>0</v>
      </c>
      <c r="H153" s="15" t="n">
        <f aca="false">IF(ABS(E153)&lt;=1.5,1-ABS(E153)/1.5,0)</f>
        <v>0</v>
      </c>
      <c r="I153" s="15" t="n">
        <f aca="false">ABS(E153)</f>
        <v>5.757241</v>
      </c>
    </row>
    <row r="154" customFormat="false" ht="15" hidden="false" customHeight="false" outlineLevel="0" collapsed="false">
      <c r="A154" s="5" t="s">
        <v>190</v>
      </c>
      <c r="B154" s="15" t="n">
        <v>1.777473</v>
      </c>
      <c r="C154" s="5" t="s">
        <v>37</v>
      </c>
      <c r="D154" s="16" t="n">
        <v>47.4547</v>
      </c>
      <c r="E154" s="15" t="n">
        <f aca="false">B154-4</f>
        <v>-2.222527</v>
      </c>
      <c r="F154" s="17" t="n">
        <f aca="false">IF(B154&gt;=4,1,0)</f>
        <v>0</v>
      </c>
      <c r="G154" s="17" t="n">
        <f aca="false">IF(ABS(E154)&lt;=1.5,1,0)</f>
        <v>0</v>
      </c>
      <c r="H154" s="15" t="n">
        <f aca="false">IF(ABS(E154)&lt;=1.5,1-ABS(E154)/1.5,0)</f>
        <v>0</v>
      </c>
      <c r="I154" s="15" t="n">
        <f aca="false">ABS(E154)</f>
        <v>2.222527</v>
      </c>
    </row>
    <row r="155" customFormat="false" ht="15" hidden="false" customHeight="false" outlineLevel="0" collapsed="false">
      <c r="A155" s="5" t="s">
        <v>191</v>
      </c>
      <c r="B155" s="15" t="n">
        <v>0.172732</v>
      </c>
      <c r="C155" s="5" t="s">
        <v>37</v>
      </c>
      <c r="D155" s="16" t="n">
        <v>43.3346</v>
      </c>
      <c r="E155" s="15" t="n">
        <f aca="false">B155-4</f>
        <v>-3.827268</v>
      </c>
      <c r="F155" s="17" t="n">
        <f aca="false">IF(B155&gt;=4,1,0)</f>
        <v>0</v>
      </c>
      <c r="G155" s="17" t="n">
        <f aca="false">IF(ABS(E155)&lt;=1.5,1,0)</f>
        <v>0</v>
      </c>
      <c r="H155" s="15" t="n">
        <f aca="false">IF(ABS(E155)&lt;=1.5,1-ABS(E155)/1.5,0)</f>
        <v>0</v>
      </c>
      <c r="I155" s="15" t="n">
        <f aca="false">ABS(E155)</f>
        <v>3.827268</v>
      </c>
    </row>
    <row r="156" customFormat="false" ht="15" hidden="false" customHeight="false" outlineLevel="0" collapsed="false">
      <c r="A156" s="5" t="s">
        <v>192</v>
      </c>
      <c r="B156" s="15" t="n">
        <v>0.034744</v>
      </c>
      <c r="C156" s="5" t="s">
        <v>37</v>
      </c>
      <c r="D156" s="16" t="n">
        <v>62.3083</v>
      </c>
      <c r="E156" s="15" t="n">
        <f aca="false">B156-4</f>
        <v>-3.965256</v>
      </c>
      <c r="F156" s="17" t="n">
        <f aca="false">IF(B156&gt;=4,1,0)</f>
        <v>0</v>
      </c>
      <c r="G156" s="17" t="n">
        <f aca="false">IF(ABS(E156)&lt;=1.5,1,0)</f>
        <v>0</v>
      </c>
      <c r="H156" s="15" t="n">
        <f aca="false">IF(ABS(E156)&lt;=1.5,1-ABS(E156)/1.5,0)</f>
        <v>0</v>
      </c>
      <c r="I156" s="15" t="n">
        <f aca="false">ABS(E156)</f>
        <v>3.965256</v>
      </c>
    </row>
    <row r="157" customFormat="false" ht="15" hidden="false" customHeight="false" outlineLevel="0" collapsed="false">
      <c r="A157" s="5" t="s">
        <v>193</v>
      </c>
      <c r="B157" s="15" t="n">
        <v>6.571241</v>
      </c>
      <c r="C157" s="5" t="s">
        <v>39</v>
      </c>
      <c r="D157" s="16" t="n">
        <v>33.0108</v>
      </c>
      <c r="E157" s="15" t="n">
        <f aca="false">B157-4</f>
        <v>2.571241</v>
      </c>
      <c r="F157" s="17" t="n">
        <f aca="false">IF(B157&gt;=4,1,0)</f>
        <v>1</v>
      </c>
      <c r="G157" s="17" t="n">
        <f aca="false">IF(ABS(E157)&lt;=1.5,1,0)</f>
        <v>0</v>
      </c>
      <c r="H157" s="15" t="n">
        <f aca="false">IF(ABS(E157)&lt;=1.5,1-ABS(E157)/1.5,0)</f>
        <v>0</v>
      </c>
      <c r="I157" s="15" t="n">
        <f aca="false">ABS(E157)</f>
        <v>2.571241</v>
      </c>
    </row>
    <row r="158" customFormat="false" ht="15" hidden="false" customHeight="false" outlineLevel="0" collapsed="false">
      <c r="A158" s="5" t="s">
        <v>194</v>
      </c>
      <c r="B158" s="15" t="n">
        <v>2.213951</v>
      </c>
      <c r="C158" s="5" t="s">
        <v>37</v>
      </c>
      <c r="D158" s="16" t="n">
        <v>41.024</v>
      </c>
      <c r="E158" s="15" t="n">
        <f aca="false">B158-4</f>
        <v>-1.786049</v>
      </c>
      <c r="F158" s="17" t="n">
        <f aca="false">IF(B158&gt;=4,1,0)</f>
        <v>0</v>
      </c>
      <c r="G158" s="17" t="n">
        <f aca="false">IF(ABS(E158)&lt;=1.5,1,0)</f>
        <v>0</v>
      </c>
      <c r="H158" s="15" t="n">
        <f aca="false">IF(ABS(E158)&lt;=1.5,1-ABS(E158)/1.5,0)</f>
        <v>0</v>
      </c>
      <c r="I158" s="15" t="n">
        <f aca="false">ABS(E158)</f>
        <v>1.786049</v>
      </c>
    </row>
    <row r="159" customFormat="false" ht="15" hidden="false" customHeight="false" outlineLevel="0" collapsed="false">
      <c r="A159" s="5" t="s">
        <v>195</v>
      </c>
      <c r="B159" s="15" t="n">
        <v>4.017732</v>
      </c>
      <c r="C159" s="5" t="s">
        <v>39</v>
      </c>
      <c r="D159" s="16" t="n">
        <v>40.5096</v>
      </c>
      <c r="E159" s="15" t="n">
        <f aca="false">B159-4</f>
        <v>0.0177319999999996</v>
      </c>
      <c r="F159" s="17" t="n">
        <f aca="false">IF(B159&gt;=4,1,0)</f>
        <v>1</v>
      </c>
      <c r="G159" s="17" t="n">
        <f aca="false">IF(ABS(E159)&lt;=1.5,1,0)</f>
        <v>1</v>
      </c>
      <c r="H159" s="15" t="n">
        <f aca="false">IF(ABS(E159)&lt;=1.5,1-ABS(E159)/1.5,0)</f>
        <v>0.988178666666667</v>
      </c>
      <c r="I159" s="15" t="n">
        <f aca="false">ABS(E159)</f>
        <v>0.0177319999999996</v>
      </c>
    </row>
    <row r="160" customFormat="false" ht="15" hidden="false" customHeight="false" outlineLevel="0" collapsed="false">
      <c r="A160" s="5" t="s">
        <v>196</v>
      </c>
      <c r="B160" s="15" t="n">
        <v>0.692212</v>
      </c>
      <c r="C160" s="5" t="s">
        <v>37</v>
      </c>
      <c r="D160" s="16" t="n">
        <v>66.6691</v>
      </c>
      <c r="E160" s="15" t="n">
        <f aca="false">B160-4</f>
        <v>-3.307788</v>
      </c>
      <c r="F160" s="17" t="n">
        <f aca="false">IF(B160&gt;=4,1,0)</f>
        <v>0</v>
      </c>
      <c r="G160" s="17" t="n">
        <f aca="false">IF(ABS(E160)&lt;=1.5,1,0)</f>
        <v>0</v>
      </c>
      <c r="H160" s="15" t="n">
        <f aca="false">IF(ABS(E160)&lt;=1.5,1-ABS(E160)/1.5,0)</f>
        <v>0</v>
      </c>
      <c r="I160" s="15" t="n">
        <f aca="false">ABS(E160)</f>
        <v>3.307788</v>
      </c>
    </row>
    <row r="161" customFormat="false" ht="15" hidden="false" customHeight="false" outlineLevel="0" collapsed="false">
      <c r="A161" s="5" t="s">
        <v>197</v>
      </c>
      <c r="B161" s="15" t="n">
        <v>2.712327</v>
      </c>
      <c r="C161" s="5" t="s">
        <v>37</v>
      </c>
      <c r="D161" s="16" t="n">
        <v>27.2072</v>
      </c>
      <c r="E161" s="15" t="n">
        <f aca="false">B161-4</f>
        <v>-1.287673</v>
      </c>
      <c r="F161" s="17" t="n">
        <f aca="false">IF(B161&gt;=4,1,0)</f>
        <v>0</v>
      </c>
      <c r="G161" s="17" t="n">
        <f aca="false">IF(ABS(E161)&lt;=1.5,1,0)</f>
        <v>1</v>
      </c>
      <c r="H161" s="15" t="n">
        <f aca="false">IF(ABS(E161)&lt;=1.5,1-ABS(E161)/1.5,0)</f>
        <v>0.141551333333333</v>
      </c>
      <c r="I161" s="15" t="n">
        <f aca="false">ABS(E161)</f>
        <v>1.287673</v>
      </c>
    </row>
    <row r="162" customFormat="false" ht="15" hidden="false" customHeight="false" outlineLevel="0" collapsed="false">
      <c r="A162" s="5" t="s">
        <v>198</v>
      </c>
      <c r="B162" s="15" t="n">
        <v>0.607746</v>
      </c>
      <c r="C162" s="5" t="s">
        <v>37</v>
      </c>
      <c r="D162" s="16" t="n">
        <v>48.1108</v>
      </c>
      <c r="E162" s="15" t="n">
        <f aca="false">B162-4</f>
        <v>-3.392254</v>
      </c>
      <c r="F162" s="17" t="n">
        <f aca="false">IF(B162&gt;=4,1,0)</f>
        <v>0</v>
      </c>
      <c r="G162" s="17" t="n">
        <f aca="false">IF(ABS(E162)&lt;=1.5,1,0)</f>
        <v>0</v>
      </c>
      <c r="H162" s="15" t="n">
        <f aca="false">IF(ABS(E162)&lt;=1.5,1-ABS(E162)/1.5,0)</f>
        <v>0</v>
      </c>
      <c r="I162" s="15" t="n">
        <f aca="false">ABS(E162)</f>
        <v>3.392254</v>
      </c>
    </row>
    <row r="163" customFormat="false" ht="15" hidden="false" customHeight="false" outlineLevel="0" collapsed="false">
      <c r="A163" s="5" t="s">
        <v>199</v>
      </c>
      <c r="B163" s="15" t="n">
        <v>0.599052</v>
      </c>
      <c r="C163" s="5" t="s">
        <v>37</v>
      </c>
      <c r="D163" s="16" t="n">
        <v>49.4639</v>
      </c>
      <c r="E163" s="15" t="n">
        <f aca="false">B163-4</f>
        <v>-3.400948</v>
      </c>
      <c r="F163" s="17" t="n">
        <f aca="false">IF(B163&gt;=4,1,0)</f>
        <v>0</v>
      </c>
      <c r="G163" s="17" t="n">
        <f aca="false">IF(ABS(E163)&lt;=1.5,1,0)</f>
        <v>0</v>
      </c>
      <c r="H163" s="15" t="n">
        <f aca="false">IF(ABS(E163)&lt;=1.5,1-ABS(E163)/1.5,0)</f>
        <v>0</v>
      </c>
      <c r="I163" s="15" t="n">
        <f aca="false">ABS(E163)</f>
        <v>3.400948</v>
      </c>
    </row>
    <row r="164" customFormat="false" ht="15" hidden="false" customHeight="false" outlineLevel="0" collapsed="false">
      <c r="A164" s="5" t="s">
        <v>200</v>
      </c>
      <c r="B164" s="15" t="n">
        <v>0.318911</v>
      </c>
      <c r="C164" s="5" t="s">
        <v>37</v>
      </c>
      <c r="D164" s="16" t="n">
        <v>42.545</v>
      </c>
      <c r="E164" s="15" t="n">
        <f aca="false">B164-4</f>
        <v>-3.681089</v>
      </c>
      <c r="F164" s="17" t="n">
        <f aca="false">IF(B164&gt;=4,1,0)</f>
        <v>0</v>
      </c>
      <c r="G164" s="17" t="n">
        <f aca="false">IF(ABS(E164)&lt;=1.5,1,0)</f>
        <v>0</v>
      </c>
      <c r="H164" s="15" t="n">
        <f aca="false">IF(ABS(E164)&lt;=1.5,1-ABS(E164)/1.5,0)</f>
        <v>0</v>
      </c>
      <c r="I164" s="15" t="n">
        <f aca="false">ABS(E164)</f>
        <v>3.681089</v>
      </c>
    </row>
    <row r="165" customFormat="false" ht="15" hidden="false" customHeight="false" outlineLevel="0" collapsed="false">
      <c r="A165" s="5" t="s">
        <v>201</v>
      </c>
      <c r="B165" s="15" t="n">
        <v>4.381654</v>
      </c>
      <c r="C165" s="5" t="s">
        <v>39</v>
      </c>
      <c r="D165" s="16" t="n">
        <v>53.1269</v>
      </c>
      <c r="E165" s="15" t="n">
        <f aca="false">B165-4</f>
        <v>0.381654</v>
      </c>
      <c r="F165" s="17" t="n">
        <f aca="false">IF(B165&gt;=4,1,0)</f>
        <v>1</v>
      </c>
      <c r="G165" s="17" t="n">
        <f aca="false">IF(ABS(E165)&lt;=1.5,1,0)</f>
        <v>1</v>
      </c>
      <c r="H165" s="15" t="n">
        <f aca="false">IF(ABS(E165)&lt;=1.5,1-ABS(E165)/1.5,0)</f>
        <v>0.745564</v>
      </c>
      <c r="I165" s="15" t="n">
        <f aca="false">ABS(E165)</f>
        <v>0.381654</v>
      </c>
    </row>
    <row r="166" customFormat="false" ht="15" hidden="false" customHeight="false" outlineLevel="0" collapsed="false">
      <c r="A166" s="5" t="s">
        <v>202</v>
      </c>
      <c r="B166" s="15" t="n">
        <v>4.001512</v>
      </c>
      <c r="C166" s="5" t="s">
        <v>39</v>
      </c>
      <c r="D166" s="16" t="n">
        <v>26.9267</v>
      </c>
      <c r="E166" s="15" t="n">
        <f aca="false">B166-4</f>
        <v>0.00151199999999996</v>
      </c>
      <c r="F166" s="17" t="n">
        <f aca="false">IF(B166&gt;=4,1,0)</f>
        <v>1</v>
      </c>
      <c r="G166" s="17" t="n">
        <f aca="false">IF(ABS(E166)&lt;=1.5,1,0)</f>
        <v>1</v>
      </c>
      <c r="H166" s="15" t="n">
        <f aca="false">IF(ABS(E166)&lt;=1.5,1-ABS(E166)/1.5,0)</f>
        <v>0.998992</v>
      </c>
      <c r="I166" s="15" t="n">
        <f aca="false">ABS(E166)</f>
        <v>0.00151199999999996</v>
      </c>
    </row>
    <row r="167" customFormat="false" ht="15" hidden="false" customHeight="false" outlineLevel="0" collapsed="false">
      <c r="A167" s="5" t="s">
        <v>203</v>
      </c>
      <c r="B167" s="15" t="n">
        <v>2.23521</v>
      </c>
      <c r="C167" s="5" t="s">
        <v>37</v>
      </c>
      <c r="D167" s="16" t="n">
        <v>48.6462</v>
      </c>
      <c r="E167" s="15" t="n">
        <f aca="false">B167-4</f>
        <v>-1.76479</v>
      </c>
      <c r="F167" s="17" t="n">
        <f aca="false">IF(B167&gt;=4,1,0)</f>
        <v>0</v>
      </c>
      <c r="G167" s="17" t="n">
        <f aca="false">IF(ABS(E167)&lt;=1.5,1,0)</f>
        <v>0</v>
      </c>
      <c r="H167" s="15" t="n">
        <f aca="false">IF(ABS(E167)&lt;=1.5,1-ABS(E167)/1.5,0)</f>
        <v>0</v>
      </c>
      <c r="I167" s="15" t="n">
        <f aca="false">ABS(E167)</f>
        <v>1.76479</v>
      </c>
    </row>
    <row r="168" customFormat="false" ht="15" hidden="false" customHeight="false" outlineLevel="0" collapsed="false">
      <c r="A168" s="5" t="s">
        <v>204</v>
      </c>
      <c r="B168" s="15" t="n">
        <v>2.271174</v>
      </c>
      <c r="C168" s="5" t="s">
        <v>37</v>
      </c>
      <c r="D168" s="16" t="n">
        <v>56.2137</v>
      </c>
      <c r="E168" s="15" t="n">
        <f aca="false">B168-4</f>
        <v>-1.728826</v>
      </c>
      <c r="F168" s="17" t="n">
        <f aca="false">IF(B168&gt;=4,1,0)</f>
        <v>0</v>
      </c>
      <c r="G168" s="17" t="n">
        <f aca="false">IF(ABS(E168)&lt;=1.5,1,0)</f>
        <v>0</v>
      </c>
      <c r="H168" s="15" t="n">
        <f aca="false">IF(ABS(E168)&lt;=1.5,1-ABS(E168)/1.5,0)</f>
        <v>0</v>
      </c>
      <c r="I168" s="15" t="n">
        <f aca="false">ABS(E168)</f>
        <v>1.728826</v>
      </c>
    </row>
    <row r="169" customFormat="false" ht="15" hidden="false" customHeight="false" outlineLevel="0" collapsed="false">
      <c r="A169" s="5" t="s">
        <v>205</v>
      </c>
      <c r="B169" s="15" t="n">
        <v>4.827619</v>
      </c>
      <c r="C169" s="5" t="s">
        <v>39</v>
      </c>
      <c r="D169" s="16" t="n">
        <v>39.2711</v>
      </c>
      <c r="E169" s="15" t="n">
        <f aca="false">B169-4</f>
        <v>0.827619</v>
      </c>
      <c r="F169" s="17" t="n">
        <f aca="false">IF(B169&gt;=4,1,0)</f>
        <v>1</v>
      </c>
      <c r="G169" s="17" t="n">
        <f aca="false">IF(ABS(E169)&lt;=1.5,1,0)</f>
        <v>1</v>
      </c>
      <c r="H169" s="15" t="n">
        <f aca="false">IF(ABS(E169)&lt;=1.5,1-ABS(E169)/1.5,0)</f>
        <v>0.448254</v>
      </c>
      <c r="I169" s="15" t="n">
        <f aca="false">ABS(E169)</f>
        <v>0.827619</v>
      </c>
    </row>
    <row r="170" customFormat="false" ht="15" hidden="false" customHeight="false" outlineLevel="0" collapsed="false">
      <c r="A170" s="5" t="s">
        <v>206</v>
      </c>
      <c r="B170" s="15" t="n">
        <v>0.62414</v>
      </c>
      <c r="C170" s="5" t="s">
        <v>37</v>
      </c>
      <c r="D170" s="16" t="n">
        <v>28.2288</v>
      </c>
      <c r="E170" s="15" t="n">
        <f aca="false">B170-4</f>
        <v>-3.37586</v>
      </c>
      <c r="F170" s="17" t="n">
        <f aca="false">IF(B170&gt;=4,1,0)</f>
        <v>0</v>
      </c>
      <c r="G170" s="17" t="n">
        <f aca="false">IF(ABS(E170)&lt;=1.5,1,0)</f>
        <v>0</v>
      </c>
      <c r="H170" s="15" t="n">
        <f aca="false">IF(ABS(E170)&lt;=1.5,1-ABS(E170)/1.5,0)</f>
        <v>0</v>
      </c>
      <c r="I170" s="15" t="n">
        <f aca="false">ABS(E170)</f>
        <v>3.37586</v>
      </c>
    </row>
    <row r="171" customFormat="false" ht="15" hidden="false" customHeight="false" outlineLevel="0" collapsed="false">
      <c r="A171" s="5" t="s">
        <v>207</v>
      </c>
      <c r="B171" s="15" t="n">
        <v>1.569912</v>
      </c>
      <c r="C171" s="5" t="s">
        <v>37</v>
      </c>
      <c r="D171" s="16" t="n">
        <v>48.238</v>
      </c>
      <c r="E171" s="15" t="n">
        <f aca="false">B171-4</f>
        <v>-2.430088</v>
      </c>
      <c r="F171" s="17" t="n">
        <f aca="false">IF(B171&gt;=4,1,0)</f>
        <v>0</v>
      </c>
      <c r="G171" s="17" t="n">
        <f aca="false">IF(ABS(E171)&lt;=1.5,1,0)</f>
        <v>0</v>
      </c>
      <c r="H171" s="15" t="n">
        <f aca="false">IF(ABS(E171)&lt;=1.5,1-ABS(E171)/1.5,0)</f>
        <v>0</v>
      </c>
      <c r="I171" s="15" t="n">
        <f aca="false">ABS(E171)</f>
        <v>2.430088</v>
      </c>
    </row>
    <row r="172" customFormat="false" ht="15" hidden="false" customHeight="false" outlineLevel="0" collapsed="false">
      <c r="A172" s="5" t="s">
        <v>208</v>
      </c>
      <c r="B172" s="15" t="n">
        <v>2.970458</v>
      </c>
      <c r="C172" s="5" t="s">
        <v>37</v>
      </c>
      <c r="D172" s="16" t="n">
        <v>42.9229</v>
      </c>
      <c r="E172" s="15" t="n">
        <f aca="false">B172-4</f>
        <v>-1.029542</v>
      </c>
      <c r="F172" s="17" t="n">
        <f aca="false">IF(B172&gt;=4,1,0)</f>
        <v>0</v>
      </c>
      <c r="G172" s="17" t="n">
        <f aca="false">IF(ABS(E172)&lt;=1.5,1,0)</f>
        <v>1</v>
      </c>
      <c r="H172" s="15" t="n">
        <f aca="false">IF(ABS(E172)&lt;=1.5,1-ABS(E172)/1.5,0)</f>
        <v>0.313638666666667</v>
      </c>
      <c r="I172" s="15" t="n">
        <f aca="false">ABS(E172)</f>
        <v>1.029542</v>
      </c>
    </row>
    <row r="173" customFormat="false" ht="15" hidden="false" customHeight="false" outlineLevel="0" collapsed="false">
      <c r="A173" s="5" t="s">
        <v>209</v>
      </c>
      <c r="B173" s="15" t="n">
        <v>2.231493</v>
      </c>
      <c r="C173" s="5" t="s">
        <v>37</v>
      </c>
      <c r="D173" s="16" t="n">
        <v>42.6504</v>
      </c>
      <c r="E173" s="15" t="n">
        <f aca="false">B173-4</f>
        <v>-1.768507</v>
      </c>
      <c r="F173" s="17" t="n">
        <f aca="false">IF(B173&gt;=4,1,0)</f>
        <v>0</v>
      </c>
      <c r="G173" s="17" t="n">
        <f aca="false">IF(ABS(E173)&lt;=1.5,1,0)</f>
        <v>0</v>
      </c>
      <c r="H173" s="15" t="n">
        <f aca="false">IF(ABS(E173)&lt;=1.5,1-ABS(E173)/1.5,0)</f>
        <v>0</v>
      </c>
      <c r="I173" s="15" t="n">
        <f aca="false">ABS(E173)</f>
        <v>1.768507</v>
      </c>
    </row>
    <row r="174" customFormat="false" ht="15" hidden="false" customHeight="false" outlineLevel="0" collapsed="false">
      <c r="A174" s="5" t="s">
        <v>210</v>
      </c>
      <c r="B174" s="15" t="n">
        <v>1.775708</v>
      </c>
      <c r="C174" s="5" t="s">
        <v>37</v>
      </c>
      <c r="D174" s="16" t="n">
        <v>37.0568</v>
      </c>
      <c r="E174" s="15" t="n">
        <f aca="false">B174-4</f>
        <v>-2.224292</v>
      </c>
      <c r="F174" s="17" t="n">
        <f aca="false">IF(B174&gt;=4,1,0)</f>
        <v>0</v>
      </c>
      <c r="G174" s="17" t="n">
        <f aca="false">IF(ABS(E174)&lt;=1.5,1,0)</f>
        <v>0</v>
      </c>
      <c r="H174" s="15" t="n">
        <f aca="false">IF(ABS(E174)&lt;=1.5,1-ABS(E174)/1.5,0)</f>
        <v>0</v>
      </c>
      <c r="I174" s="15" t="n">
        <f aca="false">ABS(E174)</f>
        <v>2.224292</v>
      </c>
    </row>
    <row r="175" customFormat="false" ht="15" hidden="false" customHeight="false" outlineLevel="0" collapsed="false">
      <c r="A175" s="5" t="s">
        <v>211</v>
      </c>
      <c r="B175" s="15" t="n">
        <v>7.114932</v>
      </c>
      <c r="C175" s="5" t="s">
        <v>39</v>
      </c>
      <c r="D175" s="16" t="n">
        <v>75.5136</v>
      </c>
      <c r="E175" s="15" t="n">
        <f aca="false">B175-4</f>
        <v>3.114932</v>
      </c>
      <c r="F175" s="17" t="n">
        <f aca="false">IF(B175&gt;=4,1,0)</f>
        <v>1</v>
      </c>
      <c r="G175" s="17" t="n">
        <f aca="false">IF(ABS(E175)&lt;=1.5,1,0)</f>
        <v>0</v>
      </c>
      <c r="H175" s="15" t="n">
        <f aca="false">IF(ABS(E175)&lt;=1.5,1-ABS(E175)/1.5,0)</f>
        <v>0</v>
      </c>
      <c r="I175" s="15" t="n">
        <f aca="false">ABS(E175)</f>
        <v>3.114932</v>
      </c>
    </row>
    <row r="176" customFormat="false" ht="15" hidden="false" customHeight="false" outlineLevel="0" collapsed="false">
      <c r="A176" s="5" t="s">
        <v>212</v>
      </c>
      <c r="B176" s="15" t="n">
        <v>1.704369</v>
      </c>
      <c r="C176" s="5" t="s">
        <v>37</v>
      </c>
      <c r="D176" s="16" t="n">
        <v>45.1489</v>
      </c>
      <c r="E176" s="15" t="n">
        <f aca="false">B176-4</f>
        <v>-2.295631</v>
      </c>
      <c r="F176" s="17" t="n">
        <f aca="false">IF(B176&gt;=4,1,0)</f>
        <v>0</v>
      </c>
      <c r="G176" s="17" t="n">
        <f aca="false">IF(ABS(E176)&lt;=1.5,1,0)</f>
        <v>0</v>
      </c>
      <c r="H176" s="15" t="n">
        <f aca="false">IF(ABS(E176)&lt;=1.5,1-ABS(E176)/1.5,0)</f>
        <v>0</v>
      </c>
      <c r="I176" s="15" t="n">
        <f aca="false">ABS(E176)</f>
        <v>2.295631</v>
      </c>
    </row>
    <row r="177" customFormat="false" ht="15" hidden="false" customHeight="false" outlineLevel="0" collapsed="false">
      <c r="A177" s="5" t="s">
        <v>213</v>
      </c>
      <c r="B177" s="15" t="n">
        <v>5.685015</v>
      </c>
      <c r="C177" s="5" t="s">
        <v>39</v>
      </c>
      <c r="D177" s="16" t="n">
        <v>36.2991</v>
      </c>
      <c r="E177" s="15" t="n">
        <f aca="false">B177-4</f>
        <v>1.685015</v>
      </c>
      <c r="F177" s="17" t="n">
        <f aca="false">IF(B177&gt;=4,1,0)</f>
        <v>1</v>
      </c>
      <c r="G177" s="17" t="n">
        <f aca="false">IF(ABS(E177)&lt;=1.5,1,0)</f>
        <v>0</v>
      </c>
      <c r="H177" s="15" t="n">
        <f aca="false">IF(ABS(E177)&lt;=1.5,1-ABS(E177)/1.5,0)</f>
        <v>0</v>
      </c>
      <c r="I177" s="15" t="n">
        <f aca="false">ABS(E177)</f>
        <v>1.685015</v>
      </c>
    </row>
    <row r="178" customFormat="false" ht="15" hidden="false" customHeight="false" outlineLevel="0" collapsed="false">
      <c r="A178" s="5" t="s">
        <v>214</v>
      </c>
      <c r="B178" s="15" t="n">
        <v>4.733422</v>
      </c>
      <c r="C178" s="5" t="s">
        <v>39</v>
      </c>
      <c r="D178" s="16" t="n">
        <v>60.8863</v>
      </c>
      <c r="E178" s="15" t="n">
        <f aca="false">B178-4</f>
        <v>0.733422</v>
      </c>
      <c r="F178" s="17" t="n">
        <f aca="false">IF(B178&gt;=4,1,0)</f>
        <v>1</v>
      </c>
      <c r="G178" s="17" t="n">
        <f aca="false">IF(ABS(E178)&lt;=1.5,1,0)</f>
        <v>1</v>
      </c>
      <c r="H178" s="15" t="n">
        <f aca="false">IF(ABS(E178)&lt;=1.5,1-ABS(E178)/1.5,0)</f>
        <v>0.511052</v>
      </c>
      <c r="I178" s="15" t="n">
        <f aca="false">ABS(E178)</f>
        <v>0.733422</v>
      </c>
    </row>
    <row r="179" customFormat="false" ht="15" hidden="false" customHeight="false" outlineLevel="0" collapsed="false">
      <c r="A179" s="5" t="s">
        <v>215</v>
      </c>
      <c r="B179" s="15" t="n">
        <v>2.210973</v>
      </c>
      <c r="C179" s="5" t="s">
        <v>37</v>
      </c>
      <c r="D179" s="16" t="n">
        <v>51.8859</v>
      </c>
      <c r="E179" s="15" t="n">
        <f aca="false">B179-4</f>
        <v>-1.789027</v>
      </c>
      <c r="F179" s="17" t="n">
        <f aca="false">IF(B179&gt;=4,1,0)</f>
        <v>0</v>
      </c>
      <c r="G179" s="17" t="n">
        <f aca="false">IF(ABS(E179)&lt;=1.5,1,0)</f>
        <v>0</v>
      </c>
      <c r="H179" s="15" t="n">
        <f aca="false">IF(ABS(E179)&lt;=1.5,1-ABS(E179)/1.5,0)</f>
        <v>0</v>
      </c>
      <c r="I179" s="15" t="n">
        <f aca="false">ABS(E179)</f>
        <v>1.789027</v>
      </c>
    </row>
    <row r="180" customFormat="false" ht="15" hidden="false" customHeight="false" outlineLevel="0" collapsed="false">
      <c r="A180" s="5" t="s">
        <v>216</v>
      </c>
      <c r="B180" s="15" t="n">
        <v>1.612034</v>
      </c>
      <c r="C180" s="5" t="s">
        <v>37</v>
      </c>
      <c r="D180" s="16" t="n">
        <v>64.2615</v>
      </c>
      <c r="E180" s="15" t="n">
        <f aca="false">B180-4</f>
        <v>-2.387966</v>
      </c>
      <c r="F180" s="17" t="n">
        <f aca="false">IF(B180&gt;=4,1,0)</f>
        <v>0</v>
      </c>
      <c r="G180" s="17" t="n">
        <f aca="false">IF(ABS(E180)&lt;=1.5,1,0)</f>
        <v>0</v>
      </c>
      <c r="H180" s="15" t="n">
        <f aca="false">IF(ABS(E180)&lt;=1.5,1-ABS(E180)/1.5,0)</f>
        <v>0</v>
      </c>
      <c r="I180" s="15" t="n">
        <f aca="false">ABS(E180)</f>
        <v>2.387966</v>
      </c>
    </row>
    <row r="181" customFormat="false" ht="15" hidden="false" customHeight="false" outlineLevel="0" collapsed="false">
      <c r="A181" s="5" t="s">
        <v>217</v>
      </c>
      <c r="B181" s="15" t="n">
        <v>3.454171</v>
      </c>
      <c r="C181" s="5" t="s">
        <v>37</v>
      </c>
      <c r="D181" s="16" t="n">
        <v>48.4003</v>
      </c>
      <c r="E181" s="15" t="n">
        <f aca="false">B181-4</f>
        <v>-0.545829</v>
      </c>
      <c r="F181" s="17" t="n">
        <f aca="false">IF(B181&gt;=4,1,0)</f>
        <v>0</v>
      </c>
      <c r="G181" s="17" t="n">
        <f aca="false">IF(ABS(E181)&lt;=1.5,1,0)</f>
        <v>1</v>
      </c>
      <c r="H181" s="15" t="n">
        <f aca="false">IF(ABS(E181)&lt;=1.5,1-ABS(E181)/1.5,0)</f>
        <v>0.636114</v>
      </c>
      <c r="I181" s="15" t="n">
        <f aca="false">ABS(E181)</f>
        <v>0.545829</v>
      </c>
    </row>
    <row r="182" customFormat="false" ht="15" hidden="false" customHeight="false" outlineLevel="0" collapsed="false">
      <c r="A182" s="5" t="s">
        <v>218</v>
      </c>
      <c r="B182" s="15" t="n">
        <v>4.311134</v>
      </c>
      <c r="C182" s="5" t="s">
        <v>39</v>
      </c>
      <c r="D182" s="16" t="n">
        <v>33.798</v>
      </c>
      <c r="E182" s="15" t="n">
        <f aca="false">B182-4</f>
        <v>0.311134</v>
      </c>
      <c r="F182" s="17" t="n">
        <f aca="false">IF(B182&gt;=4,1,0)</f>
        <v>1</v>
      </c>
      <c r="G182" s="17" t="n">
        <f aca="false">IF(ABS(E182)&lt;=1.5,1,0)</f>
        <v>1</v>
      </c>
      <c r="H182" s="15" t="n">
        <f aca="false">IF(ABS(E182)&lt;=1.5,1-ABS(E182)/1.5,0)</f>
        <v>0.792577333333333</v>
      </c>
      <c r="I182" s="15" t="n">
        <f aca="false">ABS(E182)</f>
        <v>0.311134</v>
      </c>
    </row>
    <row r="183" customFormat="false" ht="15" hidden="false" customHeight="false" outlineLevel="0" collapsed="false">
      <c r="A183" s="5" t="s">
        <v>219</v>
      </c>
      <c r="B183" s="15" t="n">
        <v>0.114007</v>
      </c>
      <c r="C183" s="5" t="s">
        <v>37</v>
      </c>
      <c r="D183" s="16" t="n">
        <v>58.8568</v>
      </c>
      <c r="E183" s="15" t="n">
        <f aca="false">B183-4</f>
        <v>-3.885993</v>
      </c>
      <c r="F183" s="17" t="n">
        <f aca="false">IF(B183&gt;=4,1,0)</f>
        <v>0</v>
      </c>
      <c r="G183" s="17" t="n">
        <f aca="false">IF(ABS(E183)&lt;=1.5,1,0)</f>
        <v>0</v>
      </c>
      <c r="H183" s="15" t="n">
        <f aca="false">IF(ABS(E183)&lt;=1.5,1-ABS(E183)/1.5,0)</f>
        <v>0</v>
      </c>
      <c r="I183" s="15" t="n">
        <f aca="false">ABS(E183)</f>
        <v>3.885993</v>
      </c>
    </row>
    <row r="184" customFormat="false" ht="15" hidden="false" customHeight="false" outlineLevel="0" collapsed="false">
      <c r="A184" s="5" t="s">
        <v>220</v>
      </c>
      <c r="B184" s="15" t="n">
        <v>4.337182</v>
      </c>
      <c r="C184" s="5" t="s">
        <v>39</v>
      </c>
      <c r="D184" s="16" t="n">
        <v>44.5078</v>
      </c>
      <c r="E184" s="15" t="n">
        <f aca="false">B184-4</f>
        <v>0.337182</v>
      </c>
      <c r="F184" s="17" t="n">
        <f aca="false">IF(B184&gt;=4,1,0)</f>
        <v>1</v>
      </c>
      <c r="G184" s="17" t="n">
        <f aca="false">IF(ABS(E184)&lt;=1.5,1,0)</f>
        <v>1</v>
      </c>
      <c r="H184" s="15" t="n">
        <f aca="false">IF(ABS(E184)&lt;=1.5,1-ABS(E184)/1.5,0)</f>
        <v>0.775212</v>
      </c>
      <c r="I184" s="15" t="n">
        <f aca="false">ABS(E184)</f>
        <v>0.337182</v>
      </c>
    </row>
    <row r="185" customFormat="false" ht="15" hidden="false" customHeight="false" outlineLevel="0" collapsed="false">
      <c r="A185" s="5" t="s">
        <v>221</v>
      </c>
      <c r="B185" s="15" t="n">
        <v>2.483404</v>
      </c>
      <c r="C185" s="5" t="s">
        <v>37</v>
      </c>
      <c r="D185" s="16" t="n">
        <v>46.2206</v>
      </c>
      <c r="E185" s="15" t="n">
        <f aca="false">B185-4</f>
        <v>-1.516596</v>
      </c>
      <c r="F185" s="17" t="n">
        <f aca="false">IF(B185&gt;=4,1,0)</f>
        <v>0</v>
      </c>
      <c r="G185" s="17" t="n">
        <f aca="false">IF(ABS(E185)&lt;=1.5,1,0)</f>
        <v>0</v>
      </c>
      <c r="H185" s="15" t="n">
        <f aca="false">IF(ABS(E185)&lt;=1.5,1-ABS(E185)/1.5,0)</f>
        <v>0</v>
      </c>
      <c r="I185" s="15" t="n">
        <f aca="false">ABS(E185)</f>
        <v>1.516596</v>
      </c>
    </row>
    <row r="186" customFormat="false" ht="15" hidden="false" customHeight="false" outlineLevel="0" collapsed="false">
      <c r="A186" s="5" t="s">
        <v>222</v>
      </c>
      <c r="B186" s="15" t="n">
        <v>3.272496</v>
      </c>
      <c r="C186" s="5" t="s">
        <v>37</v>
      </c>
      <c r="D186" s="16" t="n">
        <v>57.5136</v>
      </c>
      <c r="E186" s="15" t="n">
        <f aca="false">B186-4</f>
        <v>-0.727504</v>
      </c>
      <c r="F186" s="17" t="n">
        <f aca="false">IF(B186&gt;=4,1,0)</f>
        <v>0</v>
      </c>
      <c r="G186" s="17" t="n">
        <f aca="false">IF(ABS(E186)&lt;=1.5,1,0)</f>
        <v>1</v>
      </c>
      <c r="H186" s="15" t="n">
        <f aca="false">IF(ABS(E186)&lt;=1.5,1-ABS(E186)/1.5,0)</f>
        <v>0.514997333333333</v>
      </c>
      <c r="I186" s="15" t="n">
        <f aca="false">ABS(E186)</f>
        <v>0.727504</v>
      </c>
    </row>
    <row r="187" customFormat="false" ht="15" hidden="false" customHeight="false" outlineLevel="0" collapsed="false">
      <c r="A187" s="5" t="s">
        <v>223</v>
      </c>
      <c r="B187" s="15" t="n">
        <v>5.279384</v>
      </c>
      <c r="C187" s="5" t="s">
        <v>39</v>
      </c>
      <c r="D187" s="16" t="n">
        <v>30.5173</v>
      </c>
      <c r="E187" s="15" t="n">
        <f aca="false">B187-4</f>
        <v>1.279384</v>
      </c>
      <c r="F187" s="17" t="n">
        <f aca="false">IF(B187&gt;=4,1,0)</f>
        <v>1</v>
      </c>
      <c r="G187" s="17" t="n">
        <f aca="false">IF(ABS(E187)&lt;=1.5,1,0)</f>
        <v>1</v>
      </c>
      <c r="H187" s="15" t="n">
        <f aca="false">IF(ABS(E187)&lt;=1.5,1-ABS(E187)/1.5,0)</f>
        <v>0.147077333333333</v>
      </c>
      <c r="I187" s="15" t="n">
        <f aca="false">ABS(E187)</f>
        <v>1.279384</v>
      </c>
    </row>
    <row r="188" customFormat="false" ht="15" hidden="false" customHeight="false" outlineLevel="0" collapsed="false">
      <c r="A188" s="5" t="s">
        <v>224</v>
      </c>
      <c r="B188" s="15" t="n">
        <v>2.726208</v>
      </c>
      <c r="C188" s="5" t="s">
        <v>37</v>
      </c>
      <c r="D188" s="16" t="n">
        <v>41.9132</v>
      </c>
      <c r="E188" s="15" t="n">
        <f aca="false">B188-4</f>
        <v>-1.273792</v>
      </c>
      <c r="F188" s="17" t="n">
        <f aca="false">IF(B188&gt;=4,1,0)</f>
        <v>0</v>
      </c>
      <c r="G188" s="17" t="n">
        <f aca="false">IF(ABS(E188)&lt;=1.5,1,0)</f>
        <v>1</v>
      </c>
      <c r="H188" s="15" t="n">
        <f aca="false">IF(ABS(E188)&lt;=1.5,1-ABS(E188)/1.5,0)</f>
        <v>0.150805333333333</v>
      </c>
      <c r="I188" s="15" t="n">
        <f aca="false">ABS(E188)</f>
        <v>1.273792</v>
      </c>
    </row>
    <row r="189" customFormat="false" ht="15" hidden="false" customHeight="false" outlineLevel="0" collapsed="false">
      <c r="A189" s="5" t="s">
        <v>225</v>
      </c>
      <c r="B189" s="15" t="n">
        <v>1.908248</v>
      </c>
      <c r="C189" s="5" t="s">
        <v>37</v>
      </c>
      <c r="D189" s="16" t="n">
        <v>46.9372</v>
      </c>
      <c r="E189" s="15" t="n">
        <f aca="false">B189-4</f>
        <v>-2.091752</v>
      </c>
      <c r="F189" s="17" t="n">
        <f aca="false">IF(B189&gt;=4,1,0)</f>
        <v>0</v>
      </c>
      <c r="G189" s="17" t="n">
        <f aca="false">IF(ABS(E189)&lt;=1.5,1,0)</f>
        <v>0</v>
      </c>
      <c r="H189" s="15" t="n">
        <f aca="false">IF(ABS(E189)&lt;=1.5,1-ABS(E189)/1.5,0)</f>
        <v>0</v>
      </c>
      <c r="I189" s="15" t="n">
        <f aca="false">ABS(E189)</f>
        <v>2.091752</v>
      </c>
    </row>
    <row r="190" customFormat="false" ht="15" hidden="false" customHeight="false" outlineLevel="0" collapsed="false">
      <c r="A190" s="5" t="s">
        <v>226</v>
      </c>
      <c r="B190" s="15" t="n">
        <v>0.862087</v>
      </c>
      <c r="C190" s="5" t="s">
        <v>37</v>
      </c>
      <c r="D190" s="16" t="n">
        <v>43.7346</v>
      </c>
      <c r="E190" s="15" t="n">
        <f aca="false">B190-4</f>
        <v>-3.137913</v>
      </c>
      <c r="F190" s="17" t="n">
        <f aca="false">IF(B190&gt;=4,1,0)</f>
        <v>0</v>
      </c>
      <c r="G190" s="17" t="n">
        <f aca="false">IF(ABS(E190)&lt;=1.5,1,0)</f>
        <v>0</v>
      </c>
      <c r="H190" s="15" t="n">
        <f aca="false">IF(ABS(E190)&lt;=1.5,1-ABS(E190)/1.5,0)</f>
        <v>0</v>
      </c>
      <c r="I190" s="15" t="n">
        <f aca="false">ABS(E190)</f>
        <v>3.137913</v>
      </c>
    </row>
    <row r="191" customFormat="false" ht="15" hidden="false" customHeight="false" outlineLevel="0" collapsed="false">
      <c r="A191" s="5" t="s">
        <v>227</v>
      </c>
      <c r="B191" s="15" t="n">
        <v>4.565572</v>
      </c>
      <c r="C191" s="5" t="s">
        <v>39</v>
      </c>
      <c r="D191" s="16" t="n">
        <v>29.6194</v>
      </c>
      <c r="E191" s="15" t="n">
        <f aca="false">B191-4</f>
        <v>0.565572</v>
      </c>
      <c r="F191" s="17" t="n">
        <f aca="false">IF(B191&gt;=4,1,0)</f>
        <v>1</v>
      </c>
      <c r="G191" s="17" t="n">
        <f aca="false">IF(ABS(E191)&lt;=1.5,1,0)</f>
        <v>1</v>
      </c>
      <c r="H191" s="15" t="n">
        <f aca="false">IF(ABS(E191)&lt;=1.5,1-ABS(E191)/1.5,0)</f>
        <v>0.622952</v>
      </c>
      <c r="I191" s="15" t="n">
        <f aca="false">ABS(E191)</f>
        <v>0.565572</v>
      </c>
    </row>
    <row r="192" customFormat="false" ht="15" hidden="false" customHeight="false" outlineLevel="0" collapsed="false">
      <c r="A192" s="5" t="s">
        <v>228</v>
      </c>
      <c r="B192" s="15" t="n">
        <v>7.378984</v>
      </c>
      <c r="C192" s="5" t="s">
        <v>39</v>
      </c>
      <c r="D192" s="16" t="n">
        <v>44.3574</v>
      </c>
      <c r="E192" s="15" t="n">
        <f aca="false">B192-4</f>
        <v>3.378984</v>
      </c>
      <c r="F192" s="17" t="n">
        <f aca="false">IF(B192&gt;=4,1,0)</f>
        <v>1</v>
      </c>
      <c r="G192" s="17" t="n">
        <f aca="false">IF(ABS(E192)&lt;=1.5,1,0)</f>
        <v>0</v>
      </c>
      <c r="H192" s="15" t="n">
        <f aca="false">IF(ABS(E192)&lt;=1.5,1-ABS(E192)/1.5,0)</f>
        <v>0</v>
      </c>
      <c r="I192" s="15" t="n">
        <f aca="false">ABS(E192)</f>
        <v>3.378984</v>
      </c>
    </row>
    <row r="193" customFormat="false" ht="15" hidden="false" customHeight="false" outlineLevel="0" collapsed="false">
      <c r="A193" s="5" t="s">
        <v>229</v>
      </c>
      <c r="B193" s="15" t="n">
        <v>0.065167</v>
      </c>
      <c r="C193" s="5" t="s">
        <v>37</v>
      </c>
      <c r="D193" s="16" t="n">
        <v>47.2454</v>
      </c>
      <c r="E193" s="15" t="n">
        <f aca="false">B193-4</f>
        <v>-3.934833</v>
      </c>
      <c r="F193" s="17" t="n">
        <f aca="false">IF(B193&gt;=4,1,0)</f>
        <v>0</v>
      </c>
      <c r="G193" s="17" t="n">
        <f aca="false">IF(ABS(E193)&lt;=1.5,1,0)</f>
        <v>0</v>
      </c>
      <c r="H193" s="15" t="n">
        <f aca="false">IF(ABS(E193)&lt;=1.5,1-ABS(E193)/1.5,0)</f>
        <v>0</v>
      </c>
      <c r="I193" s="15" t="n">
        <f aca="false">ABS(E193)</f>
        <v>3.934833</v>
      </c>
    </row>
    <row r="194" customFormat="false" ht="15" hidden="false" customHeight="false" outlineLevel="0" collapsed="false">
      <c r="A194" s="5" t="s">
        <v>230</v>
      </c>
      <c r="B194" s="15" t="n">
        <v>0.05177</v>
      </c>
      <c r="C194" s="5" t="s">
        <v>37</v>
      </c>
      <c r="D194" s="16" t="n">
        <v>51.2597</v>
      </c>
      <c r="E194" s="15" t="n">
        <f aca="false">B194-4</f>
        <v>-3.94823</v>
      </c>
      <c r="F194" s="17" t="n">
        <f aca="false">IF(B194&gt;=4,1,0)</f>
        <v>0</v>
      </c>
      <c r="G194" s="17" t="n">
        <f aca="false">IF(ABS(E194)&lt;=1.5,1,0)</f>
        <v>0</v>
      </c>
      <c r="H194" s="15" t="n">
        <f aca="false">IF(ABS(E194)&lt;=1.5,1-ABS(E194)/1.5,0)</f>
        <v>0</v>
      </c>
      <c r="I194" s="15" t="n">
        <f aca="false">ABS(E194)</f>
        <v>3.94823</v>
      </c>
    </row>
    <row r="195" customFormat="false" ht="15" hidden="false" customHeight="false" outlineLevel="0" collapsed="false">
      <c r="A195" s="5" t="s">
        <v>231</v>
      </c>
      <c r="B195" s="15" t="n">
        <v>7.925136</v>
      </c>
      <c r="C195" s="5" t="s">
        <v>39</v>
      </c>
      <c r="D195" s="16" t="n">
        <v>35.2144</v>
      </c>
      <c r="E195" s="15" t="n">
        <f aca="false">B195-4</f>
        <v>3.925136</v>
      </c>
      <c r="F195" s="17" t="n">
        <f aca="false">IF(B195&gt;=4,1,0)</f>
        <v>1</v>
      </c>
      <c r="G195" s="17" t="n">
        <f aca="false">IF(ABS(E195)&lt;=1.5,1,0)</f>
        <v>0</v>
      </c>
      <c r="H195" s="15" t="n">
        <f aca="false">IF(ABS(E195)&lt;=1.5,1-ABS(E195)/1.5,0)</f>
        <v>0</v>
      </c>
      <c r="I195" s="15" t="n">
        <f aca="false">ABS(E195)</f>
        <v>3.925136</v>
      </c>
    </row>
    <row r="196" customFormat="false" ht="15" hidden="false" customHeight="false" outlineLevel="0" collapsed="false">
      <c r="A196" s="5" t="s">
        <v>232</v>
      </c>
      <c r="B196" s="15" t="n">
        <v>0.062714</v>
      </c>
      <c r="C196" s="5" t="s">
        <v>37</v>
      </c>
      <c r="D196" s="16" t="n">
        <v>59.8261</v>
      </c>
      <c r="E196" s="15" t="n">
        <f aca="false">B196-4</f>
        <v>-3.937286</v>
      </c>
      <c r="F196" s="17" t="n">
        <f aca="false">IF(B196&gt;=4,1,0)</f>
        <v>0</v>
      </c>
      <c r="G196" s="17" t="n">
        <f aca="false">IF(ABS(E196)&lt;=1.5,1,0)</f>
        <v>0</v>
      </c>
      <c r="H196" s="15" t="n">
        <f aca="false">IF(ABS(E196)&lt;=1.5,1-ABS(E196)/1.5,0)</f>
        <v>0</v>
      </c>
      <c r="I196" s="15" t="n">
        <f aca="false">ABS(E196)</f>
        <v>3.937286</v>
      </c>
    </row>
    <row r="197" customFormat="false" ht="15" hidden="false" customHeight="false" outlineLevel="0" collapsed="false">
      <c r="A197" s="5" t="s">
        <v>233</v>
      </c>
      <c r="B197" s="15" t="n">
        <v>0.732931</v>
      </c>
      <c r="C197" s="5" t="s">
        <v>37</v>
      </c>
      <c r="D197" s="16" t="n">
        <v>67.6078</v>
      </c>
      <c r="E197" s="15" t="n">
        <f aca="false">B197-4</f>
        <v>-3.267069</v>
      </c>
      <c r="F197" s="17" t="n">
        <f aca="false">IF(B197&gt;=4,1,0)</f>
        <v>0</v>
      </c>
      <c r="G197" s="17" t="n">
        <f aca="false">IF(ABS(E197)&lt;=1.5,1,0)</f>
        <v>0</v>
      </c>
      <c r="H197" s="15" t="n">
        <f aca="false">IF(ABS(E197)&lt;=1.5,1-ABS(E197)/1.5,0)</f>
        <v>0</v>
      </c>
      <c r="I197" s="15" t="n">
        <f aca="false">ABS(E197)</f>
        <v>3.267069</v>
      </c>
    </row>
    <row r="198" customFormat="false" ht="15" hidden="false" customHeight="false" outlineLevel="0" collapsed="false">
      <c r="A198" s="5" t="s">
        <v>234</v>
      </c>
      <c r="B198" s="15" t="n">
        <v>3.094027</v>
      </c>
      <c r="C198" s="5" t="s">
        <v>37</v>
      </c>
      <c r="D198" s="16" t="n">
        <v>36.4424</v>
      </c>
      <c r="E198" s="15" t="n">
        <f aca="false">B198-4</f>
        <v>-0.905973</v>
      </c>
      <c r="F198" s="17" t="n">
        <f aca="false">IF(B198&gt;=4,1,0)</f>
        <v>0</v>
      </c>
      <c r="G198" s="17" t="n">
        <f aca="false">IF(ABS(E198)&lt;=1.5,1,0)</f>
        <v>1</v>
      </c>
      <c r="H198" s="15" t="n">
        <f aca="false">IF(ABS(E198)&lt;=1.5,1-ABS(E198)/1.5,0)</f>
        <v>0.396018</v>
      </c>
      <c r="I198" s="15" t="n">
        <f aca="false">ABS(E198)</f>
        <v>0.905973</v>
      </c>
    </row>
    <row r="199" customFormat="false" ht="15" hidden="false" customHeight="false" outlineLevel="0" collapsed="false">
      <c r="A199" s="5" t="s">
        <v>235</v>
      </c>
      <c r="B199" s="15" t="n">
        <v>0.893697</v>
      </c>
      <c r="C199" s="5" t="s">
        <v>37</v>
      </c>
      <c r="D199" s="16" t="n">
        <v>40.9392</v>
      </c>
      <c r="E199" s="15" t="n">
        <f aca="false">B199-4</f>
        <v>-3.106303</v>
      </c>
      <c r="F199" s="17" t="n">
        <f aca="false">IF(B199&gt;=4,1,0)</f>
        <v>0</v>
      </c>
      <c r="G199" s="17" t="n">
        <f aca="false">IF(ABS(E199)&lt;=1.5,1,0)</f>
        <v>0</v>
      </c>
      <c r="H199" s="15" t="n">
        <f aca="false">IF(ABS(E199)&lt;=1.5,1-ABS(E199)/1.5,0)</f>
        <v>0</v>
      </c>
      <c r="I199" s="15" t="n">
        <f aca="false">ABS(E199)</f>
        <v>3.106303</v>
      </c>
    </row>
    <row r="200" customFormat="false" ht="15" hidden="false" customHeight="false" outlineLevel="0" collapsed="false">
      <c r="A200" s="5" t="s">
        <v>236</v>
      </c>
      <c r="B200" s="15" t="n">
        <v>4.818806</v>
      </c>
      <c r="C200" s="5" t="s">
        <v>39</v>
      </c>
      <c r="D200" s="16" t="n">
        <v>64.9246</v>
      </c>
      <c r="E200" s="15" t="n">
        <f aca="false">B200-4</f>
        <v>0.818806</v>
      </c>
      <c r="F200" s="17" t="n">
        <f aca="false">IF(B200&gt;=4,1,0)</f>
        <v>1</v>
      </c>
      <c r="G200" s="17" t="n">
        <f aca="false">IF(ABS(E200)&lt;=1.5,1,0)</f>
        <v>1</v>
      </c>
      <c r="H200" s="15" t="n">
        <f aca="false">IF(ABS(E200)&lt;=1.5,1-ABS(E200)/1.5,0)</f>
        <v>0.454129333333333</v>
      </c>
      <c r="I200" s="15" t="n">
        <f aca="false">ABS(E200)</f>
        <v>0.818806</v>
      </c>
    </row>
    <row r="201" customFormat="false" ht="15" hidden="false" customHeight="false" outlineLevel="0" collapsed="false">
      <c r="A201" s="5" t="s">
        <v>237</v>
      </c>
      <c r="B201" s="15" t="n">
        <v>1.794135</v>
      </c>
      <c r="C201" s="5" t="s">
        <v>37</v>
      </c>
      <c r="D201" s="16" t="n">
        <v>59.6808</v>
      </c>
      <c r="E201" s="15" t="n">
        <f aca="false">B201-4</f>
        <v>-2.205865</v>
      </c>
      <c r="F201" s="17" t="n">
        <f aca="false">IF(B201&gt;=4,1,0)</f>
        <v>0</v>
      </c>
      <c r="G201" s="17" t="n">
        <f aca="false">IF(ABS(E201)&lt;=1.5,1,0)</f>
        <v>0</v>
      </c>
      <c r="H201" s="15" t="n">
        <f aca="false">IF(ABS(E201)&lt;=1.5,1-ABS(E201)/1.5,0)</f>
        <v>0</v>
      </c>
      <c r="I201" s="15" t="n">
        <f aca="false">ABS(E201)</f>
        <v>2.205865</v>
      </c>
    </row>
    <row r="202" customFormat="false" ht="15" hidden="false" customHeight="false" outlineLevel="0" collapsed="false">
      <c r="A202" s="5" t="s">
        <v>238</v>
      </c>
      <c r="B202" s="15" t="n">
        <v>3.456722</v>
      </c>
      <c r="C202" s="5" t="s">
        <v>37</v>
      </c>
      <c r="D202" s="16" t="n">
        <v>50.9001</v>
      </c>
      <c r="E202" s="15" t="n">
        <f aca="false">B202-4</f>
        <v>-0.543278</v>
      </c>
      <c r="F202" s="17" t="n">
        <f aca="false">IF(B202&gt;=4,1,0)</f>
        <v>0</v>
      </c>
      <c r="G202" s="17" t="n">
        <f aca="false">IF(ABS(E202)&lt;=1.5,1,0)</f>
        <v>1</v>
      </c>
      <c r="H202" s="15" t="n">
        <f aca="false">IF(ABS(E202)&lt;=1.5,1-ABS(E202)/1.5,0)</f>
        <v>0.637814666666667</v>
      </c>
      <c r="I202" s="15" t="n">
        <f aca="false">ABS(E202)</f>
        <v>0.543278</v>
      </c>
    </row>
    <row r="203" customFormat="false" ht="15" hidden="false" customHeight="false" outlineLevel="0" collapsed="false">
      <c r="A203" s="5" t="s">
        <v>239</v>
      </c>
      <c r="B203" s="15" t="n">
        <v>0.327825</v>
      </c>
      <c r="C203" s="5" t="s">
        <v>37</v>
      </c>
      <c r="D203" s="16" t="n">
        <v>29.9256</v>
      </c>
      <c r="E203" s="15" t="n">
        <f aca="false">B203-4</f>
        <v>-3.672175</v>
      </c>
      <c r="F203" s="17" t="n">
        <f aca="false">IF(B203&gt;=4,1,0)</f>
        <v>0</v>
      </c>
      <c r="G203" s="17" t="n">
        <f aca="false">IF(ABS(E203)&lt;=1.5,1,0)</f>
        <v>0</v>
      </c>
      <c r="H203" s="15" t="n">
        <f aca="false">IF(ABS(E203)&lt;=1.5,1-ABS(E203)/1.5,0)</f>
        <v>0</v>
      </c>
      <c r="I203" s="15" t="n">
        <f aca="false">ABS(E203)</f>
        <v>3.672175</v>
      </c>
    </row>
    <row r="204" customFormat="false" ht="15" hidden="false" customHeight="false" outlineLevel="0" collapsed="false">
      <c r="A204" s="5" t="s">
        <v>240</v>
      </c>
      <c r="B204" s="15" t="n">
        <v>0.07994</v>
      </c>
      <c r="C204" s="5" t="s">
        <v>37</v>
      </c>
      <c r="D204" s="16" t="n">
        <v>58.2914</v>
      </c>
      <c r="E204" s="15" t="n">
        <f aca="false">B204-4</f>
        <v>-3.92006</v>
      </c>
      <c r="F204" s="17" t="n">
        <f aca="false">IF(B204&gt;=4,1,0)</f>
        <v>0</v>
      </c>
      <c r="G204" s="17" t="n">
        <f aca="false">IF(ABS(E204)&lt;=1.5,1,0)</f>
        <v>0</v>
      </c>
      <c r="H204" s="15" t="n">
        <f aca="false">IF(ABS(E204)&lt;=1.5,1-ABS(E204)/1.5,0)</f>
        <v>0</v>
      </c>
      <c r="I204" s="15" t="n">
        <f aca="false">ABS(E204)</f>
        <v>3.92006</v>
      </c>
    </row>
    <row r="205" customFormat="false" ht="15" hidden="false" customHeight="false" outlineLevel="0" collapsed="false">
      <c r="A205" s="5" t="s">
        <v>241</v>
      </c>
      <c r="B205" s="15" t="n">
        <v>4.010556</v>
      </c>
      <c r="C205" s="5" t="s">
        <v>39</v>
      </c>
      <c r="D205" s="16" t="n">
        <v>44.1658</v>
      </c>
      <c r="E205" s="15" t="n">
        <f aca="false">B205-4</f>
        <v>0.0105560000000002</v>
      </c>
      <c r="F205" s="17" t="n">
        <f aca="false">IF(B205&gt;=4,1,0)</f>
        <v>1</v>
      </c>
      <c r="G205" s="17" t="n">
        <f aca="false">IF(ABS(E205)&lt;=1.5,1,0)</f>
        <v>1</v>
      </c>
      <c r="H205" s="15" t="n">
        <f aca="false">IF(ABS(E205)&lt;=1.5,1-ABS(E205)/1.5,0)</f>
        <v>0.992962666666667</v>
      </c>
      <c r="I205" s="15" t="n">
        <f aca="false">ABS(E205)</f>
        <v>0.0105560000000002</v>
      </c>
    </row>
    <row r="206" customFormat="false" ht="15" hidden="false" customHeight="false" outlineLevel="0" collapsed="false">
      <c r="A206" s="5" t="s">
        <v>242</v>
      </c>
      <c r="B206" s="15" t="n">
        <v>6.370165</v>
      </c>
      <c r="C206" s="5" t="s">
        <v>39</v>
      </c>
      <c r="D206" s="16" t="n">
        <v>22.6036</v>
      </c>
      <c r="E206" s="15" t="n">
        <f aca="false">B206-4</f>
        <v>2.370165</v>
      </c>
      <c r="F206" s="17" t="n">
        <f aca="false">IF(B206&gt;=4,1,0)</f>
        <v>1</v>
      </c>
      <c r="G206" s="17" t="n">
        <f aca="false">IF(ABS(E206)&lt;=1.5,1,0)</f>
        <v>0</v>
      </c>
      <c r="H206" s="15" t="n">
        <f aca="false">IF(ABS(E206)&lt;=1.5,1-ABS(E206)/1.5,0)</f>
        <v>0</v>
      </c>
      <c r="I206" s="15" t="n">
        <f aca="false">ABS(E206)</f>
        <v>2.370165</v>
      </c>
    </row>
    <row r="207" customFormat="false" ht="15" hidden="false" customHeight="false" outlineLevel="0" collapsed="false">
      <c r="A207" s="5" t="s">
        <v>243</v>
      </c>
      <c r="B207" s="15" t="n">
        <v>1.29751</v>
      </c>
      <c r="C207" s="5" t="s">
        <v>37</v>
      </c>
      <c r="D207" s="16" t="n">
        <v>30.9599</v>
      </c>
      <c r="E207" s="15" t="n">
        <f aca="false">B207-4</f>
        <v>-2.70249</v>
      </c>
      <c r="F207" s="17" t="n">
        <f aca="false">IF(B207&gt;=4,1,0)</f>
        <v>0</v>
      </c>
      <c r="G207" s="17" t="n">
        <f aca="false">IF(ABS(E207)&lt;=1.5,1,0)</f>
        <v>0</v>
      </c>
      <c r="H207" s="15" t="n">
        <f aca="false">IF(ABS(E207)&lt;=1.5,1-ABS(E207)/1.5,0)</f>
        <v>0</v>
      </c>
      <c r="I207" s="15" t="n">
        <f aca="false">ABS(E207)</f>
        <v>2.70249</v>
      </c>
    </row>
    <row r="208" customFormat="false" ht="15" hidden="false" customHeight="false" outlineLevel="0" collapsed="false">
      <c r="A208" s="5" t="s">
        <v>244</v>
      </c>
      <c r="B208" s="15" t="n">
        <v>0.444457</v>
      </c>
      <c r="C208" s="5" t="s">
        <v>37</v>
      </c>
      <c r="D208" s="16" t="n">
        <v>32.0436</v>
      </c>
      <c r="E208" s="15" t="n">
        <f aca="false">B208-4</f>
        <v>-3.555543</v>
      </c>
      <c r="F208" s="17" t="n">
        <f aca="false">IF(B208&gt;=4,1,0)</f>
        <v>0</v>
      </c>
      <c r="G208" s="17" t="n">
        <f aca="false">IF(ABS(E208)&lt;=1.5,1,0)</f>
        <v>0</v>
      </c>
      <c r="H208" s="15" t="n">
        <f aca="false">IF(ABS(E208)&lt;=1.5,1-ABS(E208)/1.5,0)</f>
        <v>0</v>
      </c>
      <c r="I208" s="15" t="n">
        <f aca="false">ABS(E208)</f>
        <v>3.555543</v>
      </c>
    </row>
    <row r="209" customFormat="false" ht="15" hidden="false" customHeight="false" outlineLevel="0" collapsed="false">
      <c r="A209" s="5" t="s">
        <v>245</v>
      </c>
      <c r="B209" s="15" t="n">
        <v>4.252131</v>
      </c>
      <c r="C209" s="5" t="s">
        <v>39</v>
      </c>
      <c r="D209" s="16" t="n">
        <v>41.3644</v>
      </c>
      <c r="E209" s="15" t="n">
        <f aca="false">B209-4</f>
        <v>0.252131</v>
      </c>
      <c r="F209" s="17" t="n">
        <f aca="false">IF(B209&gt;=4,1,0)</f>
        <v>1</v>
      </c>
      <c r="G209" s="17" t="n">
        <f aca="false">IF(ABS(E209)&lt;=1.5,1,0)</f>
        <v>1</v>
      </c>
      <c r="H209" s="15" t="n">
        <f aca="false">IF(ABS(E209)&lt;=1.5,1-ABS(E209)/1.5,0)</f>
        <v>0.831912666666666</v>
      </c>
      <c r="I209" s="15" t="n">
        <f aca="false">ABS(E209)</f>
        <v>0.252131</v>
      </c>
    </row>
    <row r="210" customFormat="false" ht="15" hidden="false" customHeight="false" outlineLevel="0" collapsed="false">
      <c r="A210" s="5" t="s">
        <v>246</v>
      </c>
      <c r="B210" s="15" t="n">
        <v>4.678312</v>
      </c>
      <c r="C210" s="5" t="s">
        <v>39</v>
      </c>
      <c r="D210" s="16" t="n">
        <v>25.0263</v>
      </c>
      <c r="E210" s="15" t="n">
        <f aca="false">B210-4</f>
        <v>0.678312</v>
      </c>
      <c r="F210" s="17" t="n">
        <f aca="false">IF(B210&gt;=4,1,0)</f>
        <v>1</v>
      </c>
      <c r="G210" s="17" t="n">
        <f aca="false">IF(ABS(E210)&lt;=1.5,1,0)</f>
        <v>1</v>
      </c>
      <c r="H210" s="15" t="n">
        <f aca="false">IF(ABS(E210)&lt;=1.5,1-ABS(E210)/1.5,0)</f>
        <v>0.547792</v>
      </c>
      <c r="I210" s="15" t="n">
        <f aca="false">ABS(E210)</f>
        <v>0.678312</v>
      </c>
    </row>
    <row r="211" customFormat="false" ht="15" hidden="false" customHeight="false" outlineLevel="0" collapsed="false">
      <c r="A211" s="5" t="s">
        <v>247</v>
      </c>
      <c r="B211" s="15" t="n">
        <v>1.256153</v>
      </c>
      <c r="C211" s="5" t="s">
        <v>37</v>
      </c>
      <c r="D211" s="16" t="n">
        <v>45.576</v>
      </c>
      <c r="E211" s="15" t="n">
        <f aca="false">B211-4</f>
        <v>-2.743847</v>
      </c>
      <c r="F211" s="17" t="n">
        <f aca="false">IF(B211&gt;=4,1,0)</f>
        <v>0</v>
      </c>
      <c r="G211" s="17" t="n">
        <f aca="false">IF(ABS(E211)&lt;=1.5,1,0)</f>
        <v>0</v>
      </c>
      <c r="H211" s="15" t="n">
        <f aca="false">IF(ABS(E211)&lt;=1.5,1-ABS(E211)/1.5,0)</f>
        <v>0</v>
      </c>
      <c r="I211" s="15" t="n">
        <f aca="false">ABS(E211)</f>
        <v>2.743847</v>
      </c>
    </row>
    <row r="212" customFormat="false" ht="15" hidden="false" customHeight="false" outlineLevel="0" collapsed="false">
      <c r="A212" s="5" t="s">
        <v>248</v>
      </c>
      <c r="B212" s="15" t="n">
        <v>1.085054</v>
      </c>
      <c r="C212" s="5" t="s">
        <v>37</v>
      </c>
      <c r="D212" s="16" t="n">
        <v>36.0824</v>
      </c>
      <c r="E212" s="15" t="n">
        <f aca="false">B212-4</f>
        <v>-2.914946</v>
      </c>
      <c r="F212" s="17" t="n">
        <f aca="false">IF(B212&gt;=4,1,0)</f>
        <v>0</v>
      </c>
      <c r="G212" s="17" t="n">
        <f aca="false">IF(ABS(E212)&lt;=1.5,1,0)</f>
        <v>0</v>
      </c>
      <c r="H212" s="15" t="n">
        <f aca="false">IF(ABS(E212)&lt;=1.5,1-ABS(E212)/1.5,0)</f>
        <v>0</v>
      </c>
      <c r="I212" s="15" t="n">
        <f aca="false">ABS(E212)</f>
        <v>2.914946</v>
      </c>
    </row>
    <row r="213" customFormat="false" ht="15" hidden="false" customHeight="false" outlineLevel="0" collapsed="false">
      <c r="A213" s="5" t="s">
        <v>249</v>
      </c>
      <c r="B213" s="15" t="n">
        <v>1.230033</v>
      </c>
      <c r="C213" s="5" t="s">
        <v>37</v>
      </c>
      <c r="D213" s="16" t="n">
        <v>43.9547</v>
      </c>
      <c r="E213" s="15" t="n">
        <f aca="false">B213-4</f>
        <v>-2.769967</v>
      </c>
      <c r="F213" s="17" t="n">
        <f aca="false">IF(B213&gt;=4,1,0)</f>
        <v>0</v>
      </c>
      <c r="G213" s="17" t="n">
        <f aca="false">IF(ABS(E213)&lt;=1.5,1,0)</f>
        <v>0</v>
      </c>
      <c r="H213" s="15" t="n">
        <f aca="false">IF(ABS(E213)&lt;=1.5,1-ABS(E213)/1.5,0)</f>
        <v>0</v>
      </c>
      <c r="I213" s="15" t="n">
        <f aca="false">ABS(E213)</f>
        <v>2.769967</v>
      </c>
    </row>
    <row r="214" customFormat="false" ht="15" hidden="false" customHeight="false" outlineLevel="0" collapsed="false">
      <c r="A214" s="5" t="s">
        <v>250</v>
      </c>
      <c r="B214" s="15" t="n">
        <v>2.468974</v>
      </c>
      <c r="C214" s="5" t="s">
        <v>37</v>
      </c>
      <c r="D214" s="16" t="n">
        <v>45.5328</v>
      </c>
      <c r="E214" s="15" t="n">
        <f aca="false">B214-4</f>
        <v>-1.531026</v>
      </c>
      <c r="F214" s="17" t="n">
        <f aca="false">IF(B214&gt;=4,1,0)</f>
        <v>0</v>
      </c>
      <c r="G214" s="17" t="n">
        <f aca="false">IF(ABS(E214)&lt;=1.5,1,0)</f>
        <v>0</v>
      </c>
      <c r="H214" s="15" t="n">
        <f aca="false">IF(ABS(E214)&lt;=1.5,1-ABS(E214)/1.5,0)</f>
        <v>0</v>
      </c>
      <c r="I214" s="15" t="n">
        <f aca="false">ABS(E214)</f>
        <v>1.531026</v>
      </c>
    </row>
    <row r="215" customFormat="false" ht="15" hidden="false" customHeight="false" outlineLevel="0" collapsed="false">
      <c r="A215" s="5" t="s">
        <v>251</v>
      </c>
      <c r="B215" s="15" t="n">
        <v>2.309296</v>
      </c>
      <c r="C215" s="5" t="s">
        <v>37</v>
      </c>
      <c r="D215" s="16" t="n">
        <v>48.3731</v>
      </c>
      <c r="E215" s="15" t="n">
        <f aca="false">B215-4</f>
        <v>-1.690704</v>
      </c>
      <c r="F215" s="17" t="n">
        <f aca="false">IF(B215&gt;=4,1,0)</f>
        <v>0</v>
      </c>
      <c r="G215" s="17" t="n">
        <f aca="false">IF(ABS(E215)&lt;=1.5,1,0)</f>
        <v>0</v>
      </c>
      <c r="H215" s="15" t="n">
        <f aca="false">IF(ABS(E215)&lt;=1.5,1-ABS(E215)/1.5,0)</f>
        <v>0</v>
      </c>
      <c r="I215" s="15" t="n">
        <f aca="false">ABS(E215)</f>
        <v>1.690704</v>
      </c>
    </row>
    <row r="216" customFormat="false" ht="15" hidden="false" customHeight="false" outlineLevel="0" collapsed="false">
      <c r="A216" s="5" t="s">
        <v>252</v>
      </c>
      <c r="B216" s="15" t="n">
        <v>1.855904</v>
      </c>
      <c r="C216" s="5" t="s">
        <v>37</v>
      </c>
      <c r="D216" s="16" t="n">
        <v>59.9599</v>
      </c>
      <c r="E216" s="15" t="n">
        <f aca="false">B216-4</f>
        <v>-2.144096</v>
      </c>
      <c r="F216" s="17" t="n">
        <f aca="false">IF(B216&gt;=4,1,0)</f>
        <v>0</v>
      </c>
      <c r="G216" s="17" t="n">
        <f aca="false">IF(ABS(E216)&lt;=1.5,1,0)</f>
        <v>0</v>
      </c>
      <c r="H216" s="15" t="n">
        <f aca="false">IF(ABS(E216)&lt;=1.5,1-ABS(E216)/1.5,0)</f>
        <v>0</v>
      </c>
      <c r="I216" s="15" t="n">
        <f aca="false">ABS(E216)</f>
        <v>2.144096</v>
      </c>
    </row>
    <row r="217" customFormat="false" ht="15" hidden="false" customHeight="false" outlineLevel="0" collapsed="false">
      <c r="A217" s="5" t="s">
        <v>253</v>
      </c>
      <c r="B217" s="15" t="n">
        <v>6.67648</v>
      </c>
      <c r="C217" s="5" t="s">
        <v>39</v>
      </c>
      <c r="D217" s="16" t="n">
        <v>40.2056</v>
      </c>
      <c r="E217" s="15" t="n">
        <f aca="false">B217-4</f>
        <v>2.67648</v>
      </c>
      <c r="F217" s="17" t="n">
        <f aca="false">IF(B217&gt;=4,1,0)</f>
        <v>1</v>
      </c>
      <c r="G217" s="17" t="n">
        <f aca="false">IF(ABS(E217)&lt;=1.5,1,0)</f>
        <v>0</v>
      </c>
      <c r="H217" s="15" t="n">
        <f aca="false">IF(ABS(E217)&lt;=1.5,1-ABS(E217)/1.5,0)</f>
        <v>0</v>
      </c>
      <c r="I217" s="15" t="n">
        <f aca="false">ABS(E217)</f>
        <v>2.67648</v>
      </c>
    </row>
    <row r="218" customFormat="false" ht="15" hidden="false" customHeight="false" outlineLevel="0" collapsed="false">
      <c r="A218" s="5" t="s">
        <v>254</v>
      </c>
      <c r="B218" s="15" t="n">
        <v>1.968205</v>
      </c>
      <c r="C218" s="5" t="s">
        <v>37</v>
      </c>
      <c r="D218" s="16" t="n">
        <v>47.9774</v>
      </c>
      <c r="E218" s="15" t="n">
        <f aca="false">B218-4</f>
        <v>-2.031795</v>
      </c>
      <c r="F218" s="17" t="n">
        <f aca="false">IF(B218&gt;=4,1,0)</f>
        <v>0</v>
      </c>
      <c r="G218" s="17" t="n">
        <f aca="false">IF(ABS(E218)&lt;=1.5,1,0)</f>
        <v>0</v>
      </c>
      <c r="H218" s="15" t="n">
        <f aca="false">IF(ABS(E218)&lt;=1.5,1-ABS(E218)/1.5,0)</f>
        <v>0</v>
      </c>
      <c r="I218" s="15" t="n">
        <f aca="false">ABS(E218)</f>
        <v>2.031795</v>
      </c>
    </row>
    <row r="219" customFormat="false" ht="15" hidden="false" customHeight="false" outlineLevel="0" collapsed="false">
      <c r="A219" s="5" t="s">
        <v>255</v>
      </c>
      <c r="B219" s="15" t="n">
        <v>2.315044</v>
      </c>
      <c r="C219" s="5" t="s">
        <v>37</v>
      </c>
      <c r="D219" s="16" t="n">
        <v>54.0497</v>
      </c>
      <c r="E219" s="15" t="n">
        <f aca="false">B219-4</f>
        <v>-1.684956</v>
      </c>
      <c r="F219" s="17" t="n">
        <f aca="false">IF(B219&gt;=4,1,0)</f>
        <v>0</v>
      </c>
      <c r="G219" s="17" t="n">
        <f aca="false">IF(ABS(E219)&lt;=1.5,1,0)</f>
        <v>0</v>
      </c>
      <c r="H219" s="15" t="n">
        <f aca="false">IF(ABS(E219)&lt;=1.5,1-ABS(E219)/1.5,0)</f>
        <v>0</v>
      </c>
      <c r="I219" s="15" t="n">
        <f aca="false">ABS(E219)</f>
        <v>1.684956</v>
      </c>
    </row>
    <row r="220" customFormat="false" ht="15" hidden="false" customHeight="false" outlineLevel="0" collapsed="false">
      <c r="A220" s="5" t="s">
        <v>256</v>
      </c>
      <c r="B220" s="15" t="n">
        <v>0.381922</v>
      </c>
      <c r="C220" s="5" t="s">
        <v>37</v>
      </c>
      <c r="D220" s="16" t="n">
        <v>49.0502</v>
      </c>
      <c r="E220" s="15" t="n">
        <f aca="false">B220-4</f>
        <v>-3.618078</v>
      </c>
      <c r="F220" s="17" t="n">
        <f aca="false">IF(B220&gt;=4,1,0)</f>
        <v>0</v>
      </c>
      <c r="G220" s="17" t="n">
        <f aca="false">IF(ABS(E220)&lt;=1.5,1,0)</f>
        <v>0</v>
      </c>
      <c r="H220" s="15" t="n">
        <f aca="false">IF(ABS(E220)&lt;=1.5,1-ABS(E220)/1.5,0)</f>
        <v>0</v>
      </c>
      <c r="I220" s="15" t="n">
        <f aca="false">ABS(E220)</f>
        <v>3.618078</v>
      </c>
    </row>
    <row r="221" customFormat="false" ht="15" hidden="false" customHeight="false" outlineLevel="0" collapsed="false">
      <c r="A221" s="5" t="s">
        <v>257</v>
      </c>
      <c r="B221" s="15" t="n">
        <v>3.051143</v>
      </c>
      <c r="C221" s="5" t="s">
        <v>37</v>
      </c>
      <c r="D221" s="16" t="n">
        <v>42.9066</v>
      </c>
      <c r="E221" s="15" t="n">
        <f aca="false">B221-4</f>
        <v>-0.948857</v>
      </c>
      <c r="F221" s="17" t="n">
        <f aca="false">IF(B221&gt;=4,1,0)</f>
        <v>0</v>
      </c>
      <c r="G221" s="17" t="n">
        <f aca="false">IF(ABS(E221)&lt;=1.5,1,0)</f>
        <v>1</v>
      </c>
      <c r="H221" s="15" t="n">
        <f aca="false">IF(ABS(E221)&lt;=1.5,1-ABS(E221)/1.5,0)</f>
        <v>0.367428666666667</v>
      </c>
      <c r="I221" s="15" t="n">
        <f aca="false">ABS(E221)</f>
        <v>0.948857</v>
      </c>
    </row>
    <row r="222" customFormat="false" ht="15" hidden="false" customHeight="false" outlineLevel="0" collapsed="false">
      <c r="A222" s="5" t="s">
        <v>258</v>
      </c>
      <c r="B222" s="15" t="n">
        <v>0.049255</v>
      </c>
      <c r="C222" s="5" t="s">
        <v>37</v>
      </c>
      <c r="D222" s="16" t="n">
        <v>46.3651</v>
      </c>
      <c r="E222" s="15" t="n">
        <f aca="false">B222-4</f>
        <v>-3.950745</v>
      </c>
      <c r="F222" s="17" t="n">
        <f aca="false">IF(B222&gt;=4,1,0)</f>
        <v>0</v>
      </c>
      <c r="G222" s="17" t="n">
        <f aca="false">IF(ABS(E222)&lt;=1.5,1,0)</f>
        <v>0</v>
      </c>
      <c r="H222" s="15" t="n">
        <f aca="false">IF(ABS(E222)&lt;=1.5,1-ABS(E222)/1.5,0)</f>
        <v>0</v>
      </c>
      <c r="I222" s="15" t="n">
        <f aca="false">ABS(E222)</f>
        <v>3.950745</v>
      </c>
    </row>
    <row r="223" customFormat="false" ht="15" hidden="false" customHeight="false" outlineLevel="0" collapsed="false">
      <c r="A223" s="5" t="s">
        <v>259</v>
      </c>
      <c r="B223" s="15" t="n">
        <v>2.333871</v>
      </c>
      <c r="C223" s="5" t="s">
        <v>37</v>
      </c>
      <c r="D223" s="16" t="n">
        <v>65.4226</v>
      </c>
      <c r="E223" s="15" t="n">
        <f aca="false">B223-4</f>
        <v>-1.666129</v>
      </c>
      <c r="F223" s="17" t="n">
        <f aca="false">IF(B223&gt;=4,1,0)</f>
        <v>0</v>
      </c>
      <c r="G223" s="17" t="n">
        <f aca="false">IF(ABS(E223)&lt;=1.5,1,0)</f>
        <v>0</v>
      </c>
      <c r="H223" s="15" t="n">
        <f aca="false">IF(ABS(E223)&lt;=1.5,1-ABS(E223)/1.5,0)</f>
        <v>0</v>
      </c>
      <c r="I223" s="15" t="n">
        <f aca="false">ABS(E223)</f>
        <v>1.666129</v>
      </c>
    </row>
    <row r="224" customFormat="false" ht="15" hidden="false" customHeight="false" outlineLevel="0" collapsed="false">
      <c r="A224" s="5" t="s">
        <v>260</v>
      </c>
      <c r="B224" s="15" t="n">
        <v>0.551197</v>
      </c>
      <c r="C224" s="5" t="s">
        <v>37</v>
      </c>
      <c r="D224" s="16" t="n">
        <v>67.497</v>
      </c>
      <c r="E224" s="15" t="n">
        <f aca="false">B224-4</f>
        <v>-3.448803</v>
      </c>
      <c r="F224" s="17" t="n">
        <f aca="false">IF(B224&gt;=4,1,0)</f>
        <v>0</v>
      </c>
      <c r="G224" s="17" t="n">
        <f aca="false">IF(ABS(E224)&lt;=1.5,1,0)</f>
        <v>0</v>
      </c>
      <c r="H224" s="15" t="n">
        <f aca="false">IF(ABS(E224)&lt;=1.5,1-ABS(E224)/1.5,0)</f>
        <v>0</v>
      </c>
      <c r="I224" s="15" t="n">
        <f aca="false">ABS(E224)</f>
        <v>3.448803</v>
      </c>
    </row>
    <row r="225" customFormat="false" ht="15" hidden="false" customHeight="false" outlineLevel="0" collapsed="false">
      <c r="A225" s="5" t="s">
        <v>261</v>
      </c>
      <c r="B225" s="15" t="n">
        <v>2.98915</v>
      </c>
      <c r="C225" s="5" t="s">
        <v>37</v>
      </c>
      <c r="D225" s="16" t="n">
        <v>50.091</v>
      </c>
      <c r="E225" s="15" t="n">
        <f aca="false">B225-4</f>
        <v>-1.01085</v>
      </c>
      <c r="F225" s="17" t="n">
        <f aca="false">IF(B225&gt;=4,1,0)</f>
        <v>0</v>
      </c>
      <c r="G225" s="17" t="n">
        <f aca="false">IF(ABS(E225)&lt;=1.5,1,0)</f>
        <v>1</v>
      </c>
      <c r="H225" s="15" t="n">
        <f aca="false">IF(ABS(E225)&lt;=1.5,1-ABS(E225)/1.5,0)</f>
        <v>0.3261</v>
      </c>
      <c r="I225" s="15" t="n">
        <f aca="false">ABS(E225)</f>
        <v>1.01085</v>
      </c>
    </row>
    <row r="226" customFormat="false" ht="15" hidden="false" customHeight="false" outlineLevel="0" collapsed="false">
      <c r="A226" s="5" t="s">
        <v>262</v>
      </c>
      <c r="B226" s="15" t="n">
        <v>2.307302</v>
      </c>
      <c r="C226" s="5" t="s">
        <v>37</v>
      </c>
      <c r="D226" s="16" t="n">
        <v>44.4589</v>
      </c>
      <c r="E226" s="15" t="n">
        <f aca="false">B226-4</f>
        <v>-1.692698</v>
      </c>
      <c r="F226" s="17" t="n">
        <f aca="false">IF(B226&gt;=4,1,0)</f>
        <v>0</v>
      </c>
      <c r="G226" s="17" t="n">
        <f aca="false">IF(ABS(E226)&lt;=1.5,1,0)</f>
        <v>0</v>
      </c>
      <c r="H226" s="15" t="n">
        <f aca="false">IF(ABS(E226)&lt;=1.5,1-ABS(E226)/1.5,0)</f>
        <v>0</v>
      </c>
      <c r="I226" s="15" t="n">
        <f aca="false">ABS(E226)</f>
        <v>1.692698</v>
      </c>
    </row>
    <row r="227" customFormat="false" ht="15" hidden="false" customHeight="false" outlineLevel="0" collapsed="false">
      <c r="A227" s="5" t="s">
        <v>263</v>
      </c>
      <c r="B227" s="15" t="n">
        <v>2.114194</v>
      </c>
      <c r="C227" s="5" t="s">
        <v>37</v>
      </c>
      <c r="D227" s="16" t="n">
        <v>53.818</v>
      </c>
      <c r="E227" s="15" t="n">
        <f aca="false">B227-4</f>
        <v>-1.885806</v>
      </c>
      <c r="F227" s="17" t="n">
        <f aca="false">IF(B227&gt;=4,1,0)</f>
        <v>0</v>
      </c>
      <c r="G227" s="17" t="n">
        <f aca="false">IF(ABS(E227)&lt;=1.5,1,0)</f>
        <v>0</v>
      </c>
      <c r="H227" s="15" t="n">
        <f aca="false">IF(ABS(E227)&lt;=1.5,1-ABS(E227)/1.5,0)</f>
        <v>0</v>
      </c>
      <c r="I227" s="15" t="n">
        <f aca="false">ABS(E227)</f>
        <v>1.885806</v>
      </c>
    </row>
    <row r="228" customFormat="false" ht="15" hidden="false" customHeight="false" outlineLevel="0" collapsed="false">
      <c r="A228" s="5" t="s">
        <v>264</v>
      </c>
      <c r="B228" s="15" t="n">
        <v>0.015154</v>
      </c>
      <c r="C228" s="5" t="s">
        <v>37</v>
      </c>
      <c r="D228" s="16" t="n">
        <v>28.2568</v>
      </c>
      <c r="E228" s="15" t="n">
        <f aca="false">B228-4</f>
        <v>-3.984846</v>
      </c>
      <c r="F228" s="17" t="n">
        <f aca="false">IF(B228&gt;=4,1,0)</f>
        <v>0</v>
      </c>
      <c r="G228" s="17" t="n">
        <f aca="false">IF(ABS(E228)&lt;=1.5,1,0)</f>
        <v>0</v>
      </c>
      <c r="H228" s="15" t="n">
        <f aca="false">IF(ABS(E228)&lt;=1.5,1-ABS(E228)/1.5,0)</f>
        <v>0</v>
      </c>
      <c r="I228" s="15" t="n">
        <f aca="false">ABS(E228)</f>
        <v>3.984846</v>
      </c>
    </row>
    <row r="229" customFormat="false" ht="15" hidden="false" customHeight="false" outlineLevel="0" collapsed="false">
      <c r="A229" s="5" t="s">
        <v>265</v>
      </c>
      <c r="B229" s="15" t="n">
        <v>0.858718</v>
      </c>
      <c r="C229" s="5" t="s">
        <v>37</v>
      </c>
      <c r="D229" s="16" t="n">
        <v>47.7074</v>
      </c>
      <c r="E229" s="15" t="n">
        <f aca="false">B229-4</f>
        <v>-3.141282</v>
      </c>
      <c r="F229" s="17" t="n">
        <f aca="false">IF(B229&gt;=4,1,0)</f>
        <v>0</v>
      </c>
      <c r="G229" s="17" t="n">
        <f aca="false">IF(ABS(E229)&lt;=1.5,1,0)</f>
        <v>0</v>
      </c>
      <c r="H229" s="15" t="n">
        <f aca="false">IF(ABS(E229)&lt;=1.5,1-ABS(E229)/1.5,0)</f>
        <v>0</v>
      </c>
      <c r="I229" s="15" t="n">
        <f aca="false">ABS(E229)</f>
        <v>3.141282</v>
      </c>
    </row>
    <row r="230" customFormat="false" ht="15" hidden="false" customHeight="false" outlineLevel="0" collapsed="false">
      <c r="A230" s="5" t="s">
        <v>266</v>
      </c>
      <c r="B230" s="15" t="n">
        <v>0.428151</v>
      </c>
      <c r="C230" s="5" t="s">
        <v>37</v>
      </c>
      <c r="D230" s="16" t="n">
        <v>47.8032</v>
      </c>
      <c r="E230" s="15" t="n">
        <f aca="false">B230-4</f>
        <v>-3.571849</v>
      </c>
      <c r="F230" s="17" t="n">
        <f aca="false">IF(B230&gt;=4,1,0)</f>
        <v>0</v>
      </c>
      <c r="G230" s="17" t="n">
        <f aca="false">IF(ABS(E230)&lt;=1.5,1,0)</f>
        <v>0</v>
      </c>
      <c r="H230" s="15" t="n">
        <f aca="false">IF(ABS(E230)&lt;=1.5,1-ABS(E230)/1.5,0)</f>
        <v>0</v>
      </c>
      <c r="I230" s="15" t="n">
        <f aca="false">ABS(E230)</f>
        <v>3.571849</v>
      </c>
    </row>
    <row r="231" customFormat="false" ht="15" hidden="false" customHeight="false" outlineLevel="0" collapsed="false">
      <c r="A231" s="5" t="s">
        <v>267</v>
      </c>
      <c r="B231" s="15" t="n">
        <v>4.607286</v>
      </c>
      <c r="C231" s="5" t="s">
        <v>39</v>
      </c>
      <c r="D231" s="16" t="n">
        <v>56.2349</v>
      </c>
      <c r="E231" s="15" t="n">
        <f aca="false">B231-4</f>
        <v>0.607286</v>
      </c>
      <c r="F231" s="17" t="n">
        <f aca="false">IF(B231&gt;=4,1,0)</f>
        <v>1</v>
      </c>
      <c r="G231" s="17" t="n">
        <f aca="false">IF(ABS(E231)&lt;=1.5,1,0)</f>
        <v>1</v>
      </c>
      <c r="H231" s="15" t="n">
        <f aca="false">IF(ABS(E231)&lt;=1.5,1-ABS(E231)/1.5,0)</f>
        <v>0.595142666666667</v>
      </c>
      <c r="I231" s="15" t="n">
        <f aca="false">ABS(E231)</f>
        <v>0.607286</v>
      </c>
    </row>
    <row r="232" customFormat="false" ht="15" hidden="false" customHeight="false" outlineLevel="0" collapsed="false">
      <c r="A232" s="5" t="s">
        <v>268</v>
      </c>
      <c r="B232" s="15" t="n">
        <v>3.029202</v>
      </c>
      <c r="C232" s="5" t="s">
        <v>37</v>
      </c>
      <c r="D232" s="16" t="n">
        <v>54.623</v>
      </c>
      <c r="E232" s="15" t="n">
        <f aca="false">B232-4</f>
        <v>-0.970798</v>
      </c>
      <c r="F232" s="17" t="n">
        <f aca="false">IF(B232&gt;=4,1,0)</f>
        <v>0</v>
      </c>
      <c r="G232" s="17" t="n">
        <f aca="false">IF(ABS(E232)&lt;=1.5,1,0)</f>
        <v>1</v>
      </c>
      <c r="H232" s="15" t="n">
        <f aca="false">IF(ABS(E232)&lt;=1.5,1-ABS(E232)/1.5,0)</f>
        <v>0.352801333333333</v>
      </c>
      <c r="I232" s="15" t="n">
        <f aca="false">ABS(E232)</f>
        <v>0.970798</v>
      </c>
    </row>
    <row r="233" customFormat="false" ht="15" hidden="false" customHeight="false" outlineLevel="0" collapsed="false">
      <c r="A233" s="5" t="s">
        <v>269</v>
      </c>
      <c r="B233" s="15" t="n">
        <v>5.727368</v>
      </c>
      <c r="C233" s="5" t="s">
        <v>39</v>
      </c>
      <c r="D233" s="16" t="n">
        <v>35.1206</v>
      </c>
      <c r="E233" s="15" t="n">
        <f aca="false">B233-4</f>
        <v>1.727368</v>
      </c>
      <c r="F233" s="17" t="n">
        <f aca="false">IF(B233&gt;=4,1,0)</f>
        <v>1</v>
      </c>
      <c r="G233" s="17" t="n">
        <f aca="false">IF(ABS(E233)&lt;=1.5,1,0)</f>
        <v>0</v>
      </c>
      <c r="H233" s="15" t="n">
        <f aca="false">IF(ABS(E233)&lt;=1.5,1-ABS(E233)/1.5,0)</f>
        <v>0</v>
      </c>
      <c r="I233" s="15" t="n">
        <f aca="false">ABS(E233)</f>
        <v>1.727368</v>
      </c>
    </row>
    <row r="234" customFormat="false" ht="15" hidden="false" customHeight="false" outlineLevel="0" collapsed="false">
      <c r="A234" s="5" t="s">
        <v>270</v>
      </c>
      <c r="B234" s="15" t="n">
        <v>1.922029</v>
      </c>
      <c r="C234" s="5" t="s">
        <v>37</v>
      </c>
      <c r="D234" s="16" t="n">
        <v>27.4908</v>
      </c>
      <c r="E234" s="15" t="n">
        <f aca="false">B234-4</f>
        <v>-2.077971</v>
      </c>
      <c r="F234" s="17" t="n">
        <f aca="false">IF(B234&gt;=4,1,0)</f>
        <v>0</v>
      </c>
      <c r="G234" s="17" t="n">
        <f aca="false">IF(ABS(E234)&lt;=1.5,1,0)</f>
        <v>0</v>
      </c>
      <c r="H234" s="15" t="n">
        <f aca="false">IF(ABS(E234)&lt;=1.5,1-ABS(E234)/1.5,0)</f>
        <v>0</v>
      </c>
      <c r="I234" s="15" t="n">
        <f aca="false">ABS(E234)</f>
        <v>2.077971</v>
      </c>
    </row>
    <row r="235" customFormat="false" ht="15" hidden="false" customHeight="false" outlineLevel="0" collapsed="false">
      <c r="A235" s="5" t="s">
        <v>271</v>
      </c>
      <c r="B235" s="15" t="n">
        <v>2.974387</v>
      </c>
      <c r="C235" s="5" t="s">
        <v>37</v>
      </c>
      <c r="D235" s="16" t="n">
        <v>44.5927</v>
      </c>
      <c r="E235" s="15" t="n">
        <f aca="false">B235-4</f>
        <v>-1.025613</v>
      </c>
      <c r="F235" s="17" t="n">
        <f aca="false">IF(B235&gt;=4,1,0)</f>
        <v>0</v>
      </c>
      <c r="G235" s="17" t="n">
        <f aca="false">IF(ABS(E235)&lt;=1.5,1,0)</f>
        <v>1</v>
      </c>
      <c r="H235" s="15" t="n">
        <f aca="false">IF(ABS(E235)&lt;=1.5,1-ABS(E235)/1.5,0)</f>
        <v>0.316258</v>
      </c>
      <c r="I235" s="15" t="n">
        <f aca="false">ABS(E235)</f>
        <v>1.025613</v>
      </c>
    </row>
    <row r="236" customFormat="false" ht="15" hidden="false" customHeight="false" outlineLevel="0" collapsed="false">
      <c r="A236" s="5" t="s">
        <v>272</v>
      </c>
      <c r="B236" s="15" t="n">
        <v>0.204234</v>
      </c>
      <c r="C236" s="5" t="s">
        <v>37</v>
      </c>
      <c r="D236" s="16" t="n">
        <v>31.3621</v>
      </c>
      <c r="E236" s="15" t="n">
        <f aca="false">B236-4</f>
        <v>-3.795766</v>
      </c>
      <c r="F236" s="17" t="n">
        <f aca="false">IF(B236&gt;=4,1,0)</f>
        <v>0</v>
      </c>
      <c r="G236" s="17" t="n">
        <f aca="false">IF(ABS(E236)&lt;=1.5,1,0)</f>
        <v>0</v>
      </c>
      <c r="H236" s="15" t="n">
        <f aca="false">IF(ABS(E236)&lt;=1.5,1-ABS(E236)/1.5,0)</f>
        <v>0</v>
      </c>
      <c r="I236" s="15" t="n">
        <f aca="false">ABS(E236)</f>
        <v>3.795766</v>
      </c>
    </row>
    <row r="237" customFormat="false" ht="15" hidden="false" customHeight="false" outlineLevel="0" collapsed="false">
      <c r="A237" s="5" t="s">
        <v>273</v>
      </c>
      <c r="B237" s="15" t="n">
        <v>0.338079</v>
      </c>
      <c r="C237" s="5" t="s">
        <v>37</v>
      </c>
      <c r="D237" s="16" t="n">
        <v>46.5587</v>
      </c>
      <c r="E237" s="15" t="n">
        <f aca="false">B237-4</f>
        <v>-3.661921</v>
      </c>
      <c r="F237" s="17" t="n">
        <f aca="false">IF(B237&gt;=4,1,0)</f>
        <v>0</v>
      </c>
      <c r="G237" s="17" t="n">
        <f aca="false">IF(ABS(E237)&lt;=1.5,1,0)</f>
        <v>0</v>
      </c>
      <c r="H237" s="15" t="n">
        <f aca="false">IF(ABS(E237)&lt;=1.5,1-ABS(E237)/1.5,0)</f>
        <v>0</v>
      </c>
      <c r="I237" s="15" t="n">
        <f aca="false">ABS(E237)</f>
        <v>3.661921</v>
      </c>
    </row>
    <row r="238" customFormat="false" ht="15" hidden="false" customHeight="false" outlineLevel="0" collapsed="false">
      <c r="A238" s="5" t="s">
        <v>274</v>
      </c>
      <c r="B238" s="15" t="n">
        <v>0.646329</v>
      </c>
      <c r="C238" s="5" t="s">
        <v>37</v>
      </c>
      <c r="D238" s="16" t="n">
        <v>57.2097</v>
      </c>
      <c r="E238" s="15" t="n">
        <f aca="false">B238-4</f>
        <v>-3.353671</v>
      </c>
      <c r="F238" s="17" t="n">
        <f aca="false">IF(B238&gt;=4,1,0)</f>
        <v>0</v>
      </c>
      <c r="G238" s="17" t="n">
        <f aca="false">IF(ABS(E238)&lt;=1.5,1,0)</f>
        <v>0</v>
      </c>
      <c r="H238" s="15" t="n">
        <f aca="false">IF(ABS(E238)&lt;=1.5,1-ABS(E238)/1.5,0)</f>
        <v>0</v>
      </c>
      <c r="I238" s="15" t="n">
        <f aca="false">ABS(E238)</f>
        <v>3.353671</v>
      </c>
    </row>
    <row r="239" customFormat="false" ht="15" hidden="false" customHeight="false" outlineLevel="0" collapsed="false">
      <c r="A239" s="5" t="s">
        <v>275</v>
      </c>
      <c r="B239" s="15" t="n">
        <v>4.187547</v>
      </c>
      <c r="C239" s="5" t="s">
        <v>39</v>
      </c>
      <c r="D239" s="16" t="n">
        <v>40.9058</v>
      </c>
      <c r="E239" s="15" t="n">
        <f aca="false">B239-4</f>
        <v>0.187547</v>
      </c>
      <c r="F239" s="17" t="n">
        <f aca="false">IF(B239&gt;=4,1,0)</f>
        <v>1</v>
      </c>
      <c r="G239" s="17" t="n">
        <f aca="false">IF(ABS(E239)&lt;=1.5,1,0)</f>
        <v>1</v>
      </c>
      <c r="H239" s="15" t="n">
        <f aca="false">IF(ABS(E239)&lt;=1.5,1-ABS(E239)/1.5,0)</f>
        <v>0.874968666666666</v>
      </c>
      <c r="I239" s="15" t="n">
        <f aca="false">ABS(E239)</f>
        <v>0.187547</v>
      </c>
    </row>
    <row r="240" customFormat="false" ht="15" hidden="false" customHeight="false" outlineLevel="0" collapsed="false">
      <c r="A240" s="5" t="s">
        <v>276</v>
      </c>
      <c r="B240" s="15" t="n">
        <v>8.388055</v>
      </c>
      <c r="C240" s="5" t="s">
        <v>39</v>
      </c>
      <c r="D240" s="16" t="n">
        <v>55.5827</v>
      </c>
      <c r="E240" s="15" t="n">
        <f aca="false">B240-4</f>
        <v>4.388055</v>
      </c>
      <c r="F240" s="17" t="n">
        <f aca="false">IF(B240&gt;=4,1,0)</f>
        <v>1</v>
      </c>
      <c r="G240" s="17" t="n">
        <f aca="false">IF(ABS(E240)&lt;=1.5,1,0)</f>
        <v>0</v>
      </c>
      <c r="H240" s="15" t="n">
        <f aca="false">IF(ABS(E240)&lt;=1.5,1-ABS(E240)/1.5,0)</f>
        <v>0</v>
      </c>
      <c r="I240" s="15" t="n">
        <f aca="false">ABS(E240)</f>
        <v>4.388055</v>
      </c>
    </row>
    <row r="241" customFormat="false" ht="15" hidden="false" customHeight="false" outlineLevel="0" collapsed="false">
      <c r="A241" s="5" t="s">
        <v>277</v>
      </c>
      <c r="B241" s="15" t="n">
        <v>2.702349</v>
      </c>
      <c r="C241" s="5" t="s">
        <v>37</v>
      </c>
      <c r="D241" s="16" t="n">
        <v>57.2801</v>
      </c>
      <c r="E241" s="15" t="n">
        <f aca="false">B241-4</f>
        <v>-1.297651</v>
      </c>
      <c r="F241" s="17" t="n">
        <f aca="false">IF(B241&gt;=4,1,0)</f>
        <v>0</v>
      </c>
      <c r="G241" s="17" t="n">
        <f aca="false">IF(ABS(E241)&lt;=1.5,1,0)</f>
        <v>1</v>
      </c>
      <c r="H241" s="15" t="n">
        <f aca="false">IF(ABS(E241)&lt;=1.5,1-ABS(E241)/1.5,0)</f>
        <v>0.134899333333333</v>
      </c>
      <c r="I241" s="15" t="n">
        <f aca="false">ABS(E241)</f>
        <v>1.297651</v>
      </c>
    </row>
    <row r="242" customFormat="false" ht="15" hidden="false" customHeight="false" outlineLevel="0" collapsed="false">
      <c r="A242" s="5" t="s">
        <v>278</v>
      </c>
      <c r="B242" s="15" t="n">
        <v>6.085023</v>
      </c>
      <c r="C242" s="5" t="s">
        <v>39</v>
      </c>
      <c r="D242" s="16" t="n">
        <v>39.5381</v>
      </c>
      <c r="E242" s="15" t="n">
        <f aca="false">B242-4</f>
        <v>2.085023</v>
      </c>
      <c r="F242" s="17" t="n">
        <f aca="false">IF(B242&gt;=4,1,0)</f>
        <v>1</v>
      </c>
      <c r="G242" s="17" t="n">
        <f aca="false">IF(ABS(E242)&lt;=1.5,1,0)</f>
        <v>0</v>
      </c>
      <c r="H242" s="15" t="n">
        <f aca="false">IF(ABS(E242)&lt;=1.5,1-ABS(E242)/1.5,0)</f>
        <v>0</v>
      </c>
      <c r="I242" s="15" t="n">
        <f aca="false">ABS(E242)</f>
        <v>2.085023</v>
      </c>
    </row>
    <row r="243" customFormat="false" ht="15" hidden="false" customHeight="false" outlineLevel="0" collapsed="false">
      <c r="A243" s="5" t="s">
        <v>279</v>
      </c>
      <c r="B243" s="15" t="n">
        <v>1.173114</v>
      </c>
      <c r="C243" s="5" t="s">
        <v>37</v>
      </c>
      <c r="D243" s="16" t="n">
        <v>47.591</v>
      </c>
      <c r="E243" s="15" t="n">
        <f aca="false">B243-4</f>
        <v>-2.826886</v>
      </c>
      <c r="F243" s="17" t="n">
        <f aca="false">IF(B243&gt;=4,1,0)</f>
        <v>0</v>
      </c>
      <c r="G243" s="17" t="n">
        <f aca="false">IF(ABS(E243)&lt;=1.5,1,0)</f>
        <v>0</v>
      </c>
      <c r="H243" s="15" t="n">
        <f aca="false">IF(ABS(E243)&lt;=1.5,1-ABS(E243)/1.5,0)</f>
        <v>0</v>
      </c>
      <c r="I243" s="15" t="n">
        <f aca="false">ABS(E243)</f>
        <v>2.826886</v>
      </c>
    </row>
    <row r="244" customFormat="false" ht="15" hidden="false" customHeight="false" outlineLevel="0" collapsed="false">
      <c r="A244" s="5" t="s">
        <v>280</v>
      </c>
      <c r="B244" s="15" t="n">
        <v>0.006609</v>
      </c>
      <c r="C244" s="5" t="s">
        <v>37</v>
      </c>
      <c r="D244" s="16" t="n">
        <v>54.651</v>
      </c>
      <c r="E244" s="15" t="n">
        <f aca="false">B244-4</f>
        <v>-3.993391</v>
      </c>
      <c r="F244" s="17" t="n">
        <f aca="false">IF(B244&gt;=4,1,0)</f>
        <v>0</v>
      </c>
      <c r="G244" s="17" t="n">
        <f aca="false">IF(ABS(E244)&lt;=1.5,1,0)</f>
        <v>0</v>
      </c>
      <c r="H244" s="15" t="n">
        <f aca="false">IF(ABS(E244)&lt;=1.5,1-ABS(E244)/1.5,0)</f>
        <v>0</v>
      </c>
      <c r="I244" s="15" t="n">
        <f aca="false">ABS(E244)</f>
        <v>3.993391</v>
      </c>
    </row>
    <row r="245" customFormat="false" ht="15" hidden="false" customHeight="false" outlineLevel="0" collapsed="false">
      <c r="A245" s="5" t="s">
        <v>281</v>
      </c>
      <c r="B245" s="15" t="n">
        <v>0.52937</v>
      </c>
      <c r="C245" s="5" t="s">
        <v>37</v>
      </c>
      <c r="D245" s="16" t="n">
        <v>32.6715</v>
      </c>
      <c r="E245" s="15" t="n">
        <f aca="false">B245-4</f>
        <v>-3.47063</v>
      </c>
      <c r="F245" s="17" t="n">
        <f aca="false">IF(B245&gt;=4,1,0)</f>
        <v>0</v>
      </c>
      <c r="G245" s="17" t="n">
        <f aca="false">IF(ABS(E245)&lt;=1.5,1,0)</f>
        <v>0</v>
      </c>
      <c r="H245" s="15" t="n">
        <f aca="false">IF(ABS(E245)&lt;=1.5,1-ABS(E245)/1.5,0)</f>
        <v>0</v>
      </c>
      <c r="I245" s="15" t="n">
        <f aca="false">ABS(E245)</f>
        <v>3.47063</v>
      </c>
    </row>
    <row r="246" customFormat="false" ht="15" hidden="false" customHeight="false" outlineLevel="0" collapsed="false">
      <c r="A246" s="5" t="s">
        <v>282</v>
      </c>
      <c r="B246" s="15" t="n">
        <v>0.194406</v>
      </c>
      <c r="C246" s="5" t="s">
        <v>37</v>
      </c>
      <c r="D246" s="16" t="n">
        <v>44.7309</v>
      </c>
      <c r="E246" s="15" t="n">
        <f aca="false">B246-4</f>
        <v>-3.805594</v>
      </c>
      <c r="F246" s="17" t="n">
        <f aca="false">IF(B246&gt;=4,1,0)</f>
        <v>0</v>
      </c>
      <c r="G246" s="17" t="n">
        <f aca="false">IF(ABS(E246)&lt;=1.5,1,0)</f>
        <v>0</v>
      </c>
      <c r="H246" s="15" t="n">
        <f aca="false">IF(ABS(E246)&lt;=1.5,1-ABS(E246)/1.5,0)</f>
        <v>0</v>
      </c>
      <c r="I246" s="15" t="n">
        <f aca="false">ABS(E246)</f>
        <v>3.805594</v>
      </c>
    </row>
    <row r="247" customFormat="false" ht="15" hidden="false" customHeight="false" outlineLevel="0" collapsed="false">
      <c r="A247" s="5" t="s">
        <v>283</v>
      </c>
      <c r="B247" s="15" t="n">
        <v>1.881814</v>
      </c>
      <c r="C247" s="5" t="s">
        <v>37</v>
      </c>
      <c r="D247" s="16" t="n">
        <v>47.2961</v>
      </c>
      <c r="E247" s="15" t="n">
        <f aca="false">B247-4</f>
        <v>-2.118186</v>
      </c>
      <c r="F247" s="17" t="n">
        <f aca="false">IF(B247&gt;=4,1,0)</f>
        <v>0</v>
      </c>
      <c r="G247" s="17" t="n">
        <f aca="false">IF(ABS(E247)&lt;=1.5,1,0)</f>
        <v>0</v>
      </c>
      <c r="H247" s="15" t="n">
        <f aca="false">IF(ABS(E247)&lt;=1.5,1-ABS(E247)/1.5,0)</f>
        <v>0</v>
      </c>
      <c r="I247" s="15" t="n">
        <f aca="false">ABS(E247)</f>
        <v>2.118186</v>
      </c>
    </row>
    <row r="248" customFormat="false" ht="15" hidden="false" customHeight="false" outlineLevel="0" collapsed="false">
      <c r="A248" s="5" t="s">
        <v>284</v>
      </c>
      <c r="B248" s="15" t="n">
        <v>5.682923</v>
      </c>
      <c r="C248" s="5" t="s">
        <v>39</v>
      </c>
      <c r="D248" s="16" t="n">
        <v>40.5713</v>
      </c>
      <c r="E248" s="15" t="n">
        <f aca="false">B248-4</f>
        <v>1.682923</v>
      </c>
      <c r="F248" s="17" t="n">
        <f aca="false">IF(B248&gt;=4,1,0)</f>
        <v>1</v>
      </c>
      <c r="G248" s="17" t="n">
        <f aca="false">IF(ABS(E248)&lt;=1.5,1,0)</f>
        <v>0</v>
      </c>
      <c r="H248" s="15" t="n">
        <f aca="false">IF(ABS(E248)&lt;=1.5,1-ABS(E248)/1.5,0)</f>
        <v>0</v>
      </c>
      <c r="I248" s="15" t="n">
        <f aca="false">ABS(E248)</f>
        <v>1.682923</v>
      </c>
    </row>
    <row r="249" customFormat="false" ht="15" hidden="false" customHeight="false" outlineLevel="0" collapsed="false">
      <c r="A249" s="5" t="s">
        <v>285</v>
      </c>
      <c r="B249" s="15" t="n">
        <v>0.355181</v>
      </c>
      <c r="C249" s="5" t="s">
        <v>37</v>
      </c>
      <c r="D249" s="16" t="n">
        <v>56.3572</v>
      </c>
      <c r="E249" s="15" t="n">
        <f aca="false">B249-4</f>
        <v>-3.644819</v>
      </c>
      <c r="F249" s="17" t="n">
        <f aca="false">IF(B249&gt;=4,1,0)</f>
        <v>0</v>
      </c>
      <c r="G249" s="17" t="n">
        <f aca="false">IF(ABS(E249)&lt;=1.5,1,0)</f>
        <v>0</v>
      </c>
      <c r="H249" s="15" t="n">
        <f aca="false">IF(ABS(E249)&lt;=1.5,1-ABS(E249)/1.5,0)</f>
        <v>0</v>
      </c>
      <c r="I249" s="15" t="n">
        <f aca="false">ABS(E249)</f>
        <v>3.644819</v>
      </c>
    </row>
    <row r="250" customFormat="false" ht="15" hidden="false" customHeight="false" outlineLevel="0" collapsed="false">
      <c r="A250" s="5" t="s">
        <v>286</v>
      </c>
      <c r="B250" s="15" t="n">
        <v>2.389636</v>
      </c>
      <c r="C250" s="5" t="s">
        <v>37</v>
      </c>
      <c r="D250" s="16" t="n">
        <v>57.0319</v>
      </c>
      <c r="E250" s="15" t="n">
        <f aca="false">B250-4</f>
        <v>-1.610364</v>
      </c>
      <c r="F250" s="17" t="n">
        <f aca="false">IF(B250&gt;=4,1,0)</f>
        <v>0</v>
      </c>
      <c r="G250" s="17" t="n">
        <f aca="false">IF(ABS(E250)&lt;=1.5,1,0)</f>
        <v>0</v>
      </c>
      <c r="H250" s="15" t="n">
        <f aca="false">IF(ABS(E250)&lt;=1.5,1-ABS(E250)/1.5,0)</f>
        <v>0</v>
      </c>
      <c r="I250" s="15" t="n">
        <f aca="false">ABS(E250)</f>
        <v>1.610364</v>
      </c>
    </row>
    <row r="251" customFormat="false" ht="15" hidden="false" customHeight="false" outlineLevel="0" collapsed="false">
      <c r="A251" s="5" t="s">
        <v>287</v>
      </c>
      <c r="B251" s="15" t="n">
        <v>4.583923</v>
      </c>
      <c r="C251" s="5" t="s">
        <v>39</v>
      </c>
      <c r="D251" s="16" t="n">
        <v>40.0051</v>
      </c>
      <c r="E251" s="15" t="n">
        <f aca="false">B251-4</f>
        <v>0.583923</v>
      </c>
      <c r="F251" s="17" t="n">
        <f aca="false">IF(B251&gt;=4,1,0)</f>
        <v>1</v>
      </c>
      <c r="G251" s="17" t="n">
        <f aca="false">IF(ABS(E251)&lt;=1.5,1,0)</f>
        <v>1</v>
      </c>
      <c r="H251" s="15" t="n">
        <f aca="false">IF(ABS(E251)&lt;=1.5,1-ABS(E251)/1.5,0)</f>
        <v>0.610718</v>
      </c>
      <c r="I251" s="15" t="n">
        <f aca="false">ABS(E251)</f>
        <v>0.583923</v>
      </c>
    </row>
    <row r="252" customFormat="false" ht="15" hidden="false" customHeight="false" outlineLevel="0" collapsed="false">
      <c r="A252" s="5" t="s">
        <v>288</v>
      </c>
      <c r="B252" s="15" t="n">
        <v>2.845672</v>
      </c>
      <c r="C252" s="5" t="s">
        <v>37</v>
      </c>
      <c r="D252" s="16" t="n">
        <v>35.7247</v>
      </c>
      <c r="E252" s="15" t="n">
        <f aca="false">B252-4</f>
        <v>-1.154328</v>
      </c>
      <c r="F252" s="17" t="n">
        <f aca="false">IF(B252&gt;=4,1,0)</f>
        <v>0</v>
      </c>
      <c r="G252" s="17" t="n">
        <f aca="false">IF(ABS(E252)&lt;=1.5,1,0)</f>
        <v>1</v>
      </c>
      <c r="H252" s="15" t="n">
        <f aca="false">IF(ABS(E252)&lt;=1.5,1-ABS(E252)/1.5,0)</f>
        <v>0.230448</v>
      </c>
      <c r="I252" s="15" t="n">
        <f aca="false">ABS(E252)</f>
        <v>1.154328</v>
      </c>
    </row>
    <row r="253" customFormat="false" ht="15" hidden="false" customHeight="false" outlineLevel="0" collapsed="false">
      <c r="A253" s="5" t="s">
        <v>289</v>
      </c>
      <c r="B253" s="15" t="n">
        <v>0.658152</v>
      </c>
      <c r="C253" s="5" t="s">
        <v>37</v>
      </c>
      <c r="D253" s="16" t="n">
        <v>47.2477</v>
      </c>
      <c r="E253" s="15" t="n">
        <f aca="false">B253-4</f>
        <v>-3.341848</v>
      </c>
      <c r="F253" s="17" t="n">
        <f aca="false">IF(B253&gt;=4,1,0)</f>
        <v>0</v>
      </c>
      <c r="G253" s="17" t="n">
        <f aca="false">IF(ABS(E253)&lt;=1.5,1,0)</f>
        <v>0</v>
      </c>
      <c r="H253" s="15" t="n">
        <f aca="false">IF(ABS(E253)&lt;=1.5,1-ABS(E253)/1.5,0)</f>
        <v>0</v>
      </c>
      <c r="I253" s="15" t="n">
        <f aca="false">ABS(E253)</f>
        <v>3.341848</v>
      </c>
    </row>
    <row r="254" customFormat="false" ht="15" hidden="false" customHeight="false" outlineLevel="0" collapsed="false">
      <c r="A254" s="5" t="s">
        <v>290</v>
      </c>
      <c r="B254" s="15" t="n">
        <v>1.682526</v>
      </c>
      <c r="C254" s="5" t="s">
        <v>37</v>
      </c>
      <c r="D254" s="16" t="n">
        <v>55.7122</v>
      </c>
      <c r="E254" s="15" t="n">
        <f aca="false">B254-4</f>
        <v>-2.317474</v>
      </c>
      <c r="F254" s="17" t="n">
        <f aca="false">IF(B254&gt;=4,1,0)</f>
        <v>0</v>
      </c>
      <c r="G254" s="17" t="n">
        <f aca="false">IF(ABS(E254)&lt;=1.5,1,0)</f>
        <v>0</v>
      </c>
      <c r="H254" s="15" t="n">
        <f aca="false">IF(ABS(E254)&lt;=1.5,1-ABS(E254)/1.5,0)</f>
        <v>0</v>
      </c>
      <c r="I254" s="15" t="n">
        <f aca="false">ABS(E254)</f>
        <v>2.317474</v>
      </c>
    </row>
    <row r="255" customFormat="false" ht="15" hidden="false" customHeight="false" outlineLevel="0" collapsed="false">
      <c r="A255" s="5" t="s">
        <v>291</v>
      </c>
      <c r="B255" s="15" t="n">
        <v>3.548879</v>
      </c>
      <c r="C255" s="5" t="s">
        <v>37</v>
      </c>
      <c r="D255" s="16" t="n">
        <v>54.9733</v>
      </c>
      <c r="E255" s="15" t="n">
        <f aca="false">B255-4</f>
        <v>-0.451121</v>
      </c>
      <c r="F255" s="17" t="n">
        <f aca="false">IF(B255&gt;=4,1,0)</f>
        <v>0</v>
      </c>
      <c r="G255" s="17" t="n">
        <f aca="false">IF(ABS(E255)&lt;=1.5,1,0)</f>
        <v>1</v>
      </c>
      <c r="H255" s="15" t="n">
        <f aca="false">IF(ABS(E255)&lt;=1.5,1-ABS(E255)/1.5,0)</f>
        <v>0.699252666666667</v>
      </c>
      <c r="I255" s="15" t="n">
        <f aca="false">ABS(E255)</f>
        <v>0.451121</v>
      </c>
    </row>
    <row r="256" customFormat="false" ht="15" hidden="false" customHeight="false" outlineLevel="0" collapsed="false">
      <c r="A256" s="5" t="s">
        <v>292</v>
      </c>
      <c r="B256" s="15" t="n">
        <v>1.087586</v>
      </c>
      <c r="C256" s="5" t="s">
        <v>37</v>
      </c>
      <c r="D256" s="16" t="n">
        <v>56.9723</v>
      </c>
      <c r="E256" s="15" t="n">
        <f aca="false">B256-4</f>
        <v>-2.912414</v>
      </c>
      <c r="F256" s="17" t="n">
        <f aca="false">IF(B256&gt;=4,1,0)</f>
        <v>0</v>
      </c>
      <c r="G256" s="17" t="n">
        <f aca="false">IF(ABS(E256)&lt;=1.5,1,0)</f>
        <v>0</v>
      </c>
      <c r="H256" s="15" t="n">
        <f aca="false">IF(ABS(E256)&lt;=1.5,1-ABS(E256)/1.5,0)</f>
        <v>0</v>
      </c>
      <c r="I256" s="15" t="n">
        <f aca="false">ABS(E256)</f>
        <v>2.912414</v>
      </c>
    </row>
    <row r="257" customFormat="false" ht="15" hidden="false" customHeight="false" outlineLevel="0" collapsed="false">
      <c r="A257" s="5" t="s">
        <v>293</v>
      </c>
      <c r="B257" s="15" t="n">
        <v>1.320258</v>
      </c>
      <c r="C257" s="5" t="s">
        <v>37</v>
      </c>
      <c r="D257" s="16" t="n">
        <v>43.7876</v>
      </c>
      <c r="E257" s="15" t="n">
        <f aca="false">B257-4</f>
        <v>-2.679742</v>
      </c>
      <c r="F257" s="17" t="n">
        <f aca="false">IF(B257&gt;=4,1,0)</f>
        <v>0</v>
      </c>
      <c r="G257" s="17" t="n">
        <f aca="false">IF(ABS(E257)&lt;=1.5,1,0)</f>
        <v>0</v>
      </c>
      <c r="H257" s="15" t="n">
        <f aca="false">IF(ABS(E257)&lt;=1.5,1-ABS(E257)/1.5,0)</f>
        <v>0</v>
      </c>
      <c r="I257" s="15" t="n">
        <f aca="false">ABS(E257)</f>
        <v>2.679742</v>
      </c>
    </row>
    <row r="258" customFormat="false" ht="15" hidden="false" customHeight="false" outlineLevel="0" collapsed="false">
      <c r="A258" s="5" t="s">
        <v>294</v>
      </c>
      <c r="B258" s="15" t="n">
        <v>2.119717</v>
      </c>
      <c r="C258" s="5" t="s">
        <v>37</v>
      </c>
      <c r="D258" s="16" t="n">
        <v>52.1472</v>
      </c>
      <c r="E258" s="15" t="n">
        <f aca="false">B258-4</f>
        <v>-1.880283</v>
      </c>
      <c r="F258" s="17" t="n">
        <f aca="false">IF(B258&gt;=4,1,0)</f>
        <v>0</v>
      </c>
      <c r="G258" s="17" t="n">
        <f aca="false">IF(ABS(E258)&lt;=1.5,1,0)</f>
        <v>0</v>
      </c>
      <c r="H258" s="15" t="n">
        <f aca="false">IF(ABS(E258)&lt;=1.5,1-ABS(E258)/1.5,0)</f>
        <v>0</v>
      </c>
      <c r="I258" s="15" t="n">
        <f aca="false">ABS(E258)</f>
        <v>1.880283</v>
      </c>
    </row>
    <row r="259" customFormat="false" ht="15" hidden="false" customHeight="false" outlineLevel="0" collapsed="false">
      <c r="A259" s="5" t="s">
        <v>295</v>
      </c>
      <c r="B259" s="15" t="n">
        <v>1.45354</v>
      </c>
      <c r="C259" s="5" t="s">
        <v>37</v>
      </c>
      <c r="D259" s="16" t="n">
        <v>57.661</v>
      </c>
      <c r="E259" s="15" t="n">
        <f aca="false">B259-4</f>
        <v>-2.54646</v>
      </c>
      <c r="F259" s="17" t="n">
        <f aca="false">IF(B259&gt;=4,1,0)</f>
        <v>0</v>
      </c>
      <c r="G259" s="17" t="n">
        <f aca="false">IF(ABS(E259)&lt;=1.5,1,0)</f>
        <v>0</v>
      </c>
      <c r="H259" s="15" t="n">
        <f aca="false">IF(ABS(E259)&lt;=1.5,1-ABS(E259)/1.5,0)</f>
        <v>0</v>
      </c>
      <c r="I259" s="15" t="n">
        <f aca="false">ABS(E259)</f>
        <v>2.54646</v>
      </c>
    </row>
    <row r="260" customFormat="false" ht="15" hidden="false" customHeight="false" outlineLevel="0" collapsed="false">
      <c r="A260" s="5" t="s">
        <v>296</v>
      </c>
      <c r="B260" s="15" t="n">
        <v>4.469997</v>
      </c>
      <c r="C260" s="5" t="s">
        <v>39</v>
      </c>
      <c r="D260" s="16" t="n">
        <v>36.7735</v>
      </c>
      <c r="E260" s="15" t="n">
        <f aca="false">B260-4</f>
        <v>0.469997</v>
      </c>
      <c r="F260" s="17" t="n">
        <f aca="false">IF(B260&gt;=4,1,0)</f>
        <v>1</v>
      </c>
      <c r="G260" s="17" t="n">
        <f aca="false">IF(ABS(E260)&lt;=1.5,1,0)</f>
        <v>1</v>
      </c>
      <c r="H260" s="15" t="n">
        <f aca="false">IF(ABS(E260)&lt;=1.5,1-ABS(E260)/1.5,0)</f>
        <v>0.686668666666667</v>
      </c>
      <c r="I260" s="15" t="n">
        <f aca="false">ABS(E260)</f>
        <v>0.469997</v>
      </c>
    </row>
    <row r="261" customFormat="false" ht="15" hidden="false" customHeight="false" outlineLevel="0" collapsed="false">
      <c r="A261" s="5" t="s">
        <v>297</v>
      </c>
      <c r="B261" s="15" t="n">
        <v>0.310216</v>
      </c>
      <c r="C261" s="5" t="s">
        <v>37</v>
      </c>
      <c r="D261" s="16" t="n">
        <v>44.8225</v>
      </c>
      <c r="E261" s="15" t="n">
        <f aca="false">B261-4</f>
        <v>-3.689784</v>
      </c>
      <c r="F261" s="17" t="n">
        <f aca="false">IF(B261&gt;=4,1,0)</f>
        <v>0</v>
      </c>
      <c r="G261" s="17" t="n">
        <f aca="false">IF(ABS(E261)&lt;=1.5,1,0)</f>
        <v>0</v>
      </c>
      <c r="H261" s="15" t="n">
        <f aca="false">IF(ABS(E261)&lt;=1.5,1-ABS(E261)/1.5,0)</f>
        <v>0</v>
      </c>
      <c r="I261" s="15" t="n">
        <f aca="false">ABS(E261)</f>
        <v>3.689784</v>
      </c>
    </row>
    <row r="262" customFormat="false" ht="15" hidden="false" customHeight="false" outlineLevel="0" collapsed="false">
      <c r="A262" s="5" t="s">
        <v>298</v>
      </c>
      <c r="B262" s="15" t="n">
        <v>0.368341</v>
      </c>
      <c r="C262" s="5" t="s">
        <v>37</v>
      </c>
      <c r="D262" s="16" t="n">
        <v>54.4162</v>
      </c>
      <c r="E262" s="15" t="n">
        <f aca="false">B262-4</f>
        <v>-3.631659</v>
      </c>
      <c r="F262" s="17" t="n">
        <f aca="false">IF(B262&gt;=4,1,0)</f>
        <v>0</v>
      </c>
      <c r="G262" s="17" t="n">
        <f aca="false">IF(ABS(E262)&lt;=1.5,1,0)</f>
        <v>0</v>
      </c>
      <c r="H262" s="15" t="n">
        <f aca="false">IF(ABS(E262)&lt;=1.5,1-ABS(E262)/1.5,0)</f>
        <v>0</v>
      </c>
      <c r="I262" s="15" t="n">
        <f aca="false">ABS(E262)</f>
        <v>3.631659</v>
      </c>
    </row>
    <row r="263" customFormat="false" ht="15" hidden="false" customHeight="false" outlineLevel="0" collapsed="false">
      <c r="A263" s="5" t="s">
        <v>299</v>
      </c>
      <c r="B263" s="15" t="n">
        <v>1.067944</v>
      </c>
      <c r="C263" s="5" t="s">
        <v>37</v>
      </c>
      <c r="D263" s="16" t="n">
        <v>21.7141</v>
      </c>
      <c r="E263" s="15" t="n">
        <f aca="false">B263-4</f>
        <v>-2.932056</v>
      </c>
      <c r="F263" s="17" t="n">
        <f aca="false">IF(B263&gt;=4,1,0)</f>
        <v>0</v>
      </c>
      <c r="G263" s="17" t="n">
        <f aca="false">IF(ABS(E263)&lt;=1.5,1,0)</f>
        <v>0</v>
      </c>
      <c r="H263" s="15" t="n">
        <f aca="false">IF(ABS(E263)&lt;=1.5,1-ABS(E263)/1.5,0)</f>
        <v>0</v>
      </c>
      <c r="I263" s="15" t="n">
        <f aca="false">ABS(E263)</f>
        <v>2.932056</v>
      </c>
    </row>
    <row r="264" customFormat="false" ht="15" hidden="false" customHeight="false" outlineLevel="0" collapsed="false">
      <c r="A264" s="5" t="s">
        <v>300</v>
      </c>
      <c r="B264" s="15" t="n">
        <v>3.983795</v>
      </c>
      <c r="C264" s="5" t="s">
        <v>37</v>
      </c>
      <c r="D264" s="16" t="n">
        <v>48.78</v>
      </c>
      <c r="E264" s="15" t="n">
        <f aca="false">B264-4</f>
        <v>-0.0162049999999998</v>
      </c>
      <c r="F264" s="17" t="n">
        <f aca="false">IF(B264&gt;=4,1,0)</f>
        <v>0</v>
      </c>
      <c r="G264" s="17" t="n">
        <f aca="false">IF(ABS(E264)&lt;=1.5,1,0)</f>
        <v>1</v>
      </c>
      <c r="H264" s="15" t="n">
        <f aca="false">IF(ABS(E264)&lt;=1.5,1-ABS(E264)/1.5,0)</f>
        <v>0.989196666666667</v>
      </c>
      <c r="I264" s="15" t="n">
        <f aca="false">ABS(E264)</f>
        <v>0.0162049999999998</v>
      </c>
    </row>
    <row r="265" customFormat="false" ht="15" hidden="false" customHeight="false" outlineLevel="0" collapsed="false">
      <c r="A265" s="5" t="s">
        <v>301</v>
      </c>
      <c r="B265" s="15" t="n">
        <v>0.604189</v>
      </c>
      <c r="C265" s="5" t="s">
        <v>37</v>
      </c>
      <c r="D265" s="16" t="n">
        <v>46.7777</v>
      </c>
      <c r="E265" s="15" t="n">
        <f aca="false">B265-4</f>
        <v>-3.395811</v>
      </c>
      <c r="F265" s="17" t="n">
        <f aca="false">IF(B265&gt;=4,1,0)</f>
        <v>0</v>
      </c>
      <c r="G265" s="17" t="n">
        <f aca="false">IF(ABS(E265)&lt;=1.5,1,0)</f>
        <v>0</v>
      </c>
      <c r="H265" s="15" t="n">
        <f aca="false">IF(ABS(E265)&lt;=1.5,1-ABS(E265)/1.5,0)</f>
        <v>0</v>
      </c>
      <c r="I265" s="15" t="n">
        <f aca="false">ABS(E265)</f>
        <v>3.395811</v>
      </c>
    </row>
    <row r="266" customFormat="false" ht="15" hidden="false" customHeight="false" outlineLevel="0" collapsed="false">
      <c r="A266" s="5" t="s">
        <v>302</v>
      </c>
      <c r="B266" s="15" t="n">
        <v>6.398689</v>
      </c>
      <c r="C266" s="5" t="s">
        <v>39</v>
      </c>
      <c r="D266" s="16" t="n">
        <v>35.0892</v>
      </c>
      <c r="E266" s="15" t="n">
        <f aca="false">B266-4</f>
        <v>2.398689</v>
      </c>
      <c r="F266" s="17" t="n">
        <f aca="false">IF(B266&gt;=4,1,0)</f>
        <v>1</v>
      </c>
      <c r="G266" s="17" t="n">
        <f aca="false">IF(ABS(E266)&lt;=1.5,1,0)</f>
        <v>0</v>
      </c>
      <c r="H266" s="15" t="n">
        <f aca="false">IF(ABS(E266)&lt;=1.5,1-ABS(E266)/1.5,0)</f>
        <v>0</v>
      </c>
      <c r="I266" s="15" t="n">
        <f aca="false">ABS(E266)</f>
        <v>2.398689</v>
      </c>
    </row>
    <row r="267" customFormat="false" ht="15" hidden="false" customHeight="false" outlineLevel="0" collapsed="false">
      <c r="A267" s="5" t="s">
        <v>303</v>
      </c>
      <c r="B267" s="15" t="n">
        <v>2.485778</v>
      </c>
      <c r="C267" s="5" t="s">
        <v>37</v>
      </c>
      <c r="D267" s="16" t="n">
        <v>60.7031</v>
      </c>
      <c r="E267" s="15" t="n">
        <f aca="false">B267-4</f>
        <v>-1.514222</v>
      </c>
      <c r="F267" s="17" t="n">
        <f aca="false">IF(B267&gt;=4,1,0)</f>
        <v>0</v>
      </c>
      <c r="G267" s="17" t="n">
        <f aca="false">IF(ABS(E267)&lt;=1.5,1,0)</f>
        <v>0</v>
      </c>
      <c r="H267" s="15" t="n">
        <f aca="false">IF(ABS(E267)&lt;=1.5,1-ABS(E267)/1.5,0)</f>
        <v>0</v>
      </c>
      <c r="I267" s="15" t="n">
        <f aca="false">ABS(E267)</f>
        <v>1.514222</v>
      </c>
    </row>
    <row r="268" customFormat="false" ht="15" hidden="false" customHeight="false" outlineLevel="0" collapsed="false">
      <c r="A268" s="5" t="s">
        <v>304</v>
      </c>
      <c r="B268" s="15" t="n">
        <v>0.789635</v>
      </c>
      <c r="C268" s="5" t="s">
        <v>37</v>
      </c>
      <c r="D268" s="16" t="n">
        <v>56.6196</v>
      </c>
      <c r="E268" s="15" t="n">
        <f aca="false">B268-4</f>
        <v>-3.210365</v>
      </c>
      <c r="F268" s="17" t="n">
        <f aca="false">IF(B268&gt;=4,1,0)</f>
        <v>0</v>
      </c>
      <c r="G268" s="17" t="n">
        <f aca="false">IF(ABS(E268)&lt;=1.5,1,0)</f>
        <v>0</v>
      </c>
      <c r="H268" s="15" t="n">
        <f aca="false">IF(ABS(E268)&lt;=1.5,1-ABS(E268)/1.5,0)</f>
        <v>0</v>
      </c>
      <c r="I268" s="15" t="n">
        <f aca="false">ABS(E268)</f>
        <v>3.210365</v>
      </c>
    </row>
    <row r="269" customFormat="false" ht="15" hidden="false" customHeight="false" outlineLevel="0" collapsed="false">
      <c r="A269" s="5" t="s">
        <v>305</v>
      </c>
      <c r="B269" s="15" t="n">
        <v>1.388145</v>
      </c>
      <c r="C269" s="5" t="s">
        <v>37</v>
      </c>
      <c r="D269" s="16" t="n">
        <v>24.2288</v>
      </c>
      <c r="E269" s="15" t="n">
        <f aca="false">B269-4</f>
        <v>-2.611855</v>
      </c>
      <c r="F269" s="17" t="n">
        <f aca="false">IF(B269&gt;=4,1,0)</f>
        <v>0</v>
      </c>
      <c r="G269" s="17" t="n">
        <f aca="false">IF(ABS(E269)&lt;=1.5,1,0)</f>
        <v>0</v>
      </c>
      <c r="H269" s="15" t="n">
        <f aca="false">IF(ABS(E269)&lt;=1.5,1-ABS(E269)/1.5,0)</f>
        <v>0</v>
      </c>
      <c r="I269" s="15" t="n">
        <f aca="false">ABS(E269)</f>
        <v>2.611855</v>
      </c>
    </row>
    <row r="270" customFormat="false" ht="15" hidden="false" customHeight="false" outlineLevel="0" collapsed="false">
      <c r="A270" s="5" t="s">
        <v>306</v>
      </c>
      <c r="B270" s="15" t="n">
        <v>1.058175</v>
      </c>
      <c r="C270" s="5" t="s">
        <v>37</v>
      </c>
      <c r="D270" s="16" t="n">
        <v>44.6229</v>
      </c>
      <c r="E270" s="15" t="n">
        <f aca="false">B270-4</f>
        <v>-2.941825</v>
      </c>
      <c r="F270" s="17" t="n">
        <f aca="false">IF(B270&gt;=4,1,0)</f>
        <v>0</v>
      </c>
      <c r="G270" s="17" t="n">
        <f aca="false">IF(ABS(E270)&lt;=1.5,1,0)</f>
        <v>0</v>
      </c>
      <c r="H270" s="15" t="n">
        <f aca="false">IF(ABS(E270)&lt;=1.5,1-ABS(E270)/1.5,0)</f>
        <v>0</v>
      </c>
      <c r="I270" s="15" t="n">
        <f aca="false">ABS(E270)</f>
        <v>2.941825</v>
      </c>
    </row>
    <row r="271" customFormat="false" ht="15" hidden="false" customHeight="false" outlineLevel="0" collapsed="false">
      <c r="A271" s="5" t="s">
        <v>307</v>
      </c>
      <c r="B271" s="15" t="n">
        <v>2.32624</v>
      </c>
      <c r="C271" s="5" t="s">
        <v>37</v>
      </c>
      <c r="D271" s="16" t="n">
        <v>40.2864</v>
      </c>
      <c r="E271" s="15" t="n">
        <f aca="false">B271-4</f>
        <v>-1.67376</v>
      </c>
      <c r="F271" s="17" t="n">
        <f aca="false">IF(B271&gt;=4,1,0)</f>
        <v>0</v>
      </c>
      <c r="G271" s="17" t="n">
        <f aca="false">IF(ABS(E271)&lt;=1.5,1,0)</f>
        <v>0</v>
      </c>
      <c r="H271" s="15" t="n">
        <f aca="false">IF(ABS(E271)&lt;=1.5,1-ABS(E271)/1.5,0)</f>
        <v>0</v>
      </c>
      <c r="I271" s="15" t="n">
        <f aca="false">ABS(E271)</f>
        <v>1.67376</v>
      </c>
    </row>
    <row r="272" customFormat="false" ht="15" hidden="false" customHeight="false" outlineLevel="0" collapsed="false">
      <c r="A272" s="5" t="s">
        <v>308</v>
      </c>
      <c r="B272" s="15" t="n">
        <v>1.905728</v>
      </c>
      <c r="C272" s="5" t="s">
        <v>37</v>
      </c>
      <c r="D272" s="16" t="n">
        <v>27.8626</v>
      </c>
      <c r="E272" s="15" t="n">
        <f aca="false">B272-4</f>
        <v>-2.094272</v>
      </c>
      <c r="F272" s="17" t="n">
        <f aca="false">IF(B272&gt;=4,1,0)</f>
        <v>0</v>
      </c>
      <c r="G272" s="17" t="n">
        <f aca="false">IF(ABS(E272)&lt;=1.5,1,0)</f>
        <v>0</v>
      </c>
      <c r="H272" s="15" t="n">
        <f aca="false">IF(ABS(E272)&lt;=1.5,1-ABS(E272)/1.5,0)</f>
        <v>0</v>
      </c>
      <c r="I272" s="15" t="n">
        <f aca="false">ABS(E272)</f>
        <v>2.094272</v>
      </c>
    </row>
    <row r="273" customFormat="false" ht="15" hidden="false" customHeight="false" outlineLevel="0" collapsed="false">
      <c r="A273" s="5" t="s">
        <v>309</v>
      </c>
      <c r="B273" s="15" t="n">
        <v>1.284155</v>
      </c>
      <c r="C273" s="5" t="s">
        <v>37</v>
      </c>
      <c r="D273" s="16" t="n">
        <v>33.0766</v>
      </c>
      <c r="E273" s="15" t="n">
        <f aca="false">B273-4</f>
        <v>-2.715845</v>
      </c>
      <c r="F273" s="17" t="n">
        <f aca="false">IF(B273&gt;=4,1,0)</f>
        <v>0</v>
      </c>
      <c r="G273" s="17" t="n">
        <f aca="false">IF(ABS(E273)&lt;=1.5,1,0)</f>
        <v>0</v>
      </c>
      <c r="H273" s="15" t="n">
        <f aca="false">IF(ABS(E273)&lt;=1.5,1-ABS(E273)/1.5,0)</f>
        <v>0</v>
      </c>
      <c r="I273" s="15" t="n">
        <f aca="false">ABS(E273)</f>
        <v>2.715845</v>
      </c>
    </row>
    <row r="274" customFormat="false" ht="15" hidden="false" customHeight="false" outlineLevel="0" collapsed="false">
      <c r="A274" s="5" t="s">
        <v>310</v>
      </c>
      <c r="B274" s="15" t="n">
        <v>2.719727</v>
      </c>
      <c r="C274" s="5" t="s">
        <v>37</v>
      </c>
      <c r="D274" s="16" t="n">
        <v>47.9747</v>
      </c>
      <c r="E274" s="15" t="n">
        <f aca="false">B274-4</f>
        <v>-1.280273</v>
      </c>
      <c r="F274" s="17" t="n">
        <f aca="false">IF(B274&gt;=4,1,0)</f>
        <v>0</v>
      </c>
      <c r="G274" s="17" t="n">
        <f aca="false">IF(ABS(E274)&lt;=1.5,1,0)</f>
        <v>1</v>
      </c>
      <c r="H274" s="15" t="n">
        <f aca="false">IF(ABS(E274)&lt;=1.5,1-ABS(E274)/1.5,0)</f>
        <v>0.146484666666666</v>
      </c>
      <c r="I274" s="15" t="n">
        <f aca="false">ABS(E274)</f>
        <v>1.280273</v>
      </c>
    </row>
    <row r="275" customFormat="false" ht="15" hidden="false" customHeight="false" outlineLevel="0" collapsed="false">
      <c r="A275" s="5" t="s">
        <v>311</v>
      </c>
      <c r="B275" s="15" t="n">
        <v>5.308361</v>
      </c>
      <c r="C275" s="5" t="s">
        <v>39</v>
      </c>
      <c r="D275" s="16" t="n">
        <v>51.0422</v>
      </c>
      <c r="E275" s="15" t="n">
        <f aca="false">B275-4</f>
        <v>1.308361</v>
      </c>
      <c r="F275" s="17" t="n">
        <f aca="false">IF(B275&gt;=4,1,0)</f>
        <v>1</v>
      </c>
      <c r="G275" s="17" t="n">
        <f aca="false">IF(ABS(E275)&lt;=1.5,1,0)</f>
        <v>1</v>
      </c>
      <c r="H275" s="15" t="n">
        <f aca="false">IF(ABS(E275)&lt;=1.5,1-ABS(E275)/1.5,0)</f>
        <v>0.127759333333334</v>
      </c>
      <c r="I275" s="15" t="n">
        <f aca="false">ABS(E275)</f>
        <v>1.308361</v>
      </c>
    </row>
    <row r="276" customFormat="false" ht="15" hidden="false" customHeight="false" outlineLevel="0" collapsed="false">
      <c r="A276" s="5" t="s">
        <v>312</v>
      </c>
      <c r="B276" s="15" t="n">
        <v>2.896242</v>
      </c>
      <c r="C276" s="5" t="s">
        <v>37</v>
      </c>
      <c r="D276" s="16" t="n">
        <v>50.6542</v>
      </c>
      <c r="E276" s="15" t="n">
        <f aca="false">B276-4</f>
        <v>-1.103758</v>
      </c>
      <c r="F276" s="17" t="n">
        <f aca="false">IF(B276&gt;=4,1,0)</f>
        <v>0</v>
      </c>
      <c r="G276" s="17" t="n">
        <f aca="false">IF(ABS(E276)&lt;=1.5,1,0)</f>
        <v>1</v>
      </c>
      <c r="H276" s="15" t="n">
        <f aca="false">IF(ABS(E276)&lt;=1.5,1-ABS(E276)/1.5,0)</f>
        <v>0.264161333333333</v>
      </c>
      <c r="I276" s="15" t="n">
        <f aca="false">ABS(E276)</f>
        <v>1.103758</v>
      </c>
    </row>
    <row r="277" customFormat="false" ht="15" hidden="false" customHeight="false" outlineLevel="0" collapsed="false">
      <c r="A277" s="5" t="s">
        <v>313</v>
      </c>
      <c r="B277" s="15" t="n">
        <v>0.62502</v>
      </c>
      <c r="C277" s="5" t="s">
        <v>37</v>
      </c>
      <c r="D277" s="16" t="n">
        <v>48.7618</v>
      </c>
      <c r="E277" s="15" t="n">
        <f aca="false">B277-4</f>
        <v>-3.37498</v>
      </c>
      <c r="F277" s="17" t="n">
        <f aca="false">IF(B277&gt;=4,1,0)</f>
        <v>0</v>
      </c>
      <c r="G277" s="17" t="n">
        <f aca="false">IF(ABS(E277)&lt;=1.5,1,0)</f>
        <v>0</v>
      </c>
      <c r="H277" s="15" t="n">
        <f aca="false">IF(ABS(E277)&lt;=1.5,1-ABS(E277)/1.5,0)</f>
        <v>0</v>
      </c>
      <c r="I277" s="15" t="n">
        <f aca="false">ABS(E277)</f>
        <v>3.37498</v>
      </c>
    </row>
    <row r="278" customFormat="false" ht="15" hidden="false" customHeight="false" outlineLevel="0" collapsed="false">
      <c r="A278" s="5" t="s">
        <v>314</v>
      </c>
      <c r="B278" s="15" t="n">
        <v>3.973991</v>
      </c>
      <c r="C278" s="5" t="s">
        <v>37</v>
      </c>
      <c r="D278" s="16" t="n">
        <v>50.9013</v>
      </c>
      <c r="E278" s="15" t="n">
        <f aca="false">B278-4</f>
        <v>-0.0260090000000002</v>
      </c>
      <c r="F278" s="17" t="n">
        <f aca="false">IF(B278&gt;=4,1,0)</f>
        <v>0</v>
      </c>
      <c r="G278" s="17" t="n">
        <f aca="false">IF(ABS(E278)&lt;=1.5,1,0)</f>
        <v>1</v>
      </c>
      <c r="H278" s="15" t="n">
        <f aca="false">IF(ABS(E278)&lt;=1.5,1-ABS(E278)/1.5,0)</f>
        <v>0.982660666666667</v>
      </c>
      <c r="I278" s="15" t="n">
        <f aca="false">ABS(E278)</f>
        <v>0.0260090000000002</v>
      </c>
    </row>
    <row r="279" customFormat="false" ht="15" hidden="false" customHeight="false" outlineLevel="0" collapsed="false">
      <c r="A279" s="5" t="s">
        <v>315</v>
      </c>
      <c r="B279" s="15" t="n">
        <v>2.277446</v>
      </c>
      <c r="C279" s="5" t="s">
        <v>37</v>
      </c>
      <c r="D279" s="16" t="n">
        <v>58.202</v>
      </c>
      <c r="E279" s="15" t="n">
        <f aca="false">B279-4</f>
        <v>-1.722554</v>
      </c>
      <c r="F279" s="17" t="n">
        <f aca="false">IF(B279&gt;=4,1,0)</f>
        <v>0</v>
      </c>
      <c r="G279" s="17" t="n">
        <f aca="false">IF(ABS(E279)&lt;=1.5,1,0)</f>
        <v>0</v>
      </c>
      <c r="H279" s="15" t="n">
        <f aca="false">IF(ABS(E279)&lt;=1.5,1-ABS(E279)/1.5,0)</f>
        <v>0</v>
      </c>
      <c r="I279" s="15" t="n">
        <f aca="false">ABS(E279)</f>
        <v>1.722554</v>
      </c>
    </row>
    <row r="280" customFormat="false" ht="15" hidden="false" customHeight="false" outlineLevel="0" collapsed="false">
      <c r="A280" s="5" t="s">
        <v>316</v>
      </c>
      <c r="B280" s="15" t="n">
        <v>3.046892</v>
      </c>
      <c r="C280" s="5" t="s">
        <v>37</v>
      </c>
      <c r="D280" s="16" t="n">
        <v>28.7771</v>
      </c>
      <c r="E280" s="15" t="n">
        <f aca="false">B280-4</f>
        <v>-0.953108</v>
      </c>
      <c r="F280" s="17" t="n">
        <f aca="false">IF(B280&gt;=4,1,0)</f>
        <v>0</v>
      </c>
      <c r="G280" s="17" t="n">
        <f aca="false">IF(ABS(E280)&lt;=1.5,1,0)</f>
        <v>1</v>
      </c>
      <c r="H280" s="15" t="n">
        <f aca="false">IF(ABS(E280)&lt;=1.5,1-ABS(E280)/1.5,0)</f>
        <v>0.364594666666667</v>
      </c>
      <c r="I280" s="15" t="n">
        <f aca="false">ABS(E280)</f>
        <v>0.953108</v>
      </c>
    </row>
    <row r="281" customFormat="false" ht="15" hidden="false" customHeight="false" outlineLevel="0" collapsed="false">
      <c r="A281" s="5" t="s">
        <v>317</v>
      </c>
      <c r="B281" s="15" t="n">
        <v>1.193454</v>
      </c>
      <c r="C281" s="5" t="s">
        <v>37</v>
      </c>
      <c r="D281" s="16" t="n">
        <v>47.3912</v>
      </c>
      <c r="E281" s="15" t="n">
        <f aca="false">B281-4</f>
        <v>-2.806546</v>
      </c>
      <c r="F281" s="17" t="n">
        <f aca="false">IF(B281&gt;=4,1,0)</f>
        <v>0</v>
      </c>
      <c r="G281" s="17" t="n">
        <f aca="false">IF(ABS(E281)&lt;=1.5,1,0)</f>
        <v>0</v>
      </c>
      <c r="H281" s="15" t="n">
        <f aca="false">IF(ABS(E281)&lt;=1.5,1-ABS(E281)/1.5,0)</f>
        <v>0</v>
      </c>
      <c r="I281" s="15" t="n">
        <f aca="false">ABS(E281)</f>
        <v>2.806546</v>
      </c>
    </row>
    <row r="282" customFormat="false" ht="15" hidden="false" customHeight="false" outlineLevel="0" collapsed="false">
      <c r="A282" s="5" t="s">
        <v>318</v>
      </c>
      <c r="B282" s="15" t="n">
        <v>1.03113</v>
      </c>
      <c r="C282" s="5" t="s">
        <v>37</v>
      </c>
      <c r="D282" s="16" t="n">
        <v>40.6884</v>
      </c>
      <c r="E282" s="15" t="n">
        <f aca="false">B282-4</f>
        <v>-2.96887</v>
      </c>
      <c r="F282" s="17" t="n">
        <f aca="false">IF(B282&gt;=4,1,0)</f>
        <v>0</v>
      </c>
      <c r="G282" s="17" t="n">
        <f aca="false">IF(ABS(E282)&lt;=1.5,1,0)</f>
        <v>0</v>
      </c>
      <c r="H282" s="15" t="n">
        <f aca="false">IF(ABS(E282)&lt;=1.5,1-ABS(E282)/1.5,0)</f>
        <v>0</v>
      </c>
      <c r="I282" s="15" t="n">
        <f aca="false">ABS(E282)</f>
        <v>2.96887</v>
      </c>
    </row>
    <row r="283" customFormat="false" ht="15" hidden="false" customHeight="false" outlineLevel="0" collapsed="false">
      <c r="A283" s="5" t="s">
        <v>319</v>
      </c>
      <c r="B283" s="15" t="n">
        <v>2.431234</v>
      </c>
      <c r="C283" s="5" t="s">
        <v>37</v>
      </c>
      <c r="D283" s="16" t="n">
        <v>45.0007</v>
      </c>
      <c r="E283" s="15" t="n">
        <f aca="false">B283-4</f>
        <v>-1.568766</v>
      </c>
      <c r="F283" s="17" t="n">
        <f aca="false">IF(B283&gt;=4,1,0)</f>
        <v>0</v>
      </c>
      <c r="G283" s="17" t="n">
        <f aca="false">IF(ABS(E283)&lt;=1.5,1,0)</f>
        <v>0</v>
      </c>
      <c r="H283" s="15" t="n">
        <f aca="false">IF(ABS(E283)&lt;=1.5,1-ABS(E283)/1.5,0)</f>
        <v>0</v>
      </c>
      <c r="I283" s="15" t="n">
        <f aca="false">ABS(E283)</f>
        <v>1.568766</v>
      </c>
    </row>
    <row r="284" customFormat="false" ht="15" hidden="false" customHeight="false" outlineLevel="0" collapsed="false">
      <c r="A284" s="5" t="s">
        <v>320</v>
      </c>
      <c r="B284" s="15" t="n">
        <v>0.103114</v>
      </c>
      <c r="C284" s="5" t="s">
        <v>37</v>
      </c>
      <c r="D284" s="16" t="n">
        <v>46.0602</v>
      </c>
      <c r="E284" s="15" t="n">
        <f aca="false">B284-4</f>
        <v>-3.896886</v>
      </c>
      <c r="F284" s="17" t="n">
        <f aca="false">IF(B284&gt;=4,1,0)</f>
        <v>0</v>
      </c>
      <c r="G284" s="17" t="n">
        <f aca="false">IF(ABS(E284)&lt;=1.5,1,0)</f>
        <v>0</v>
      </c>
      <c r="H284" s="15" t="n">
        <f aca="false">IF(ABS(E284)&lt;=1.5,1-ABS(E284)/1.5,0)</f>
        <v>0</v>
      </c>
      <c r="I284" s="15" t="n">
        <f aca="false">ABS(E284)</f>
        <v>3.896886</v>
      </c>
    </row>
    <row r="285" customFormat="false" ht="15" hidden="false" customHeight="false" outlineLevel="0" collapsed="false">
      <c r="A285" s="5" t="s">
        <v>321</v>
      </c>
      <c r="B285" s="15" t="n">
        <v>3.102022</v>
      </c>
      <c r="C285" s="5" t="s">
        <v>37</v>
      </c>
      <c r="D285" s="16" t="n">
        <v>64.6658</v>
      </c>
      <c r="E285" s="15" t="n">
        <f aca="false">B285-4</f>
        <v>-0.897978</v>
      </c>
      <c r="F285" s="17" t="n">
        <f aca="false">IF(B285&gt;=4,1,0)</f>
        <v>0</v>
      </c>
      <c r="G285" s="17" t="n">
        <f aca="false">IF(ABS(E285)&lt;=1.5,1,0)</f>
        <v>1</v>
      </c>
      <c r="H285" s="15" t="n">
        <f aca="false">IF(ABS(E285)&lt;=1.5,1-ABS(E285)/1.5,0)</f>
        <v>0.401348</v>
      </c>
      <c r="I285" s="15" t="n">
        <f aca="false">ABS(E285)</f>
        <v>0.897978</v>
      </c>
    </row>
    <row r="286" customFormat="false" ht="15" hidden="false" customHeight="false" outlineLevel="0" collapsed="false">
      <c r="A286" s="5" t="s">
        <v>322</v>
      </c>
      <c r="B286" s="15" t="n">
        <v>1.315093</v>
      </c>
      <c r="C286" s="5" t="s">
        <v>37</v>
      </c>
      <c r="D286" s="16" t="n">
        <v>42.5615</v>
      </c>
      <c r="E286" s="15" t="n">
        <f aca="false">B286-4</f>
        <v>-2.684907</v>
      </c>
      <c r="F286" s="17" t="n">
        <f aca="false">IF(B286&gt;=4,1,0)</f>
        <v>0</v>
      </c>
      <c r="G286" s="17" t="n">
        <f aca="false">IF(ABS(E286)&lt;=1.5,1,0)</f>
        <v>0</v>
      </c>
      <c r="H286" s="15" t="n">
        <f aca="false">IF(ABS(E286)&lt;=1.5,1-ABS(E286)/1.5,0)</f>
        <v>0</v>
      </c>
      <c r="I286" s="15" t="n">
        <f aca="false">ABS(E286)</f>
        <v>2.684907</v>
      </c>
    </row>
    <row r="287" customFormat="false" ht="15" hidden="false" customHeight="false" outlineLevel="0" collapsed="false">
      <c r="A287" s="5" t="s">
        <v>323</v>
      </c>
      <c r="B287" s="15" t="n">
        <v>2.520296</v>
      </c>
      <c r="C287" s="5" t="s">
        <v>37</v>
      </c>
      <c r="D287" s="16" t="n">
        <v>50.9994</v>
      </c>
      <c r="E287" s="15" t="n">
        <f aca="false">B287-4</f>
        <v>-1.479704</v>
      </c>
      <c r="F287" s="17" t="n">
        <f aca="false">IF(B287&gt;=4,1,0)</f>
        <v>0</v>
      </c>
      <c r="G287" s="17" t="n">
        <f aca="false">IF(ABS(E287)&lt;=1.5,1,0)</f>
        <v>1</v>
      </c>
      <c r="H287" s="15" t="n">
        <f aca="false">IF(ABS(E287)&lt;=1.5,1-ABS(E287)/1.5,0)</f>
        <v>0.0135306666666667</v>
      </c>
      <c r="I287" s="15" t="n">
        <f aca="false">ABS(E287)</f>
        <v>1.479704</v>
      </c>
    </row>
    <row r="288" customFormat="false" ht="15" hidden="false" customHeight="false" outlineLevel="0" collapsed="false">
      <c r="A288" s="5" t="s">
        <v>324</v>
      </c>
      <c r="B288" s="15" t="n">
        <v>1.097674</v>
      </c>
      <c r="C288" s="5" t="s">
        <v>37</v>
      </c>
      <c r="D288" s="16" t="n">
        <v>72.5926</v>
      </c>
      <c r="E288" s="15" t="n">
        <f aca="false">B288-4</f>
        <v>-2.902326</v>
      </c>
      <c r="F288" s="17" t="n">
        <f aca="false">IF(B288&gt;=4,1,0)</f>
        <v>0</v>
      </c>
      <c r="G288" s="17" t="n">
        <f aca="false">IF(ABS(E288)&lt;=1.5,1,0)</f>
        <v>0</v>
      </c>
      <c r="H288" s="15" t="n">
        <f aca="false">IF(ABS(E288)&lt;=1.5,1-ABS(E288)/1.5,0)</f>
        <v>0</v>
      </c>
      <c r="I288" s="15" t="n">
        <f aca="false">ABS(E288)</f>
        <v>2.902326</v>
      </c>
    </row>
    <row r="289" customFormat="false" ht="15" hidden="false" customHeight="false" outlineLevel="0" collapsed="false">
      <c r="A289" s="5" t="s">
        <v>325</v>
      </c>
      <c r="B289" s="15" t="n">
        <v>0.255582</v>
      </c>
      <c r="C289" s="5" t="s">
        <v>37</v>
      </c>
      <c r="D289" s="16" t="n">
        <v>30.3244</v>
      </c>
      <c r="E289" s="15" t="n">
        <f aca="false">B289-4</f>
        <v>-3.744418</v>
      </c>
      <c r="F289" s="17" t="n">
        <f aca="false">IF(B289&gt;=4,1,0)</f>
        <v>0</v>
      </c>
      <c r="G289" s="17" t="n">
        <f aca="false">IF(ABS(E289)&lt;=1.5,1,0)</f>
        <v>0</v>
      </c>
      <c r="H289" s="15" t="n">
        <f aca="false">IF(ABS(E289)&lt;=1.5,1-ABS(E289)/1.5,0)</f>
        <v>0</v>
      </c>
      <c r="I289" s="15" t="n">
        <f aca="false">ABS(E289)</f>
        <v>3.744418</v>
      </c>
    </row>
    <row r="290" customFormat="false" ht="15" hidden="false" customHeight="false" outlineLevel="0" collapsed="false">
      <c r="A290" s="5" t="s">
        <v>326</v>
      </c>
      <c r="B290" s="15" t="n">
        <v>2.908043</v>
      </c>
      <c r="C290" s="5" t="s">
        <v>37</v>
      </c>
      <c r="D290" s="16" t="n">
        <v>42.2083</v>
      </c>
      <c r="E290" s="15" t="n">
        <f aca="false">B290-4</f>
        <v>-1.091957</v>
      </c>
      <c r="F290" s="17" t="n">
        <f aca="false">IF(B290&gt;=4,1,0)</f>
        <v>0</v>
      </c>
      <c r="G290" s="17" t="n">
        <f aca="false">IF(ABS(E290)&lt;=1.5,1,0)</f>
        <v>1</v>
      </c>
      <c r="H290" s="15" t="n">
        <f aca="false">IF(ABS(E290)&lt;=1.5,1-ABS(E290)/1.5,0)</f>
        <v>0.272028666666667</v>
      </c>
      <c r="I290" s="15" t="n">
        <f aca="false">ABS(E290)</f>
        <v>1.091957</v>
      </c>
    </row>
    <row r="291" customFormat="false" ht="15" hidden="false" customHeight="false" outlineLevel="0" collapsed="false">
      <c r="A291" s="5" t="s">
        <v>327</v>
      </c>
      <c r="B291" s="15" t="n">
        <v>5.716274</v>
      </c>
      <c r="C291" s="5" t="s">
        <v>39</v>
      </c>
      <c r="D291" s="16" t="n">
        <v>39.6281</v>
      </c>
      <c r="E291" s="15" t="n">
        <f aca="false">B291-4</f>
        <v>1.716274</v>
      </c>
      <c r="F291" s="17" t="n">
        <f aca="false">IF(B291&gt;=4,1,0)</f>
        <v>1</v>
      </c>
      <c r="G291" s="17" t="n">
        <f aca="false">IF(ABS(E291)&lt;=1.5,1,0)</f>
        <v>0</v>
      </c>
      <c r="H291" s="15" t="n">
        <f aca="false">IF(ABS(E291)&lt;=1.5,1-ABS(E291)/1.5,0)</f>
        <v>0</v>
      </c>
      <c r="I291" s="15" t="n">
        <f aca="false">ABS(E291)</f>
        <v>1.716274</v>
      </c>
    </row>
    <row r="292" customFormat="false" ht="15" hidden="false" customHeight="false" outlineLevel="0" collapsed="false">
      <c r="A292" s="5" t="s">
        <v>328</v>
      </c>
      <c r="B292" s="15" t="n">
        <v>0.373519</v>
      </c>
      <c r="C292" s="5" t="s">
        <v>37</v>
      </c>
      <c r="D292" s="16" t="n">
        <v>50.5559</v>
      </c>
      <c r="E292" s="15" t="n">
        <f aca="false">B292-4</f>
        <v>-3.626481</v>
      </c>
      <c r="F292" s="17" t="n">
        <f aca="false">IF(B292&gt;=4,1,0)</f>
        <v>0</v>
      </c>
      <c r="G292" s="17" t="n">
        <f aca="false">IF(ABS(E292)&lt;=1.5,1,0)</f>
        <v>0</v>
      </c>
      <c r="H292" s="15" t="n">
        <f aca="false">IF(ABS(E292)&lt;=1.5,1-ABS(E292)/1.5,0)</f>
        <v>0</v>
      </c>
      <c r="I292" s="15" t="n">
        <f aca="false">ABS(E292)</f>
        <v>3.626481</v>
      </c>
    </row>
    <row r="293" customFormat="false" ht="15" hidden="false" customHeight="false" outlineLevel="0" collapsed="false">
      <c r="A293" s="5" t="s">
        <v>329</v>
      </c>
      <c r="B293" s="15" t="n">
        <v>1.346746</v>
      </c>
      <c r="C293" s="5" t="s">
        <v>37</v>
      </c>
      <c r="D293" s="16" t="n">
        <v>47.6928</v>
      </c>
      <c r="E293" s="15" t="n">
        <f aca="false">B293-4</f>
        <v>-2.653254</v>
      </c>
      <c r="F293" s="17" t="n">
        <f aca="false">IF(B293&gt;=4,1,0)</f>
        <v>0</v>
      </c>
      <c r="G293" s="17" t="n">
        <f aca="false">IF(ABS(E293)&lt;=1.5,1,0)</f>
        <v>0</v>
      </c>
      <c r="H293" s="15" t="n">
        <f aca="false">IF(ABS(E293)&lt;=1.5,1-ABS(E293)/1.5,0)</f>
        <v>0</v>
      </c>
      <c r="I293" s="15" t="n">
        <f aca="false">ABS(E293)</f>
        <v>2.653254</v>
      </c>
    </row>
    <row r="294" customFormat="false" ht="15" hidden="false" customHeight="false" outlineLevel="0" collapsed="false">
      <c r="A294" s="5" t="s">
        <v>330</v>
      </c>
      <c r="B294" s="15" t="n">
        <v>3.063799</v>
      </c>
      <c r="C294" s="5" t="s">
        <v>37</v>
      </c>
      <c r="D294" s="16" t="n">
        <v>41.5537</v>
      </c>
      <c r="E294" s="15" t="n">
        <f aca="false">B294-4</f>
        <v>-0.936201</v>
      </c>
      <c r="F294" s="17" t="n">
        <f aca="false">IF(B294&gt;=4,1,0)</f>
        <v>0</v>
      </c>
      <c r="G294" s="17" t="n">
        <f aca="false">IF(ABS(E294)&lt;=1.5,1,0)</f>
        <v>1</v>
      </c>
      <c r="H294" s="15" t="n">
        <f aca="false">IF(ABS(E294)&lt;=1.5,1-ABS(E294)/1.5,0)</f>
        <v>0.375866</v>
      </c>
      <c r="I294" s="15" t="n">
        <f aca="false">ABS(E294)</f>
        <v>0.936201</v>
      </c>
    </row>
    <row r="295" customFormat="false" ht="15" hidden="false" customHeight="false" outlineLevel="0" collapsed="false">
      <c r="A295" s="5" t="s">
        <v>331</v>
      </c>
      <c r="B295" s="15" t="n">
        <v>0.421923</v>
      </c>
      <c r="C295" s="5" t="s">
        <v>37</v>
      </c>
      <c r="D295" s="16" t="n">
        <v>45.7712</v>
      </c>
      <c r="E295" s="15" t="n">
        <f aca="false">B295-4</f>
        <v>-3.578077</v>
      </c>
      <c r="F295" s="17" t="n">
        <f aca="false">IF(B295&gt;=4,1,0)</f>
        <v>0</v>
      </c>
      <c r="G295" s="17" t="n">
        <f aca="false">IF(ABS(E295)&lt;=1.5,1,0)</f>
        <v>0</v>
      </c>
      <c r="H295" s="15" t="n">
        <f aca="false">IF(ABS(E295)&lt;=1.5,1-ABS(E295)/1.5,0)</f>
        <v>0</v>
      </c>
      <c r="I295" s="15" t="n">
        <f aca="false">ABS(E295)</f>
        <v>3.578077</v>
      </c>
    </row>
    <row r="296" customFormat="false" ht="15" hidden="false" customHeight="false" outlineLevel="0" collapsed="false">
      <c r="A296" s="5" t="s">
        <v>332</v>
      </c>
      <c r="B296" s="15" t="n">
        <v>6.020256</v>
      </c>
      <c r="C296" s="5" t="s">
        <v>39</v>
      </c>
      <c r="D296" s="16" t="n">
        <v>43.6048</v>
      </c>
      <c r="E296" s="15" t="n">
        <f aca="false">B296-4</f>
        <v>2.020256</v>
      </c>
      <c r="F296" s="17" t="n">
        <f aca="false">IF(B296&gt;=4,1,0)</f>
        <v>1</v>
      </c>
      <c r="G296" s="17" t="n">
        <f aca="false">IF(ABS(E296)&lt;=1.5,1,0)</f>
        <v>0</v>
      </c>
      <c r="H296" s="15" t="n">
        <f aca="false">IF(ABS(E296)&lt;=1.5,1-ABS(E296)/1.5,0)</f>
        <v>0</v>
      </c>
      <c r="I296" s="15" t="n">
        <f aca="false">ABS(E296)</f>
        <v>2.020256</v>
      </c>
    </row>
    <row r="297" customFormat="false" ht="15" hidden="false" customHeight="false" outlineLevel="0" collapsed="false">
      <c r="A297" s="5" t="s">
        <v>333</v>
      </c>
      <c r="B297" s="15" t="n">
        <v>1.730787</v>
      </c>
      <c r="C297" s="5" t="s">
        <v>37</v>
      </c>
      <c r="D297" s="16" t="n">
        <v>40.2019</v>
      </c>
      <c r="E297" s="15" t="n">
        <f aca="false">B297-4</f>
        <v>-2.269213</v>
      </c>
      <c r="F297" s="17" t="n">
        <f aca="false">IF(B297&gt;=4,1,0)</f>
        <v>0</v>
      </c>
      <c r="G297" s="17" t="n">
        <f aca="false">IF(ABS(E297)&lt;=1.5,1,0)</f>
        <v>0</v>
      </c>
      <c r="H297" s="15" t="n">
        <f aca="false">IF(ABS(E297)&lt;=1.5,1-ABS(E297)/1.5,0)</f>
        <v>0</v>
      </c>
      <c r="I297" s="15" t="n">
        <f aca="false">ABS(E297)</f>
        <v>2.269213</v>
      </c>
    </row>
    <row r="298" customFormat="false" ht="15" hidden="false" customHeight="false" outlineLevel="0" collapsed="false">
      <c r="A298" s="5" t="s">
        <v>334</v>
      </c>
      <c r="B298" s="15" t="n">
        <v>4.202062</v>
      </c>
      <c r="C298" s="5" t="s">
        <v>39</v>
      </c>
      <c r="D298" s="16" t="n">
        <v>52.8159</v>
      </c>
      <c r="E298" s="15" t="n">
        <f aca="false">B298-4</f>
        <v>0.202062</v>
      </c>
      <c r="F298" s="17" t="n">
        <f aca="false">IF(B298&gt;=4,1,0)</f>
        <v>1</v>
      </c>
      <c r="G298" s="17" t="n">
        <f aca="false">IF(ABS(E298)&lt;=1.5,1,0)</f>
        <v>1</v>
      </c>
      <c r="H298" s="15" t="n">
        <f aca="false">IF(ABS(E298)&lt;=1.5,1-ABS(E298)/1.5,0)</f>
        <v>0.865292</v>
      </c>
      <c r="I298" s="15" t="n">
        <f aca="false">ABS(E298)</f>
        <v>0.202062</v>
      </c>
    </row>
    <row r="299" customFormat="false" ht="15" hidden="false" customHeight="false" outlineLevel="0" collapsed="false">
      <c r="A299" s="5" t="s">
        <v>335</v>
      </c>
      <c r="B299" s="15" t="n">
        <v>0.269073</v>
      </c>
      <c r="C299" s="5" t="s">
        <v>37</v>
      </c>
      <c r="D299" s="16" t="n">
        <v>47.8065</v>
      </c>
      <c r="E299" s="15" t="n">
        <f aca="false">B299-4</f>
        <v>-3.730927</v>
      </c>
      <c r="F299" s="17" t="n">
        <f aca="false">IF(B299&gt;=4,1,0)</f>
        <v>0</v>
      </c>
      <c r="G299" s="17" t="n">
        <f aca="false">IF(ABS(E299)&lt;=1.5,1,0)</f>
        <v>0</v>
      </c>
      <c r="H299" s="15" t="n">
        <f aca="false">IF(ABS(E299)&lt;=1.5,1-ABS(E299)/1.5,0)</f>
        <v>0</v>
      </c>
      <c r="I299" s="15" t="n">
        <f aca="false">ABS(E299)</f>
        <v>3.730927</v>
      </c>
    </row>
    <row r="300" customFormat="false" ht="15" hidden="false" customHeight="false" outlineLevel="0" collapsed="false">
      <c r="A300" s="5" t="s">
        <v>336</v>
      </c>
      <c r="B300" s="15" t="n">
        <v>2.005604</v>
      </c>
      <c r="C300" s="5" t="s">
        <v>37</v>
      </c>
      <c r="D300" s="16" t="n">
        <v>45.0077</v>
      </c>
      <c r="E300" s="15" t="n">
        <f aca="false">B300-4</f>
        <v>-1.994396</v>
      </c>
      <c r="F300" s="17" t="n">
        <f aca="false">IF(B300&gt;=4,1,0)</f>
        <v>0</v>
      </c>
      <c r="G300" s="17" t="n">
        <f aca="false">IF(ABS(E300)&lt;=1.5,1,0)</f>
        <v>0</v>
      </c>
      <c r="H300" s="15" t="n">
        <f aca="false">IF(ABS(E300)&lt;=1.5,1-ABS(E300)/1.5,0)</f>
        <v>0</v>
      </c>
      <c r="I300" s="15" t="n">
        <f aca="false">ABS(E300)</f>
        <v>1.994396</v>
      </c>
    </row>
    <row r="301" customFormat="false" ht="15" hidden="false" customHeight="false" outlineLevel="0" collapsed="false">
      <c r="A301" s="5" t="s">
        <v>337</v>
      </c>
      <c r="B301" s="15" t="n">
        <v>0.077705</v>
      </c>
      <c r="C301" s="5" t="s">
        <v>37</v>
      </c>
      <c r="D301" s="16" t="n">
        <v>35.7163</v>
      </c>
      <c r="E301" s="15" t="n">
        <f aca="false">B301-4</f>
        <v>-3.922295</v>
      </c>
      <c r="F301" s="17" t="n">
        <f aca="false">IF(B301&gt;=4,1,0)</f>
        <v>0</v>
      </c>
      <c r="G301" s="17" t="n">
        <f aca="false">IF(ABS(E301)&lt;=1.5,1,0)</f>
        <v>0</v>
      </c>
      <c r="H301" s="15" t="n">
        <f aca="false">IF(ABS(E301)&lt;=1.5,1-ABS(E301)/1.5,0)</f>
        <v>0</v>
      </c>
      <c r="I301" s="15" t="n">
        <f aca="false">ABS(E301)</f>
        <v>3.922295</v>
      </c>
    </row>
    <row r="302" customFormat="false" ht="15" hidden="false" customHeight="false" outlineLevel="0" collapsed="false">
      <c r="A302" s="5" t="s">
        <v>338</v>
      </c>
      <c r="B302" s="15" t="n">
        <v>5.506677</v>
      </c>
      <c r="C302" s="5" t="s">
        <v>39</v>
      </c>
      <c r="D302" s="16" t="n">
        <v>37.0608</v>
      </c>
      <c r="E302" s="15" t="n">
        <f aca="false">B302-4</f>
        <v>1.506677</v>
      </c>
      <c r="F302" s="17" t="n">
        <f aca="false">IF(B302&gt;=4,1,0)</f>
        <v>1</v>
      </c>
      <c r="G302" s="17" t="n">
        <f aca="false">IF(ABS(E302)&lt;=1.5,1,0)</f>
        <v>0</v>
      </c>
      <c r="H302" s="15" t="n">
        <f aca="false">IF(ABS(E302)&lt;=1.5,1-ABS(E302)/1.5,0)</f>
        <v>0</v>
      </c>
      <c r="I302" s="15" t="n">
        <f aca="false">ABS(E302)</f>
        <v>1.506677</v>
      </c>
    </row>
    <row r="303" customFormat="false" ht="15" hidden="false" customHeight="false" outlineLevel="0" collapsed="false">
      <c r="A303" s="5" t="s">
        <v>339</v>
      </c>
      <c r="B303" s="15" t="n">
        <v>1.642122</v>
      </c>
      <c r="C303" s="5" t="s">
        <v>37</v>
      </c>
      <c r="D303" s="16" t="n">
        <v>51.7995</v>
      </c>
      <c r="E303" s="15" t="n">
        <f aca="false">B303-4</f>
        <v>-2.357878</v>
      </c>
      <c r="F303" s="17" t="n">
        <f aca="false">IF(B303&gt;=4,1,0)</f>
        <v>0</v>
      </c>
      <c r="G303" s="17" t="n">
        <f aca="false">IF(ABS(E303)&lt;=1.5,1,0)</f>
        <v>0</v>
      </c>
      <c r="H303" s="15" t="n">
        <f aca="false">IF(ABS(E303)&lt;=1.5,1-ABS(E303)/1.5,0)</f>
        <v>0</v>
      </c>
      <c r="I303" s="15" t="n">
        <f aca="false">ABS(E303)</f>
        <v>2.357878</v>
      </c>
    </row>
    <row r="304" customFormat="false" ht="15" hidden="false" customHeight="false" outlineLevel="0" collapsed="false">
      <c r="A304" s="5" t="s">
        <v>340</v>
      </c>
      <c r="B304" s="15" t="n">
        <v>1.882127</v>
      </c>
      <c r="C304" s="5" t="s">
        <v>37</v>
      </c>
      <c r="D304" s="16" t="n">
        <v>49.4933</v>
      </c>
      <c r="E304" s="15" t="n">
        <f aca="false">B304-4</f>
        <v>-2.117873</v>
      </c>
      <c r="F304" s="17" t="n">
        <f aca="false">IF(B304&gt;=4,1,0)</f>
        <v>0</v>
      </c>
      <c r="G304" s="17" t="n">
        <f aca="false">IF(ABS(E304)&lt;=1.5,1,0)</f>
        <v>0</v>
      </c>
      <c r="H304" s="15" t="n">
        <f aca="false">IF(ABS(E304)&lt;=1.5,1-ABS(E304)/1.5,0)</f>
        <v>0</v>
      </c>
      <c r="I304" s="15" t="n">
        <f aca="false">ABS(E304)</f>
        <v>2.117873</v>
      </c>
    </row>
    <row r="305" customFormat="false" ht="15" hidden="false" customHeight="false" outlineLevel="0" collapsed="false">
      <c r="A305" s="5" t="s">
        <v>341</v>
      </c>
      <c r="B305" s="15" t="n">
        <v>0.776036</v>
      </c>
      <c r="C305" s="5" t="s">
        <v>37</v>
      </c>
      <c r="D305" s="16" t="n">
        <v>29.7649</v>
      </c>
      <c r="E305" s="15" t="n">
        <f aca="false">B305-4</f>
        <v>-3.223964</v>
      </c>
      <c r="F305" s="17" t="n">
        <f aca="false">IF(B305&gt;=4,1,0)</f>
        <v>0</v>
      </c>
      <c r="G305" s="17" t="n">
        <f aca="false">IF(ABS(E305)&lt;=1.5,1,0)</f>
        <v>0</v>
      </c>
      <c r="H305" s="15" t="n">
        <f aca="false">IF(ABS(E305)&lt;=1.5,1-ABS(E305)/1.5,0)</f>
        <v>0</v>
      </c>
      <c r="I305" s="15" t="n">
        <f aca="false">ABS(E305)</f>
        <v>3.223964</v>
      </c>
    </row>
    <row r="306" customFormat="false" ht="15" hidden="false" customHeight="false" outlineLevel="0" collapsed="false">
      <c r="A306" s="5" t="s">
        <v>342</v>
      </c>
      <c r="B306" s="15" t="n">
        <v>1.101161</v>
      </c>
      <c r="C306" s="5" t="s">
        <v>37</v>
      </c>
      <c r="D306" s="16" t="n">
        <v>43.1625</v>
      </c>
      <c r="E306" s="15" t="n">
        <f aca="false">B306-4</f>
        <v>-2.898839</v>
      </c>
      <c r="F306" s="17" t="n">
        <f aca="false">IF(B306&gt;=4,1,0)</f>
        <v>0</v>
      </c>
      <c r="G306" s="17" t="n">
        <f aca="false">IF(ABS(E306)&lt;=1.5,1,0)</f>
        <v>0</v>
      </c>
      <c r="H306" s="15" t="n">
        <f aca="false">IF(ABS(E306)&lt;=1.5,1-ABS(E306)/1.5,0)</f>
        <v>0</v>
      </c>
      <c r="I306" s="15" t="n">
        <f aca="false">ABS(E306)</f>
        <v>2.898839</v>
      </c>
    </row>
    <row r="307" customFormat="false" ht="15" hidden="false" customHeight="false" outlineLevel="0" collapsed="false">
      <c r="A307" s="5" t="s">
        <v>343</v>
      </c>
      <c r="B307" s="15" t="n">
        <v>2.92756</v>
      </c>
      <c r="C307" s="5" t="s">
        <v>37</v>
      </c>
      <c r="D307" s="16" t="n">
        <v>57.5319</v>
      </c>
      <c r="E307" s="15" t="n">
        <f aca="false">B307-4</f>
        <v>-1.07244</v>
      </c>
      <c r="F307" s="17" t="n">
        <f aca="false">IF(B307&gt;=4,1,0)</f>
        <v>0</v>
      </c>
      <c r="G307" s="17" t="n">
        <f aca="false">IF(ABS(E307)&lt;=1.5,1,0)</f>
        <v>1</v>
      </c>
      <c r="H307" s="15" t="n">
        <f aca="false">IF(ABS(E307)&lt;=1.5,1-ABS(E307)/1.5,0)</f>
        <v>0.28504</v>
      </c>
      <c r="I307" s="15" t="n">
        <f aca="false">ABS(E307)</f>
        <v>1.07244</v>
      </c>
    </row>
    <row r="308" customFormat="false" ht="15" hidden="false" customHeight="false" outlineLevel="0" collapsed="false">
      <c r="A308" s="5" t="s">
        <v>344</v>
      </c>
      <c r="B308" s="15" t="n">
        <v>0.231643</v>
      </c>
      <c r="C308" s="5" t="s">
        <v>37</v>
      </c>
      <c r="D308" s="16" t="n">
        <v>60.2328</v>
      </c>
      <c r="E308" s="15" t="n">
        <f aca="false">B308-4</f>
        <v>-3.768357</v>
      </c>
      <c r="F308" s="17" t="n">
        <f aca="false">IF(B308&gt;=4,1,0)</f>
        <v>0</v>
      </c>
      <c r="G308" s="17" t="n">
        <f aca="false">IF(ABS(E308)&lt;=1.5,1,0)</f>
        <v>0</v>
      </c>
      <c r="H308" s="15" t="n">
        <f aca="false">IF(ABS(E308)&lt;=1.5,1-ABS(E308)/1.5,0)</f>
        <v>0</v>
      </c>
      <c r="I308" s="15" t="n">
        <f aca="false">ABS(E308)</f>
        <v>3.768357</v>
      </c>
    </row>
    <row r="309" customFormat="false" ht="15" hidden="false" customHeight="false" outlineLevel="0" collapsed="false">
      <c r="A309" s="5" t="s">
        <v>345</v>
      </c>
      <c r="B309" s="15" t="n">
        <v>0.042437</v>
      </c>
      <c r="C309" s="5" t="s">
        <v>37</v>
      </c>
      <c r="D309" s="16" t="n">
        <v>45.7353</v>
      </c>
      <c r="E309" s="15" t="n">
        <f aca="false">B309-4</f>
        <v>-3.957563</v>
      </c>
      <c r="F309" s="17" t="n">
        <f aca="false">IF(B309&gt;=4,1,0)</f>
        <v>0</v>
      </c>
      <c r="G309" s="17" t="n">
        <f aca="false">IF(ABS(E309)&lt;=1.5,1,0)</f>
        <v>0</v>
      </c>
      <c r="H309" s="15" t="n">
        <f aca="false">IF(ABS(E309)&lt;=1.5,1-ABS(E309)/1.5,0)</f>
        <v>0</v>
      </c>
      <c r="I309" s="15" t="n">
        <f aca="false">ABS(E309)</f>
        <v>3.957563</v>
      </c>
    </row>
    <row r="310" customFormat="false" ht="15" hidden="false" customHeight="false" outlineLevel="0" collapsed="false">
      <c r="A310" s="5" t="s">
        <v>346</v>
      </c>
      <c r="B310" s="15" t="n">
        <v>2.157128</v>
      </c>
      <c r="C310" s="5" t="s">
        <v>37</v>
      </c>
      <c r="D310" s="16" t="n">
        <v>52.7519</v>
      </c>
      <c r="E310" s="15" t="n">
        <f aca="false">B310-4</f>
        <v>-1.842872</v>
      </c>
      <c r="F310" s="17" t="n">
        <f aca="false">IF(B310&gt;=4,1,0)</f>
        <v>0</v>
      </c>
      <c r="G310" s="17" t="n">
        <f aca="false">IF(ABS(E310)&lt;=1.5,1,0)</f>
        <v>0</v>
      </c>
      <c r="H310" s="15" t="n">
        <f aca="false">IF(ABS(E310)&lt;=1.5,1-ABS(E310)/1.5,0)</f>
        <v>0</v>
      </c>
      <c r="I310" s="15" t="n">
        <f aca="false">ABS(E310)</f>
        <v>1.842872</v>
      </c>
    </row>
    <row r="311" customFormat="false" ht="15" hidden="false" customHeight="false" outlineLevel="0" collapsed="false">
      <c r="A311" s="5" t="s">
        <v>347</v>
      </c>
      <c r="B311" s="15" t="n">
        <v>2.484267</v>
      </c>
      <c r="C311" s="5" t="s">
        <v>37</v>
      </c>
      <c r="D311" s="16" t="n">
        <v>54.4038</v>
      </c>
      <c r="E311" s="15" t="n">
        <f aca="false">B311-4</f>
        <v>-1.515733</v>
      </c>
      <c r="F311" s="17" t="n">
        <f aca="false">IF(B311&gt;=4,1,0)</f>
        <v>0</v>
      </c>
      <c r="G311" s="17" t="n">
        <f aca="false">IF(ABS(E311)&lt;=1.5,1,0)</f>
        <v>0</v>
      </c>
      <c r="H311" s="15" t="n">
        <f aca="false">IF(ABS(E311)&lt;=1.5,1-ABS(E311)/1.5,0)</f>
        <v>0</v>
      </c>
      <c r="I311" s="15" t="n">
        <f aca="false">ABS(E311)</f>
        <v>1.515733</v>
      </c>
    </row>
    <row r="312" customFormat="false" ht="15" hidden="false" customHeight="false" outlineLevel="0" collapsed="false">
      <c r="A312" s="5" t="s">
        <v>348</v>
      </c>
      <c r="B312" s="15" t="n">
        <v>0.566919</v>
      </c>
      <c r="C312" s="5" t="s">
        <v>37</v>
      </c>
      <c r="D312" s="16" t="n">
        <v>44.8416</v>
      </c>
      <c r="E312" s="15" t="n">
        <f aca="false">B312-4</f>
        <v>-3.433081</v>
      </c>
      <c r="F312" s="17" t="n">
        <f aca="false">IF(B312&gt;=4,1,0)</f>
        <v>0</v>
      </c>
      <c r="G312" s="17" t="n">
        <f aca="false">IF(ABS(E312)&lt;=1.5,1,0)</f>
        <v>0</v>
      </c>
      <c r="H312" s="15" t="n">
        <f aca="false">IF(ABS(E312)&lt;=1.5,1-ABS(E312)/1.5,0)</f>
        <v>0</v>
      </c>
      <c r="I312" s="15" t="n">
        <f aca="false">ABS(E312)</f>
        <v>3.433081</v>
      </c>
    </row>
    <row r="313" customFormat="false" ht="15" hidden="false" customHeight="false" outlineLevel="0" collapsed="false">
      <c r="A313" s="5" t="s">
        <v>349</v>
      </c>
      <c r="B313" s="15" t="n">
        <v>0.933588</v>
      </c>
      <c r="C313" s="5" t="s">
        <v>37</v>
      </c>
      <c r="D313" s="16" t="n">
        <v>32.2131</v>
      </c>
      <c r="E313" s="15" t="n">
        <f aca="false">B313-4</f>
        <v>-3.066412</v>
      </c>
      <c r="F313" s="17" t="n">
        <f aca="false">IF(B313&gt;=4,1,0)</f>
        <v>0</v>
      </c>
      <c r="G313" s="17" t="n">
        <f aca="false">IF(ABS(E313)&lt;=1.5,1,0)</f>
        <v>0</v>
      </c>
      <c r="H313" s="15" t="n">
        <f aca="false">IF(ABS(E313)&lt;=1.5,1-ABS(E313)/1.5,0)</f>
        <v>0</v>
      </c>
      <c r="I313" s="15" t="n">
        <f aca="false">ABS(E313)</f>
        <v>3.066412</v>
      </c>
    </row>
    <row r="314" customFormat="false" ht="15" hidden="false" customHeight="false" outlineLevel="0" collapsed="false">
      <c r="A314" s="5" t="s">
        <v>350</v>
      </c>
      <c r="B314" s="15" t="n">
        <v>0.729192</v>
      </c>
      <c r="C314" s="5" t="s">
        <v>37</v>
      </c>
      <c r="D314" s="16" t="n">
        <v>36.7562</v>
      </c>
      <c r="E314" s="15" t="n">
        <f aca="false">B314-4</f>
        <v>-3.270808</v>
      </c>
      <c r="F314" s="17" t="n">
        <f aca="false">IF(B314&gt;=4,1,0)</f>
        <v>0</v>
      </c>
      <c r="G314" s="17" t="n">
        <f aca="false">IF(ABS(E314)&lt;=1.5,1,0)</f>
        <v>0</v>
      </c>
      <c r="H314" s="15" t="n">
        <f aca="false">IF(ABS(E314)&lt;=1.5,1-ABS(E314)/1.5,0)</f>
        <v>0</v>
      </c>
      <c r="I314" s="15" t="n">
        <f aca="false">ABS(E314)</f>
        <v>3.270808</v>
      </c>
    </row>
    <row r="315" customFormat="false" ht="15" hidden="false" customHeight="false" outlineLevel="0" collapsed="false">
      <c r="A315" s="5" t="s">
        <v>351</v>
      </c>
      <c r="B315" s="15" t="n">
        <v>2.055699</v>
      </c>
      <c r="C315" s="5" t="s">
        <v>37</v>
      </c>
      <c r="D315" s="16" t="n">
        <v>41.3289</v>
      </c>
      <c r="E315" s="15" t="n">
        <f aca="false">B315-4</f>
        <v>-1.944301</v>
      </c>
      <c r="F315" s="17" t="n">
        <f aca="false">IF(B315&gt;=4,1,0)</f>
        <v>0</v>
      </c>
      <c r="G315" s="17" t="n">
        <f aca="false">IF(ABS(E315)&lt;=1.5,1,0)</f>
        <v>0</v>
      </c>
      <c r="H315" s="15" t="n">
        <f aca="false">IF(ABS(E315)&lt;=1.5,1-ABS(E315)/1.5,0)</f>
        <v>0</v>
      </c>
      <c r="I315" s="15" t="n">
        <f aca="false">ABS(E315)</f>
        <v>1.944301</v>
      </c>
    </row>
    <row r="316" customFormat="false" ht="15" hidden="false" customHeight="false" outlineLevel="0" collapsed="false">
      <c r="A316" s="5" t="s">
        <v>352</v>
      </c>
      <c r="B316" s="15" t="n">
        <v>3.950827</v>
      </c>
      <c r="C316" s="5" t="s">
        <v>37</v>
      </c>
      <c r="D316" s="16" t="n">
        <v>60.3402</v>
      </c>
      <c r="E316" s="15" t="n">
        <f aca="false">B316-4</f>
        <v>-0.0491730000000001</v>
      </c>
      <c r="F316" s="17" t="n">
        <f aca="false">IF(B316&gt;=4,1,0)</f>
        <v>0</v>
      </c>
      <c r="G316" s="17" t="n">
        <f aca="false">IF(ABS(E316)&lt;=1.5,1,0)</f>
        <v>1</v>
      </c>
      <c r="H316" s="15" t="n">
        <f aca="false">IF(ABS(E316)&lt;=1.5,1-ABS(E316)/1.5,0)</f>
        <v>0.967218</v>
      </c>
      <c r="I316" s="15" t="n">
        <f aca="false">ABS(E316)</f>
        <v>0.0491730000000001</v>
      </c>
    </row>
    <row r="317" customFormat="false" ht="15" hidden="false" customHeight="false" outlineLevel="0" collapsed="false">
      <c r="A317" s="5" t="s">
        <v>353</v>
      </c>
      <c r="B317" s="15" t="n">
        <v>0.375897</v>
      </c>
      <c r="C317" s="5" t="s">
        <v>37</v>
      </c>
      <c r="D317" s="16" t="n">
        <v>26.8475</v>
      </c>
      <c r="E317" s="15" t="n">
        <f aca="false">B317-4</f>
        <v>-3.624103</v>
      </c>
      <c r="F317" s="17" t="n">
        <f aca="false">IF(B317&gt;=4,1,0)</f>
        <v>0</v>
      </c>
      <c r="G317" s="17" t="n">
        <f aca="false">IF(ABS(E317)&lt;=1.5,1,0)</f>
        <v>0</v>
      </c>
      <c r="H317" s="15" t="n">
        <f aca="false">IF(ABS(E317)&lt;=1.5,1-ABS(E317)/1.5,0)</f>
        <v>0</v>
      </c>
      <c r="I317" s="15" t="n">
        <f aca="false">ABS(E317)</f>
        <v>3.624103</v>
      </c>
    </row>
    <row r="318" customFormat="false" ht="15" hidden="false" customHeight="false" outlineLevel="0" collapsed="false">
      <c r="A318" s="5" t="s">
        <v>354</v>
      </c>
      <c r="B318" s="15" t="n">
        <v>1.310712</v>
      </c>
      <c r="C318" s="5" t="s">
        <v>37</v>
      </c>
      <c r="D318" s="16" t="n">
        <v>48.41</v>
      </c>
      <c r="E318" s="15" t="n">
        <f aca="false">B318-4</f>
        <v>-2.689288</v>
      </c>
      <c r="F318" s="17" t="n">
        <f aca="false">IF(B318&gt;=4,1,0)</f>
        <v>0</v>
      </c>
      <c r="G318" s="17" t="n">
        <f aca="false">IF(ABS(E318)&lt;=1.5,1,0)</f>
        <v>0</v>
      </c>
      <c r="H318" s="15" t="n">
        <f aca="false">IF(ABS(E318)&lt;=1.5,1-ABS(E318)/1.5,0)</f>
        <v>0</v>
      </c>
      <c r="I318" s="15" t="n">
        <f aca="false">ABS(E318)</f>
        <v>2.689288</v>
      </c>
    </row>
    <row r="319" customFormat="false" ht="15" hidden="false" customHeight="false" outlineLevel="0" collapsed="false">
      <c r="A319" s="5" t="s">
        <v>355</v>
      </c>
      <c r="B319" s="15" t="n">
        <v>1.872319</v>
      </c>
      <c r="C319" s="5" t="s">
        <v>37</v>
      </c>
      <c r="D319" s="16" t="n">
        <v>33.8959</v>
      </c>
      <c r="E319" s="15" t="n">
        <f aca="false">B319-4</f>
        <v>-2.127681</v>
      </c>
      <c r="F319" s="17" t="n">
        <f aca="false">IF(B319&gt;=4,1,0)</f>
        <v>0</v>
      </c>
      <c r="G319" s="17" t="n">
        <f aca="false">IF(ABS(E319)&lt;=1.5,1,0)</f>
        <v>0</v>
      </c>
      <c r="H319" s="15" t="n">
        <f aca="false">IF(ABS(E319)&lt;=1.5,1-ABS(E319)/1.5,0)</f>
        <v>0</v>
      </c>
      <c r="I319" s="15" t="n">
        <f aca="false">ABS(E319)</f>
        <v>2.127681</v>
      </c>
    </row>
    <row r="320" customFormat="false" ht="15" hidden="false" customHeight="false" outlineLevel="0" collapsed="false">
      <c r="A320" s="5" t="s">
        <v>356</v>
      </c>
      <c r="B320" s="15" t="n">
        <v>1.81236</v>
      </c>
      <c r="C320" s="5" t="s">
        <v>37</v>
      </c>
      <c r="D320" s="16" t="n">
        <v>67.013</v>
      </c>
      <c r="E320" s="15" t="n">
        <f aca="false">B320-4</f>
        <v>-2.18764</v>
      </c>
      <c r="F320" s="17" t="n">
        <f aca="false">IF(B320&gt;=4,1,0)</f>
        <v>0</v>
      </c>
      <c r="G320" s="17" t="n">
        <f aca="false">IF(ABS(E320)&lt;=1.5,1,0)</f>
        <v>0</v>
      </c>
      <c r="H320" s="15" t="n">
        <f aca="false">IF(ABS(E320)&lt;=1.5,1-ABS(E320)/1.5,0)</f>
        <v>0</v>
      </c>
      <c r="I320" s="15" t="n">
        <f aca="false">ABS(E320)</f>
        <v>2.18764</v>
      </c>
    </row>
    <row r="321" customFormat="false" ht="15" hidden="false" customHeight="false" outlineLevel="0" collapsed="false">
      <c r="A321" s="5" t="s">
        <v>357</v>
      </c>
      <c r="B321" s="15" t="n">
        <v>3.367771</v>
      </c>
      <c r="C321" s="5" t="s">
        <v>37</v>
      </c>
      <c r="D321" s="16" t="n">
        <v>57.4477</v>
      </c>
      <c r="E321" s="15" t="n">
        <f aca="false">B321-4</f>
        <v>-0.632229</v>
      </c>
      <c r="F321" s="17" t="n">
        <f aca="false">IF(B321&gt;=4,1,0)</f>
        <v>0</v>
      </c>
      <c r="G321" s="17" t="n">
        <f aca="false">IF(ABS(E321)&lt;=1.5,1,0)</f>
        <v>1</v>
      </c>
      <c r="H321" s="15" t="n">
        <f aca="false">IF(ABS(E321)&lt;=1.5,1-ABS(E321)/1.5,0)</f>
        <v>0.578514</v>
      </c>
      <c r="I321" s="15" t="n">
        <f aca="false">ABS(E321)</f>
        <v>0.632229</v>
      </c>
    </row>
    <row r="322" customFormat="false" ht="15" hidden="false" customHeight="false" outlineLevel="0" collapsed="false">
      <c r="A322" s="5" t="s">
        <v>358</v>
      </c>
      <c r="B322" s="15" t="n">
        <v>3.773775</v>
      </c>
      <c r="C322" s="5" t="s">
        <v>37</v>
      </c>
      <c r="D322" s="16" t="n">
        <v>47.0763</v>
      </c>
      <c r="E322" s="15" t="n">
        <f aca="false">B322-4</f>
        <v>-0.226225</v>
      </c>
      <c r="F322" s="17" t="n">
        <f aca="false">IF(B322&gt;=4,1,0)</f>
        <v>0</v>
      </c>
      <c r="G322" s="17" t="n">
        <f aca="false">IF(ABS(E322)&lt;=1.5,1,0)</f>
        <v>1</v>
      </c>
      <c r="H322" s="15" t="n">
        <f aca="false">IF(ABS(E322)&lt;=1.5,1-ABS(E322)/1.5,0)</f>
        <v>0.849183333333333</v>
      </c>
      <c r="I322" s="15" t="n">
        <f aca="false">ABS(E322)</f>
        <v>0.226225</v>
      </c>
    </row>
    <row r="323" customFormat="false" ht="15" hidden="false" customHeight="false" outlineLevel="0" collapsed="false">
      <c r="A323" s="5" t="s">
        <v>359</v>
      </c>
      <c r="B323" s="15" t="n">
        <v>1.384298</v>
      </c>
      <c r="C323" s="5" t="s">
        <v>37</v>
      </c>
      <c r="D323" s="16" t="n">
        <v>50.6116</v>
      </c>
      <c r="E323" s="15" t="n">
        <f aca="false">B323-4</f>
        <v>-2.615702</v>
      </c>
      <c r="F323" s="17" t="n">
        <f aca="false">IF(B323&gt;=4,1,0)</f>
        <v>0</v>
      </c>
      <c r="G323" s="17" t="n">
        <f aca="false">IF(ABS(E323)&lt;=1.5,1,0)</f>
        <v>0</v>
      </c>
      <c r="H323" s="15" t="n">
        <f aca="false">IF(ABS(E323)&lt;=1.5,1-ABS(E323)/1.5,0)</f>
        <v>0</v>
      </c>
      <c r="I323" s="15" t="n">
        <f aca="false">ABS(E323)</f>
        <v>2.615702</v>
      </c>
    </row>
    <row r="324" customFormat="false" ht="15" hidden="false" customHeight="false" outlineLevel="0" collapsed="false">
      <c r="A324" s="5" t="s">
        <v>360</v>
      </c>
      <c r="B324" s="15" t="n">
        <v>2.108578</v>
      </c>
      <c r="C324" s="5" t="s">
        <v>37</v>
      </c>
      <c r="D324" s="16" t="n">
        <v>45.6493</v>
      </c>
      <c r="E324" s="15" t="n">
        <f aca="false">B324-4</f>
        <v>-1.891422</v>
      </c>
      <c r="F324" s="17" t="n">
        <f aca="false">IF(B324&gt;=4,1,0)</f>
        <v>0</v>
      </c>
      <c r="G324" s="17" t="n">
        <f aca="false">IF(ABS(E324)&lt;=1.5,1,0)</f>
        <v>0</v>
      </c>
      <c r="H324" s="15" t="n">
        <f aca="false">IF(ABS(E324)&lt;=1.5,1-ABS(E324)/1.5,0)</f>
        <v>0</v>
      </c>
      <c r="I324" s="15" t="n">
        <f aca="false">ABS(E324)</f>
        <v>1.891422</v>
      </c>
    </row>
    <row r="325" customFormat="false" ht="15" hidden="false" customHeight="false" outlineLevel="0" collapsed="false">
      <c r="A325" s="5" t="s">
        <v>361</v>
      </c>
      <c r="B325" s="15" t="n">
        <v>3.005552</v>
      </c>
      <c r="C325" s="5" t="s">
        <v>37</v>
      </c>
      <c r="D325" s="16" t="n">
        <v>56.4914</v>
      </c>
      <c r="E325" s="15" t="n">
        <f aca="false">B325-4</f>
        <v>-0.994448</v>
      </c>
      <c r="F325" s="17" t="n">
        <f aca="false">IF(B325&gt;=4,1,0)</f>
        <v>0</v>
      </c>
      <c r="G325" s="17" t="n">
        <f aca="false">IF(ABS(E325)&lt;=1.5,1,0)</f>
        <v>1</v>
      </c>
      <c r="H325" s="15" t="n">
        <f aca="false">IF(ABS(E325)&lt;=1.5,1-ABS(E325)/1.5,0)</f>
        <v>0.337034666666667</v>
      </c>
      <c r="I325" s="15" t="n">
        <f aca="false">ABS(E325)</f>
        <v>0.994448</v>
      </c>
    </row>
    <row r="326" customFormat="false" ht="15" hidden="false" customHeight="false" outlineLevel="0" collapsed="false">
      <c r="A326" s="5" t="s">
        <v>362</v>
      </c>
      <c r="B326" s="15" t="n">
        <v>1.851395</v>
      </c>
      <c r="C326" s="5" t="s">
        <v>37</v>
      </c>
      <c r="D326" s="16" t="n">
        <v>41.3835</v>
      </c>
      <c r="E326" s="15" t="n">
        <f aca="false">B326-4</f>
        <v>-2.148605</v>
      </c>
      <c r="F326" s="17" t="n">
        <f aca="false">IF(B326&gt;=4,1,0)</f>
        <v>0</v>
      </c>
      <c r="G326" s="17" t="n">
        <f aca="false">IF(ABS(E326)&lt;=1.5,1,0)</f>
        <v>0</v>
      </c>
      <c r="H326" s="15" t="n">
        <f aca="false">IF(ABS(E326)&lt;=1.5,1-ABS(E326)/1.5,0)</f>
        <v>0</v>
      </c>
      <c r="I326" s="15" t="n">
        <f aca="false">ABS(E326)</f>
        <v>2.148605</v>
      </c>
    </row>
    <row r="327" customFormat="false" ht="15" hidden="false" customHeight="false" outlineLevel="0" collapsed="false">
      <c r="A327" s="5" t="s">
        <v>363</v>
      </c>
      <c r="B327" s="15" t="n">
        <v>0.365204</v>
      </c>
      <c r="C327" s="5" t="s">
        <v>37</v>
      </c>
      <c r="D327" s="16" t="n">
        <v>57.8282</v>
      </c>
      <c r="E327" s="15" t="n">
        <f aca="false">B327-4</f>
        <v>-3.634796</v>
      </c>
      <c r="F327" s="17" t="n">
        <f aca="false">IF(B327&gt;=4,1,0)</f>
        <v>0</v>
      </c>
      <c r="G327" s="17" t="n">
        <f aca="false">IF(ABS(E327)&lt;=1.5,1,0)</f>
        <v>0</v>
      </c>
      <c r="H327" s="15" t="n">
        <f aca="false">IF(ABS(E327)&lt;=1.5,1-ABS(E327)/1.5,0)</f>
        <v>0</v>
      </c>
      <c r="I327" s="15" t="n">
        <f aca="false">ABS(E327)</f>
        <v>3.634796</v>
      </c>
    </row>
    <row r="328" customFormat="false" ht="15" hidden="false" customHeight="false" outlineLevel="0" collapsed="false">
      <c r="A328" s="5" t="s">
        <v>364</v>
      </c>
      <c r="B328" s="15" t="n">
        <v>0.623155</v>
      </c>
      <c r="C328" s="5" t="s">
        <v>37</v>
      </c>
      <c r="D328" s="16" t="n">
        <v>48.6623</v>
      </c>
      <c r="E328" s="15" t="n">
        <f aca="false">B328-4</f>
        <v>-3.376845</v>
      </c>
      <c r="F328" s="17" t="n">
        <f aca="false">IF(B328&gt;=4,1,0)</f>
        <v>0</v>
      </c>
      <c r="G328" s="17" t="n">
        <f aca="false">IF(ABS(E328)&lt;=1.5,1,0)</f>
        <v>0</v>
      </c>
      <c r="H328" s="15" t="n">
        <f aca="false">IF(ABS(E328)&lt;=1.5,1-ABS(E328)/1.5,0)</f>
        <v>0</v>
      </c>
      <c r="I328" s="15" t="n">
        <f aca="false">ABS(E328)</f>
        <v>3.376845</v>
      </c>
    </row>
    <row r="329" customFormat="false" ht="15" hidden="false" customHeight="false" outlineLevel="0" collapsed="false">
      <c r="A329" s="5" t="s">
        <v>365</v>
      </c>
      <c r="B329" s="15" t="n">
        <v>0.629505</v>
      </c>
      <c r="C329" s="5" t="s">
        <v>37</v>
      </c>
      <c r="D329" s="16" t="n">
        <v>52.3003</v>
      </c>
      <c r="E329" s="15" t="n">
        <f aca="false">B329-4</f>
        <v>-3.370495</v>
      </c>
      <c r="F329" s="17" t="n">
        <f aca="false">IF(B329&gt;=4,1,0)</f>
        <v>0</v>
      </c>
      <c r="G329" s="17" t="n">
        <f aca="false">IF(ABS(E329)&lt;=1.5,1,0)</f>
        <v>0</v>
      </c>
      <c r="H329" s="15" t="n">
        <f aca="false">IF(ABS(E329)&lt;=1.5,1-ABS(E329)/1.5,0)</f>
        <v>0</v>
      </c>
      <c r="I329" s="15" t="n">
        <f aca="false">ABS(E329)</f>
        <v>3.370495</v>
      </c>
    </row>
    <row r="330" customFormat="false" ht="15" hidden="false" customHeight="false" outlineLevel="0" collapsed="false">
      <c r="A330" s="5" t="s">
        <v>366</v>
      </c>
      <c r="B330" s="15" t="n">
        <v>7.54213</v>
      </c>
      <c r="C330" s="5" t="s">
        <v>39</v>
      </c>
      <c r="D330" s="16" t="n">
        <v>58.7432</v>
      </c>
      <c r="E330" s="15" t="n">
        <f aca="false">B330-4</f>
        <v>3.54213</v>
      </c>
      <c r="F330" s="17" t="n">
        <f aca="false">IF(B330&gt;=4,1,0)</f>
        <v>1</v>
      </c>
      <c r="G330" s="17" t="n">
        <f aca="false">IF(ABS(E330)&lt;=1.5,1,0)</f>
        <v>0</v>
      </c>
      <c r="H330" s="15" t="n">
        <f aca="false">IF(ABS(E330)&lt;=1.5,1-ABS(E330)/1.5,0)</f>
        <v>0</v>
      </c>
      <c r="I330" s="15" t="n">
        <f aca="false">ABS(E330)</f>
        <v>3.54213</v>
      </c>
    </row>
    <row r="331" customFormat="false" ht="15" hidden="false" customHeight="false" outlineLevel="0" collapsed="false">
      <c r="A331" s="5" t="s">
        <v>367</v>
      </c>
      <c r="B331" s="15" t="n">
        <v>2.084965</v>
      </c>
      <c r="C331" s="5" t="s">
        <v>37</v>
      </c>
      <c r="D331" s="16" t="n">
        <v>32.1793</v>
      </c>
      <c r="E331" s="15" t="n">
        <f aca="false">B331-4</f>
        <v>-1.915035</v>
      </c>
      <c r="F331" s="17" t="n">
        <f aca="false">IF(B331&gt;=4,1,0)</f>
        <v>0</v>
      </c>
      <c r="G331" s="17" t="n">
        <f aca="false">IF(ABS(E331)&lt;=1.5,1,0)</f>
        <v>0</v>
      </c>
      <c r="H331" s="15" t="n">
        <f aca="false">IF(ABS(E331)&lt;=1.5,1-ABS(E331)/1.5,0)</f>
        <v>0</v>
      </c>
      <c r="I331" s="15" t="n">
        <f aca="false">ABS(E331)</f>
        <v>1.915035</v>
      </c>
    </row>
    <row r="332" customFormat="false" ht="15" hidden="false" customHeight="false" outlineLevel="0" collapsed="false">
      <c r="A332" s="5" t="s">
        <v>368</v>
      </c>
      <c r="B332" s="15" t="n">
        <v>1.321032</v>
      </c>
      <c r="C332" s="5" t="s">
        <v>37</v>
      </c>
      <c r="D332" s="16" t="n">
        <v>67.4789</v>
      </c>
      <c r="E332" s="15" t="n">
        <f aca="false">B332-4</f>
        <v>-2.678968</v>
      </c>
      <c r="F332" s="17" t="n">
        <f aca="false">IF(B332&gt;=4,1,0)</f>
        <v>0</v>
      </c>
      <c r="G332" s="17" t="n">
        <f aca="false">IF(ABS(E332)&lt;=1.5,1,0)</f>
        <v>0</v>
      </c>
      <c r="H332" s="15" t="n">
        <f aca="false">IF(ABS(E332)&lt;=1.5,1-ABS(E332)/1.5,0)</f>
        <v>0</v>
      </c>
      <c r="I332" s="15" t="n">
        <f aca="false">ABS(E332)</f>
        <v>2.678968</v>
      </c>
    </row>
    <row r="333" customFormat="false" ht="15" hidden="false" customHeight="false" outlineLevel="0" collapsed="false">
      <c r="A333" s="5" t="s">
        <v>369</v>
      </c>
      <c r="B333" s="15" t="n">
        <v>1.051001</v>
      </c>
      <c r="C333" s="5" t="s">
        <v>37</v>
      </c>
      <c r="D333" s="16" t="n">
        <v>56.8933</v>
      </c>
      <c r="E333" s="15" t="n">
        <f aca="false">B333-4</f>
        <v>-2.948999</v>
      </c>
      <c r="F333" s="17" t="n">
        <f aca="false">IF(B333&gt;=4,1,0)</f>
        <v>0</v>
      </c>
      <c r="G333" s="17" t="n">
        <f aca="false">IF(ABS(E333)&lt;=1.5,1,0)</f>
        <v>0</v>
      </c>
      <c r="H333" s="15" t="n">
        <f aca="false">IF(ABS(E333)&lt;=1.5,1-ABS(E333)/1.5,0)</f>
        <v>0</v>
      </c>
      <c r="I333" s="15" t="n">
        <f aca="false">ABS(E333)</f>
        <v>2.948999</v>
      </c>
    </row>
    <row r="334" customFormat="false" ht="15" hidden="false" customHeight="false" outlineLevel="0" collapsed="false">
      <c r="A334" s="5" t="s">
        <v>370</v>
      </c>
      <c r="B334" s="15" t="n">
        <v>1.487497</v>
      </c>
      <c r="C334" s="5" t="s">
        <v>37</v>
      </c>
      <c r="D334" s="16" t="n">
        <v>48.0731</v>
      </c>
      <c r="E334" s="15" t="n">
        <f aca="false">B334-4</f>
        <v>-2.512503</v>
      </c>
      <c r="F334" s="17" t="n">
        <f aca="false">IF(B334&gt;=4,1,0)</f>
        <v>0</v>
      </c>
      <c r="G334" s="17" t="n">
        <f aca="false">IF(ABS(E334)&lt;=1.5,1,0)</f>
        <v>0</v>
      </c>
      <c r="H334" s="15" t="n">
        <f aca="false">IF(ABS(E334)&lt;=1.5,1-ABS(E334)/1.5,0)</f>
        <v>0</v>
      </c>
      <c r="I334" s="15" t="n">
        <f aca="false">ABS(E334)</f>
        <v>2.512503</v>
      </c>
    </row>
    <row r="335" customFormat="false" ht="15" hidden="false" customHeight="false" outlineLevel="0" collapsed="false">
      <c r="A335" s="5" t="s">
        <v>371</v>
      </c>
      <c r="B335" s="15" t="n">
        <v>0.526254</v>
      </c>
      <c r="C335" s="5" t="s">
        <v>37</v>
      </c>
      <c r="D335" s="16" t="n">
        <v>38.3022</v>
      </c>
      <c r="E335" s="15" t="n">
        <f aca="false">B335-4</f>
        <v>-3.473746</v>
      </c>
      <c r="F335" s="17" t="n">
        <f aca="false">IF(B335&gt;=4,1,0)</f>
        <v>0</v>
      </c>
      <c r="G335" s="17" t="n">
        <f aca="false">IF(ABS(E335)&lt;=1.5,1,0)</f>
        <v>0</v>
      </c>
      <c r="H335" s="15" t="n">
        <f aca="false">IF(ABS(E335)&lt;=1.5,1-ABS(E335)/1.5,0)</f>
        <v>0</v>
      </c>
      <c r="I335" s="15" t="n">
        <f aca="false">ABS(E335)</f>
        <v>3.473746</v>
      </c>
    </row>
    <row r="336" customFormat="false" ht="15" hidden="false" customHeight="false" outlineLevel="0" collapsed="false">
      <c r="A336" s="5" t="s">
        <v>372</v>
      </c>
      <c r="B336" s="15" t="n">
        <v>0.309371</v>
      </c>
      <c r="C336" s="5" t="s">
        <v>37</v>
      </c>
      <c r="D336" s="16" t="n">
        <v>51.0752</v>
      </c>
      <c r="E336" s="15" t="n">
        <f aca="false">B336-4</f>
        <v>-3.690629</v>
      </c>
      <c r="F336" s="17" t="n">
        <f aca="false">IF(B336&gt;=4,1,0)</f>
        <v>0</v>
      </c>
      <c r="G336" s="17" t="n">
        <f aca="false">IF(ABS(E336)&lt;=1.5,1,0)</f>
        <v>0</v>
      </c>
      <c r="H336" s="15" t="n">
        <f aca="false">IF(ABS(E336)&lt;=1.5,1-ABS(E336)/1.5,0)</f>
        <v>0</v>
      </c>
      <c r="I336" s="15" t="n">
        <f aca="false">ABS(E336)</f>
        <v>3.690629</v>
      </c>
    </row>
    <row r="337" customFormat="false" ht="15" hidden="false" customHeight="false" outlineLevel="0" collapsed="false">
      <c r="A337" s="5" t="s">
        <v>373</v>
      </c>
      <c r="B337" s="15" t="n">
        <v>2.182237</v>
      </c>
      <c r="C337" s="5" t="s">
        <v>37</v>
      </c>
      <c r="D337" s="16" t="n">
        <v>49.9536</v>
      </c>
      <c r="E337" s="15" t="n">
        <f aca="false">B337-4</f>
        <v>-1.817763</v>
      </c>
      <c r="F337" s="17" t="n">
        <f aca="false">IF(B337&gt;=4,1,0)</f>
        <v>0</v>
      </c>
      <c r="G337" s="17" t="n">
        <f aca="false">IF(ABS(E337)&lt;=1.5,1,0)</f>
        <v>0</v>
      </c>
      <c r="H337" s="15" t="n">
        <f aca="false">IF(ABS(E337)&lt;=1.5,1-ABS(E337)/1.5,0)</f>
        <v>0</v>
      </c>
      <c r="I337" s="15" t="n">
        <f aca="false">ABS(E337)</f>
        <v>1.817763</v>
      </c>
    </row>
    <row r="338" customFormat="false" ht="15" hidden="false" customHeight="false" outlineLevel="0" collapsed="false">
      <c r="A338" s="5" t="s">
        <v>374</v>
      </c>
      <c r="B338" s="15" t="n">
        <v>4.040463</v>
      </c>
      <c r="C338" s="5" t="s">
        <v>39</v>
      </c>
      <c r="D338" s="16" t="n">
        <v>46.0831</v>
      </c>
      <c r="E338" s="15" t="n">
        <f aca="false">B338-4</f>
        <v>0.0404629999999999</v>
      </c>
      <c r="F338" s="17" t="n">
        <f aca="false">IF(B338&gt;=4,1,0)</f>
        <v>1</v>
      </c>
      <c r="G338" s="17" t="n">
        <f aca="false">IF(ABS(E338)&lt;=1.5,1,0)</f>
        <v>1</v>
      </c>
      <c r="H338" s="15" t="n">
        <f aca="false">IF(ABS(E338)&lt;=1.5,1-ABS(E338)/1.5,0)</f>
        <v>0.973024666666667</v>
      </c>
      <c r="I338" s="15" t="n">
        <f aca="false">ABS(E338)</f>
        <v>0.0404629999999999</v>
      </c>
    </row>
    <row r="339" customFormat="false" ht="15" hidden="false" customHeight="false" outlineLevel="0" collapsed="false">
      <c r="A339" s="5" t="s">
        <v>375</v>
      </c>
      <c r="B339" s="15" t="n">
        <v>2.047919</v>
      </c>
      <c r="C339" s="5" t="s">
        <v>37</v>
      </c>
      <c r="D339" s="16" t="n">
        <v>47.4191</v>
      </c>
      <c r="E339" s="15" t="n">
        <f aca="false">B339-4</f>
        <v>-1.952081</v>
      </c>
      <c r="F339" s="17" t="n">
        <f aca="false">IF(B339&gt;=4,1,0)</f>
        <v>0</v>
      </c>
      <c r="G339" s="17" t="n">
        <f aca="false">IF(ABS(E339)&lt;=1.5,1,0)</f>
        <v>0</v>
      </c>
      <c r="H339" s="15" t="n">
        <f aca="false">IF(ABS(E339)&lt;=1.5,1-ABS(E339)/1.5,0)</f>
        <v>0</v>
      </c>
      <c r="I339" s="15" t="n">
        <f aca="false">ABS(E339)</f>
        <v>1.952081</v>
      </c>
    </row>
    <row r="340" customFormat="false" ht="15" hidden="false" customHeight="false" outlineLevel="0" collapsed="false">
      <c r="A340" s="5" t="s">
        <v>376</v>
      </c>
      <c r="B340" s="15" t="n">
        <v>0.173454</v>
      </c>
      <c r="C340" s="5" t="s">
        <v>37</v>
      </c>
      <c r="D340" s="16" t="n">
        <v>46.1471</v>
      </c>
      <c r="E340" s="15" t="n">
        <f aca="false">B340-4</f>
        <v>-3.826546</v>
      </c>
      <c r="F340" s="17" t="n">
        <f aca="false">IF(B340&gt;=4,1,0)</f>
        <v>0</v>
      </c>
      <c r="G340" s="17" t="n">
        <f aca="false">IF(ABS(E340)&lt;=1.5,1,0)</f>
        <v>0</v>
      </c>
      <c r="H340" s="15" t="n">
        <f aca="false">IF(ABS(E340)&lt;=1.5,1-ABS(E340)/1.5,0)</f>
        <v>0</v>
      </c>
      <c r="I340" s="15" t="n">
        <f aca="false">ABS(E340)</f>
        <v>3.826546</v>
      </c>
    </row>
    <row r="341" customFormat="false" ht="15" hidden="false" customHeight="false" outlineLevel="0" collapsed="false">
      <c r="A341" s="5" t="s">
        <v>377</v>
      </c>
      <c r="B341" s="15" t="n">
        <v>0.609984</v>
      </c>
      <c r="C341" s="5" t="s">
        <v>37</v>
      </c>
      <c r="D341" s="16" t="n">
        <v>41.6612</v>
      </c>
      <c r="E341" s="15" t="n">
        <f aca="false">B341-4</f>
        <v>-3.390016</v>
      </c>
      <c r="F341" s="17" t="n">
        <f aca="false">IF(B341&gt;=4,1,0)</f>
        <v>0</v>
      </c>
      <c r="G341" s="17" t="n">
        <f aca="false">IF(ABS(E341)&lt;=1.5,1,0)</f>
        <v>0</v>
      </c>
      <c r="H341" s="15" t="n">
        <f aca="false">IF(ABS(E341)&lt;=1.5,1-ABS(E341)/1.5,0)</f>
        <v>0</v>
      </c>
      <c r="I341" s="15" t="n">
        <f aca="false">ABS(E341)</f>
        <v>3.390016</v>
      </c>
    </row>
    <row r="342" customFormat="false" ht="15" hidden="false" customHeight="false" outlineLevel="0" collapsed="false">
      <c r="A342" s="5" t="s">
        <v>378</v>
      </c>
      <c r="B342" s="15" t="n">
        <v>0.682207</v>
      </c>
      <c r="C342" s="5" t="s">
        <v>37</v>
      </c>
      <c r="D342" s="16" t="n">
        <v>55.6657</v>
      </c>
      <c r="E342" s="15" t="n">
        <f aca="false">B342-4</f>
        <v>-3.317793</v>
      </c>
      <c r="F342" s="17" t="n">
        <f aca="false">IF(B342&gt;=4,1,0)</f>
        <v>0</v>
      </c>
      <c r="G342" s="17" t="n">
        <f aca="false">IF(ABS(E342)&lt;=1.5,1,0)</f>
        <v>0</v>
      </c>
      <c r="H342" s="15" t="n">
        <f aca="false">IF(ABS(E342)&lt;=1.5,1-ABS(E342)/1.5,0)</f>
        <v>0</v>
      </c>
      <c r="I342" s="15" t="n">
        <f aca="false">ABS(E342)</f>
        <v>3.317793</v>
      </c>
    </row>
    <row r="343" customFormat="false" ht="15" hidden="false" customHeight="false" outlineLevel="0" collapsed="false">
      <c r="A343" s="5" t="s">
        <v>379</v>
      </c>
      <c r="B343" s="15" t="n">
        <v>4.204318</v>
      </c>
      <c r="C343" s="5" t="s">
        <v>39</v>
      </c>
      <c r="D343" s="16" t="n">
        <v>41.7661</v>
      </c>
      <c r="E343" s="15" t="n">
        <f aca="false">B343-4</f>
        <v>0.204318</v>
      </c>
      <c r="F343" s="17" t="n">
        <f aca="false">IF(B343&gt;=4,1,0)</f>
        <v>1</v>
      </c>
      <c r="G343" s="17" t="n">
        <f aca="false">IF(ABS(E343)&lt;=1.5,1,0)</f>
        <v>1</v>
      </c>
      <c r="H343" s="15" t="n">
        <f aca="false">IF(ABS(E343)&lt;=1.5,1-ABS(E343)/1.5,0)</f>
        <v>0.863788</v>
      </c>
      <c r="I343" s="15" t="n">
        <f aca="false">ABS(E343)</f>
        <v>0.204318</v>
      </c>
    </row>
    <row r="344" customFormat="false" ht="15" hidden="false" customHeight="false" outlineLevel="0" collapsed="false">
      <c r="A344" s="5" t="s">
        <v>380</v>
      </c>
      <c r="B344" s="15" t="n">
        <v>6.211137</v>
      </c>
      <c r="C344" s="5" t="s">
        <v>39</v>
      </c>
      <c r="D344" s="16" t="n">
        <v>54.5631</v>
      </c>
      <c r="E344" s="15" t="n">
        <f aca="false">B344-4</f>
        <v>2.211137</v>
      </c>
      <c r="F344" s="17" t="n">
        <f aca="false">IF(B344&gt;=4,1,0)</f>
        <v>1</v>
      </c>
      <c r="G344" s="17" t="n">
        <f aca="false">IF(ABS(E344)&lt;=1.5,1,0)</f>
        <v>0</v>
      </c>
      <c r="H344" s="15" t="n">
        <f aca="false">IF(ABS(E344)&lt;=1.5,1-ABS(E344)/1.5,0)</f>
        <v>0</v>
      </c>
      <c r="I344" s="15" t="n">
        <f aca="false">ABS(E344)</f>
        <v>2.211137</v>
      </c>
    </row>
    <row r="345" customFormat="false" ht="15" hidden="false" customHeight="false" outlineLevel="0" collapsed="false">
      <c r="A345" s="5" t="s">
        <v>381</v>
      </c>
      <c r="B345" s="15" t="n">
        <v>2.130556</v>
      </c>
      <c r="C345" s="5" t="s">
        <v>37</v>
      </c>
      <c r="D345" s="16" t="n">
        <v>58.0094</v>
      </c>
      <c r="E345" s="15" t="n">
        <f aca="false">B345-4</f>
        <v>-1.869444</v>
      </c>
      <c r="F345" s="17" t="n">
        <f aca="false">IF(B345&gt;=4,1,0)</f>
        <v>0</v>
      </c>
      <c r="G345" s="17" t="n">
        <f aca="false">IF(ABS(E345)&lt;=1.5,1,0)</f>
        <v>0</v>
      </c>
      <c r="H345" s="15" t="n">
        <f aca="false">IF(ABS(E345)&lt;=1.5,1-ABS(E345)/1.5,0)</f>
        <v>0</v>
      </c>
      <c r="I345" s="15" t="n">
        <f aca="false">ABS(E345)</f>
        <v>1.869444</v>
      </c>
    </row>
    <row r="346" customFormat="false" ht="15" hidden="false" customHeight="false" outlineLevel="0" collapsed="false">
      <c r="A346" s="5" t="s">
        <v>382</v>
      </c>
      <c r="B346" s="15" t="n">
        <v>1.202646</v>
      </c>
      <c r="C346" s="5" t="s">
        <v>37</v>
      </c>
      <c r="D346" s="16" t="n">
        <v>41.5331</v>
      </c>
      <c r="E346" s="15" t="n">
        <f aca="false">B346-4</f>
        <v>-2.797354</v>
      </c>
      <c r="F346" s="17" t="n">
        <f aca="false">IF(B346&gt;=4,1,0)</f>
        <v>0</v>
      </c>
      <c r="G346" s="17" t="n">
        <f aca="false">IF(ABS(E346)&lt;=1.5,1,0)</f>
        <v>0</v>
      </c>
      <c r="H346" s="15" t="n">
        <f aca="false">IF(ABS(E346)&lt;=1.5,1-ABS(E346)/1.5,0)</f>
        <v>0</v>
      </c>
      <c r="I346" s="15" t="n">
        <f aca="false">ABS(E346)</f>
        <v>2.797354</v>
      </c>
    </row>
    <row r="347" customFormat="false" ht="15" hidden="false" customHeight="false" outlineLevel="0" collapsed="false">
      <c r="A347" s="5" t="s">
        <v>383</v>
      </c>
      <c r="B347" s="15" t="n">
        <v>0.148013</v>
      </c>
      <c r="C347" s="5" t="s">
        <v>37</v>
      </c>
      <c r="D347" s="16" t="n">
        <v>32.3079</v>
      </c>
      <c r="E347" s="15" t="n">
        <f aca="false">B347-4</f>
        <v>-3.851987</v>
      </c>
      <c r="F347" s="17" t="n">
        <f aca="false">IF(B347&gt;=4,1,0)</f>
        <v>0</v>
      </c>
      <c r="G347" s="17" t="n">
        <f aca="false">IF(ABS(E347)&lt;=1.5,1,0)</f>
        <v>0</v>
      </c>
      <c r="H347" s="15" t="n">
        <f aca="false">IF(ABS(E347)&lt;=1.5,1-ABS(E347)/1.5,0)</f>
        <v>0</v>
      </c>
      <c r="I347" s="15" t="n">
        <f aca="false">ABS(E347)</f>
        <v>3.851987</v>
      </c>
    </row>
    <row r="348" customFormat="false" ht="15" hidden="false" customHeight="false" outlineLevel="0" collapsed="false">
      <c r="A348" s="5" t="s">
        <v>384</v>
      </c>
      <c r="B348" s="15" t="n">
        <v>2.686185</v>
      </c>
      <c r="C348" s="5" t="s">
        <v>37</v>
      </c>
      <c r="D348" s="16" t="n">
        <v>57.7059</v>
      </c>
      <c r="E348" s="15" t="n">
        <f aca="false">B348-4</f>
        <v>-1.313815</v>
      </c>
      <c r="F348" s="17" t="n">
        <f aca="false">IF(B348&gt;=4,1,0)</f>
        <v>0</v>
      </c>
      <c r="G348" s="17" t="n">
        <f aca="false">IF(ABS(E348)&lt;=1.5,1,0)</f>
        <v>1</v>
      </c>
      <c r="H348" s="15" t="n">
        <f aca="false">IF(ABS(E348)&lt;=1.5,1-ABS(E348)/1.5,0)</f>
        <v>0.124123333333333</v>
      </c>
      <c r="I348" s="15" t="n">
        <f aca="false">ABS(E348)</f>
        <v>1.313815</v>
      </c>
    </row>
    <row r="349" customFormat="false" ht="15" hidden="false" customHeight="false" outlineLevel="0" collapsed="false">
      <c r="A349" s="5" t="s">
        <v>385</v>
      </c>
      <c r="B349" s="15" t="n">
        <v>0.133026</v>
      </c>
      <c r="C349" s="5" t="s">
        <v>37</v>
      </c>
      <c r="D349" s="16" t="n">
        <v>53.2045</v>
      </c>
      <c r="E349" s="15" t="n">
        <f aca="false">B349-4</f>
        <v>-3.866974</v>
      </c>
      <c r="F349" s="17" t="n">
        <f aca="false">IF(B349&gt;=4,1,0)</f>
        <v>0</v>
      </c>
      <c r="G349" s="17" t="n">
        <f aca="false">IF(ABS(E349)&lt;=1.5,1,0)</f>
        <v>0</v>
      </c>
      <c r="H349" s="15" t="n">
        <f aca="false">IF(ABS(E349)&lt;=1.5,1-ABS(E349)/1.5,0)</f>
        <v>0</v>
      </c>
      <c r="I349" s="15" t="n">
        <f aca="false">ABS(E349)</f>
        <v>3.866974</v>
      </c>
    </row>
    <row r="350" customFormat="false" ht="15" hidden="false" customHeight="false" outlineLevel="0" collapsed="false">
      <c r="A350" s="5" t="s">
        <v>386</v>
      </c>
      <c r="B350" s="15" t="n">
        <v>0.911143</v>
      </c>
      <c r="C350" s="5" t="s">
        <v>37</v>
      </c>
      <c r="D350" s="16" t="n">
        <v>53.346</v>
      </c>
      <c r="E350" s="15" t="n">
        <f aca="false">B350-4</f>
        <v>-3.088857</v>
      </c>
      <c r="F350" s="17" t="n">
        <f aca="false">IF(B350&gt;=4,1,0)</f>
        <v>0</v>
      </c>
      <c r="G350" s="17" t="n">
        <f aca="false">IF(ABS(E350)&lt;=1.5,1,0)</f>
        <v>0</v>
      </c>
      <c r="H350" s="15" t="n">
        <f aca="false">IF(ABS(E350)&lt;=1.5,1-ABS(E350)/1.5,0)</f>
        <v>0</v>
      </c>
      <c r="I350" s="15" t="n">
        <f aca="false">ABS(E350)</f>
        <v>3.088857</v>
      </c>
    </row>
    <row r="351" customFormat="false" ht="15" hidden="false" customHeight="false" outlineLevel="0" collapsed="false">
      <c r="A351" s="5" t="s">
        <v>387</v>
      </c>
      <c r="B351" s="15" t="n">
        <v>1.576351</v>
      </c>
      <c r="C351" s="5" t="s">
        <v>37</v>
      </c>
      <c r="D351" s="16" t="n">
        <v>41.9548</v>
      </c>
      <c r="E351" s="15" t="n">
        <f aca="false">B351-4</f>
        <v>-2.423649</v>
      </c>
      <c r="F351" s="17" t="n">
        <f aca="false">IF(B351&gt;=4,1,0)</f>
        <v>0</v>
      </c>
      <c r="G351" s="17" t="n">
        <f aca="false">IF(ABS(E351)&lt;=1.5,1,0)</f>
        <v>0</v>
      </c>
      <c r="H351" s="15" t="n">
        <f aca="false">IF(ABS(E351)&lt;=1.5,1-ABS(E351)/1.5,0)</f>
        <v>0</v>
      </c>
      <c r="I351" s="15" t="n">
        <f aca="false">ABS(E351)</f>
        <v>2.423649</v>
      </c>
    </row>
    <row r="352" customFormat="false" ht="15" hidden="false" customHeight="false" outlineLevel="0" collapsed="false">
      <c r="A352" s="5" t="s">
        <v>388</v>
      </c>
      <c r="B352" s="15" t="n">
        <v>2.803535</v>
      </c>
      <c r="C352" s="5" t="s">
        <v>37</v>
      </c>
      <c r="D352" s="16" t="n">
        <v>53.7232</v>
      </c>
      <c r="E352" s="15" t="n">
        <f aca="false">B352-4</f>
        <v>-1.196465</v>
      </c>
      <c r="F352" s="17" t="n">
        <f aca="false">IF(B352&gt;=4,1,0)</f>
        <v>0</v>
      </c>
      <c r="G352" s="17" t="n">
        <f aca="false">IF(ABS(E352)&lt;=1.5,1,0)</f>
        <v>1</v>
      </c>
      <c r="H352" s="15" t="n">
        <f aca="false">IF(ABS(E352)&lt;=1.5,1-ABS(E352)/1.5,0)</f>
        <v>0.202356666666667</v>
      </c>
      <c r="I352" s="15" t="n">
        <f aca="false">ABS(E352)</f>
        <v>1.196465</v>
      </c>
    </row>
    <row r="353" customFormat="false" ht="15" hidden="false" customHeight="false" outlineLevel="0" collapsed="false">
      <c r="A353" s="5" t="s">
        <v>389</v>
      </c>
      <c r="B353" s="15" t="n">
        <v>0.992435</v>
      </c>
      <c r="C353" s="5" t="s">
        <v>37</v>
      </c>
      <c r="D353" s="16" t="n">
        <v>41.9134</v>
      </c>
      <c r="E353" s="15" t="n">
        <f aca="false">B353-4</f>
        <v>-3.007565</v>
      </c>
      <c r="F353" s="17" t="n">
        <f aca="false">IF(B353&gt;=4,1,0)</f>
        <v>0</v>
      </c>
      <c r="G353" s="17" t="n">
        <f aca="false">IF(ABS(E353)&lt;=1.5,1,0)</f>
        <v>0</v>
      </c>
      <c r="H353" s="15" t="n">
        <f aca="false">IF(ABS(E353)&lt;=1.5,1-ABS(E353)/1.5,0)</f>
        <v>0</v>
      </c>
      <c r="I353" s="15" t="n">
        <f aca="false">ABS(E353)</f>
        <v>3.007565</v>
      </c>
    </row>
    <row r="354" customFormat="false" ht="15" hidden="false" customHeight="false" outlineLevel="0" collapsed="false">
      <c r="A354" s="5" t="s">
        <v>390</v>
      </c>
      <c r="B354" s="15" t="n">
        <v>4.680051</v>
      </c>
      <c r="C354" s="5" t="s">
        <v>39</v>
      </c>
      <c r="D354" s="16" t="n">
        <v>19.2375</v>
      </c>
      <c r="E354" s="15" t="n">
        <f aca="false">B354-4</f>
        <v>0.680051</v>
      </c>
      <c r="F354" s="17" t="n">
        <f aca="false">IF(B354&gt;=4,1,0)</f>
        <v>1</v>
      </c>
      <c r="G354" s="17" t="n">
        <f aca="false">IF(ABS(E354)&lt;=1.5,1,0)</f>
        <v>1</v>
      </c>
      <c r="H354" s="15" t="n">
        <f aca="false">IF(ABS(E354)&lt;=1.5,1-ABS(E354)/1.5,0)</f>
        <v>0.546632666666667</v>
      </c>
      <c r="I354" s="15" t="n">
        <f aca="false">ABS(E354)</f>
        <v>0.680051</v>
      </c>
    </row>
    <row r="355" customFormat="false" ht="15" hidden="false" customHeight="false" outlineLevel="0" collapsed="false">
      <c r="A355" s="5" t="s">
        <v>391</v>
      </c>
      <c r="B355" s="15" t="n">
        <v>0.592072</v>
      </c>
      <c r="C355" s="5" t="s">
        <v>37</v>
      </c>
      <c r="D355" s="16" t="n">
        <v>58.8449</v>
      </c>
      <c r="E355" s="15" t="n">
        <f aca="false">B355-4</f>
        <v>-3.407928</v>
      </c>
      <c r="F355" s="17" t="n">
        <f aca="false">IF(B355&gt;=4,1,0)</f>
        <v>0</v>
      </c>
      <c r="G355" s="17" t="n">
        <f aca="false">IF(ABS(E355)&lt;=1.5,1,0)</f>
        <v>0</v>
      </c>
      <c r="H355" s="15" t="n">
        <f aca="false">IF(ABS(E355)&lt;=1.5,1-ABS(E355)/1.5,0)</f>
        <v>0</v>
      </c>
      <c r="I355" s="15" t="n">
        <f aca="false">ABS(E355)</f>
        <v>3.407928</v>
      </c>
    </row>
    <row r="356" customFormat="false" ht="15" hidden="false" customHeight="false" outlineLevel="0" collapsed="false">
      <c r="A356" s="5" t="s">
        <v>392</v>
      </c>
      <c r="B356" s="15" t="n">
        <v>1.194245</v>
      </c>
      <c r="C356" s="5" t="s">
        <v>37</v>
      </c>
      <c r="D356" s="16" t="n">
        <v>54.406</v>
      </c>
      <c r="E356" s="15" t="n">
        <f aca="false">B356-4</f>
        <v>-2.805755</v>
      </c>
      <c r="F356" s="17" t="n">
        <f aca="false">IF(B356&gt;=4,1,0)</f>
        <v>0</v>
      </c>
      <c r="G356" s="17" t="n">
        <f aca="false">IF(ABS(E356)&lt;=1.5,1,0)</f>
        <v>0</v>
      </c>
      <c r="H356" s="15" t="n">
        <f aca="false">IF(ABS(E356)&lt;=1.5,1-ABS(E356)/1.5,0)</f>
        <v>0</v>
      </c>
      <c r="I356" s="15" t="n">
        <f aca="false">ABS(E356)</f>
        <v>2.805755</v>
      </c>
    </row>
    <row r="357" customFormat="false" ht="15" hidden="false" customHeight="false" outlineLevel="0" collapsed="false">
      <c r="A357" s="5" t="s">
        <v>393</v>
      </c>
      <c r="B357" s="15" t="n">
        <v>2.710724</v>
      </c>
      <c r="C357" s="5" t="s">
        <v>37</v>
      </c>
      <c r="D357" s="16" t="n">
        <v>52.8604</v>
      </c>
      <c r="E357" s="15" t="n">
        <f aca="false">B357-4</f>
        <v>-1.289276</v>
      </c>
      <c r="F357" s="17" t="n">
        <f aca="false">IF(B357&gt;=4,1,0)</f>
        <v>0</v>
      </c>
      <c r="G357" s="17" t="n">
        <f aca="false">IF(ABS(E357)&lt;=1.5,1,0)</f>
        <v>1</v>
      </c>
      <c r="H357" s="15" t="n">
        <f aca="false">IF(ABS(E357)&lt;=1.5,1-ABS(E357)/1.5,0)</f>
        <v>0.140482666666667</v>
      </c>
      <c r="I357" s="15" t="n">
        <f aca="false">ABS(E357)</f>
        <v>1.289276</v>
      </c>
    </row>
    <row r="358" customFormat="false" ht="15" hidden="false" customHeight="false" outlineLevel="0" collapsed="false">
      <c r="A358" s="5" t="s">
        <v>394</v>
      </c>
      <c r="B358" s="15" t="n">
        <v>0.317073</v>
      </c>
      <c r="C358" s="5" t="s">
        <v>37</v>
      </c>
      <c r="D358" s="16" t="n">
        <v>46.8177</v>
      </c>
      <c r="E358" s="15" t="n">
        <f aca="false">B358-4</f>
        <v>-3.682927</v>
      </c>
      <c r="F358" s="17" t="n">
        <f aca="false">IF(B358&gt;=4,1,0)</f>
        <v>0</v>
      </c>
      <c r="G358" s="17" t="n">
        <f aca="false">IF(ABS(E358)&lt;=1.5,1,0)</f>
        <v>0</v>
      </c>
      <c r="H358" s="15" t="n">
        <f aca="false">IF(ABS(E358)&lt;=1.5,1-ABS(E358)/1.5,0)</f>
        <v>0</v>
      </c>
      <c r="I358" s="15" t="n">
        <f aca="false">ABS(E358)</f>
        <v>3.682927</v>
      </c>
    </row>
    <row r="359" customFormat="false" ht="15" hidden="false" customHeight="false" outlineLevel="0" collapsed="false">
      <c r="A359" s="5" t="s">
        <v>395</v>
      </c>
      <c r="B359" s="15" t="n">
        <v>1.401048</v>
      </c>
      <c r="C359" s="5" t="s">
        <v>37</v>
      </c>
      <c r="D359" s="16" t="n">
        <v>34.7918</v>
      </c>
      <c r="E359" s="15" t="n">
        <f aca="false">B359-4</f>
        <v>-2.598952</v>
      </c>
      <c r="F359" s="17" t="n">
        <f aca="false">IF(B359&gt;=4,1,0)</f>
        <v>0</v>
      </c>
      <c r="G359" s="17" t="n">
        <f aca="false">IF(ABS(E359)&lt;=1.5,1,0)</f>
        <v>0</v>
      </c>
      <c r="H359" s="15" t="n">
        <f aca="false">IF(ABS(E359)&lt;=1.5,1-ABS(E359)/1.5,0)</f>
        <v>0</v>
      </c>
      <c r="I359" s="15" t="n">
        <f aca="false">ABS(E359)</f>
        <v>2.598952</v>
      </c>
    </row>
    <row r="360" customFormat="false" ht="15" hidden="false" customHeight="false" outlineLevel="0" collapsed="false">
      <c r="A360" s="5" t="s">
        <v>396</v>
      </c>
      <c r="B360" s="15" t="n">
        <v>5.148669</v>
      </c>
      <c r="C360" s="5" t="s">
        <v>39</v>
      </c>
      <c r="D360" s="16" t="n">
        <v>48.1967</v>
      </c>
      <c r="E360" s="15" t="n">
        <f aca="false">B360-4</f>
        <v>1.148669</v>
      </c>
      <c r="F360" s="17" t="n">
        <f aca="false">IF(B360&gt;=4,1,0)</f>
        <v>1</v>
      </c>
      <c r="G360" s="17" t="n">
        <f aca="false">IF(ABS(E360)&lt;=1.5,1,0)</f>
        <v>1</v>
      </c>
      <c r="H360" s="15" t="n">
        <f aca="false">IF(ABS(E360)&lt;=1.5,1-ABS(E360)/1.5,0)</f>
        <v>0.234220666666667</v>
      </c>
      <c r="I360" s="15" t="n">
        <f aca="false">ABS(E360)</f>
        <v>1.148669</v>
      </c>
    </row>
    <row r="361" customFormat="false" ht="15" hidden="false" customHeight="false" outlineLevel="0" collapsed="false">
      <c r="A361" s="5" t="s">
        <v>397</v>
      </c>
      <c r="B361" s="15" t="n">
        <v>0.541717</v>
      </c>
      <c r="C361" s="5" t="s">
        <v>37</v>
      </c>
      <c r="D361" s="16" t="n">
        <v>34.5592</v>
      </c>
      <c r="E361" s="15" t="n">
        <f aca="false">B361-4</f>
        <v>-3.458283</v>
      </c>
      <c r="F361" s="17" t="n">
        <f aca="false">IF(B361&gt;=4,1,0)</f>
        <v>0</v>
      </c>
      <c r="G361" s="17" t="n">
        <f aca="false">IF(ABS(E361)&lt;=1.5,1,0)</f>
        <v>0</v>
      </c>
      <c r="H361" s="15" t="n">
        <f aca="false">IF(ABS(E361)&lt;=1.5,1-ABS(E361)/1.5,0)</f>
        <v>0</v>
      </c>
      <c r="I361" s="15" t="n">
        <f aca="false">ABS(E361)</f>
        <v>3.458283</v>
      </c>
    </row>
    <row r="362" customFormat="false" ht="15" hidden="false" customHeight="false" outlineLevel="0" collapsed="false">
      <c r="A362" s="5" t="s">
        <v>398</v>
      </c>
      <c r="B362" s="15" t="n">
        <v>4.791447</v>
      </c>
      <c r="C362" s="5" t="s">
        <v>39</v>
      </c>
      <c r="D362" s="16" t="n">
        <v>45.7604</v>
      </c>
      <c r="E362" s="15" t="n">
        <f aca="false">B362-4</f>
        <v>0.791447</v>
      </c>
      <c r="F362" s="17" t="n">
        <f aca="false">IF(B362&gt;=4,1,0)</f>
        <v>1</v>
      </c>
      <c r="G362" s="17" t="n">
        <f aca="false">IF(ABS(E362)&lt;=1.5,1,0)</f>
        <v>1</v>
      </c>
      <c r="H362" s="15" t="n">
        <f aca="false">IF(ABS(E362)&lt;=1.5,1-ABS(E362)/1.5,0)</f>
        <v>0.472368666666667</v>
      </c>
      <c r="I362" s="15" t="n">
        <f aca="false">ABS(E362)</f>
        <v>0.791447</v>
      </c>
    </row>
  </sheetData>
  <autoFilter ref="A1:I362"/>
  <conditionalFormatting sqref="G2:G362">
    <cfRule type="cellIs" priority="2" operator="equal" aboveAverage="0" equalAverage="0" bottom="0" percent="0" rank="0" text="" dxfId="5">
      <formula>1</formula>
    </cfRule>
  </conditionalFormatting>
  <conditionalFormatting sqref="C2:C362">
    <cfRule type="expression" priority="3" aboveAverage="0" equalAverage="0" bottom="0" percent="0" rank="0" text="" dxfId="6">
      <formula>$C2="Emergency"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3"/>
    <col collapsed="false" customWidth="true" hidden="false" outlineLevel="0" max="7" min="7" style="0" width="42"/>
  </cols>
  <sheetData>
    <row r="1" customFormat="false" ht="19.7" hidden="false" customHeight="false" outlineLevel="0" collapsed="false">
      <c r="A1" s="1" t="s">
        <v>399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3" t="s">
        <v>400</v>
      </c>
    </row>
    <row r="4" customFormat="false" ht="15" hidden="false" customHeight="false" outlineLevel="0" collapsed="false">
      <c r="A4" s="14" t="s">
        <v>401</v>
      </c>
      <c r="B4" s="14" t="s">
        <v>402</v>
      </c>
      <c r="C4" s="14" t="s">
        <v>403</v>
      </c>
      <c r="D4" s="14" t="s">
        <v>404</v>
      </c>
      <c r="E4" s="14" t="s">
        <v>405</v>
      </c>
      <c r="F4" s="14" t="s">
        <v>406</v>
      </c>
      <c r="G4" s="14" t="s">
        <v>407</v>
      </c>
    </row>
    <row r="5" customFormat="false" ht="15" hidden="false" customHeight="false" outlineLevel="0" collapsed="false">
      <c r="A5" s="18" t="s">
        <v>408</v>
      </c>
      <c r="B5" s="18" t="n">
        <v>1.5</v>
      </c>
      <c r="C5" s="19" t="n">
        <v>-11.064</v>
      </c>
      <c r="D5" s="19" t="n">
        <v>4.39</v>
      </c>
      <c r="E5" s="20" t="n">
        <v>0.0134</v>
      </c>
      <c r="F5" s="18" t="n">
        <v>98</v>
      </c>
      <c r="G5" s="18" t="s">
        <v>409</v>
      </c>
    </row>
    <row r="6" customFormat="false" ht="15" hidden="false" customHeight="false" outlineLevel="0" collapsed="false">
      <c r="A6" s="21" t="s">
        <v>410</v>
      </c>
      <c r="B6" s="21" t="n">
        <v>1.5</v>
      </c>
      <c r="C6" s="22" t="n">
        <v>-11.967</v>
      </c>
      <c r="D6" s="22" t="n">
        <v>3.482</v>
      </c>
      <c r="E6" s="23" t="n">
        <v>0.0009</v>
      </c>
      <c r="F6" s="21" t="n">
        <v>98</v>
      </c>
      <c r="G6" s="21" t="s">
        <v>411</v>
      </c>
    </row>
    <row r="8" customFormat="false" ht="15" hidden="false" customHeight="false" outlineLevel="0" collapsed="false">
      <c r="A8" s="3" t="s">
        <v>412</v>
      </c>
    </row>
    <row r="9" customFormat="false" ht="26.85" hidden="false" customHeight="false" outlineLevel="0" collapsed="false">
      <c r="A9" s="14" t="s">
        <v>413</v>
      </c>
      <c r="B9" s="14" t="s">
        <v>403</v>
      </c>
      <c r="C9" s="14" t="s">
        <v>404</v>
      </c>
      <c r="D9" s="14" t="s">
        <v>405</v>
      </c>
      <c r="E9" s="14" t="s">
        <v>414</v>
      </c>
      <c r="F9" s="14" t="s">
        <v>415</v>
      </c>
    </row>
    <row r="10" customFormat="false" ht="15" hidden="false" customHeight="false" outlineLevel="0" collapsed="false">
      <c r="A10" s="24" t="n">
        <v>0.75</v>
      </c>
      <c r="B10" s="25" t="n">
        <v>-10.788</v>
      </c>
      <c r="C10" s="25" t="n">
        <v>5.961</v>
      </c>
      <c r="D10" s="26" t="n">
        <v>0.0782</v>
      </c>
      <c r="E10" s="27" t="n">
        <v>42</v>
      </c>
      <c r="F10" s="27" t="s">
        <v>416</v>
      </c>
    </row>
    <row r="11" customFormat="false" ht="15" hidden="false" customHeight="false" outlineLevel="0" collapsed="false">
      <c r="A11" s="24" t="n">
        <v>1</v>
      </c>
      <c r="B11" s="25" t="n">
        <v>-12.592</v>
      </c>
      <c r="C11" s="25" t="n">
        <v>5.586</v>
      </c>
      <c r="D11" s="26" t="n">
        <v>0.0281</v>
      </c>
      <c r="E11" s="27" t="n">
        <v>60</v>
      </c>
      <c r="F11" s="27" t="s">
        <v>417</v>
      </c>
    </row>
    <row r="12" customFormat="false" ht="15" hidden="false" customHeight="false" outlineLevel="0" collapsed="false">
      <c r="A12" s="24" t="n">
        <v>1.25</v>
      </c>
      <c r="B12" s="25" t="n">
        <v>-11.267</v>
      </c>
      <c r="C12" s="25" t="n">
        <v>4.832</v>
      </c>
      <c r="D12" s="26" t="n">
        <v>0.0223</v>
      </c>
      <c r="E12" s="27" t="n">
        <v>81</v>
      </c>
      <c r="F12" s="27" t="s">
        <v>417</v>
      </c>
    </row>
    <row r="13" customFormat="false" ht="15" hidden="false" customHeight="false" outlineLevel="0" collapsed="false">
      <c r="A13" s="28" t="n">
        <v>1.5</v>
      </c>
      <c r="B13" s="29" t="n">
        <v>-11.064</v>
      </c>
      <c r="C13" s="29" t="n">
        <v>4.39</v>
      </c>
      <c r="D13" s="30" t="n">
        <v>0.0134</v>
      </c>
      <c r="E13" s="31" t="n">
        <v>98</v>
      </c>
      <c r="F13" s="31" t="s">
        <v>417</v>
      </c>
    </row>
    <row r="14" customFormat="false" ht="15" hidden="false" customHeight="false" outlineLevel="0" collapsed="false">
      <c r="A14" s="24" t="n">
        <v>1.75</v>
      </c>
      <c r="B14" s="25" t="n">
        <v>-9.137</v>
      </c>
      <c r="C14" s="25" t="n">
        <v>3.748</v>
      </c>
      <c r="D14" s="26" t="n">
        <v>0.0162</v>
      </c>
      <c r="E14" s="27" t="n">
        <v>123</v>
      </c>
      <c r="F14" s="27" t="s">
        <v>417</v>
      </c>
    </row>
    <row r="15" customFormat="false" ht="15" hidden="false" customHeight="false" outlineLevel="0" collapsed="false">
      <c r="A15" s="24" t="n">
        <v>2</v>
      </c>
      <c r="B15" s="25" t="n">
        <v>-11.179</v>
      </c>
      <c r="C15" s="25" t="n">
        <v>3.509</v>
      </c>
      <c r="D15" s="26" t="n">
        <v>0.0018</v>
      </c>
      <c r="E15" s="27" t="n">
        <v>145</v>
      </c>
      <c r="F15" s="27" t="s">
        <v>417</v>
      </c>
    </row>
    <row r="16" customFormat="false" ht="15" hidden="false" customHeight="false" outlineLevel="0" collapsed="false">
      <c r="A16" s="24" t="n">
        <v>2.25</v>
      </c>
      <c r="B16" s="25" t="n">
        <v>-12.276</v>
      </c>
      <c r="C16" s="25" t="n">
        <v>3.276</v>
      </c>
      <c r="D16" s="26" t="n">
        <v>0.0002</v>
      </c>
      <c r="E16" s="27" t="n">
        <v>172</v>
      </c>
      <c r="F16" s="27" t="s">
        <v>417</v>
      </c>
    </row>
    <row r="17" customFormat="false" ht="15" hidden="false" customHeight="false" outlineLevel="0" collapsed="false">
      <c r="A17" s="24" t="n">
        <v>2.5</v>
      </c>
      <c r="B17" s="25" t="n">
        <v>-9.889</v>
      </c>
      <c r="C17" s="25" t="n">
        <v>3.207</v>
      </c>
      <c r="D17" s="26" t="n">
        <v>0.0024</v>
      </c>
      <c r="E17" s="27" t="n">
        <v>190</v>
      </c>
      <c r="F17" s="27" t="s">
        <v>417</v>
      </c>
    </row>
    <row r="18" customFormat="false" ht="15" hidden="false" customHeight="false" outlineLevel="0" collapsed="false">
      <c r="A18" s="24" t="n">
        <v>2.75</v>
      </c>
      <c r="B18" s="25" t="n">
        <v>-9.753</v>
      </c>
      <c r="C18" s="25" t="n">
        <v>3.1</v>
      </c>
      <c r="D18" s="26" t="n">
        <v>0.0019</v>
      </c>
      <c r="E18" s="27" t="n">
        <v>220</v>
      </c>
      <c r="F18" s="27" t="s">
        <v>417</v>
      </c>
    </row>
    <row r="19" customFormat="false" ht="15" hidden="false" customHeight="false" outlineLevel="0" collapsed="false">
      <c r="A19" s="24" t="n">
        <v>3</v>
      </c>
      <c r="B19" s="25" t="n">
        <v>-9.795</v>
      </c>
      <c r="C19" s="25" t="n">
        <v>3.04</v>
      </c>
      <c r="D19" s="26" t="n">
        <v>0.0015</v>
      </c>
      <c r="E19" s="27" t="n">
        <v>240</v>
      </c>
      <c r="F19" s="27" t="s">
        <v>417</v>
      </c>
    </row>
    <row r="21" customFormat="false" ht="15" hidden="false" customHeight="false" outlineLevel="0" collapsed="false">
      <c r="A21" s="3" t="s">
        <v>418</v>
      </c>
    </row>
    <row r="22" customFormat="false" ht="15" hidden="false" customHeight="false" outlineLevel="0" collapsed="false">
      <c r="A22" s="14" t="s">
        <v>419</v>
      </c>
      <c r="B22" s="14" t="s">
        <v>403</v>
      </c>
      <c r="C22" s="14" t="s">
        <v>404</v>
      </c>
      <c r="D22" s="14" t="s">
        <v>405</v>
      </c>
      <c r="E22" s="14" t="s">
        <v>414</v>
      </c>
      <c r="F22" s="14" t="s">
        <v>420</v>
      </c>
    </row>
    <row r="23" customFormat="false" ht="15" hidden="false" customHeight="false" outlineLevel="0" collapsed="false">
      <c r="A23" s="32" t="n">
        <v>1.5</v>
      </c>
      <c r="B23" s="25" t="n">
        <v>-0.318</v>
      </c>
      <c r="C23" s="25" t="n">
        <v>2.627</v>
      </c>
      <c r="D23" s="25" t="n">
        <v>0.904</v>
      </c>
      <c r="E23" s="27" t="n">
        <v>264</v>
      </c>
      <c r="F23" s="27" t="s">
        <v>416</v>
      </c>
    </row>
    <row r="24" customFormat="false" ht="15" hidden="false" customHeight="false" outlineLevel="0" collapsed="false">
      <c r="A24" s="32" t="n">
        <v>2</v>
      </c>
      <c r="B24" s="25" t="n">
        <v>0.683</v>
      </c>
      <c r="C24" s="25" t="n">
        <v>2.785</v>
      </c>
      <c r="D24" s="25" t="n">
        <v>0.806</v>
      </c>
      <c r="E24" s="27" t="n">
        <v>224</v>
      </c>
      <c r="F24" s="27" t="s">
        <v>416</v>
      </c>
    </row>
    <row r="25" customFormat="false" ht="15" hidden="false" customHeight="false" outlineLevel="0" collapsed="false">
      <c r="A25" s="32" t="n">
        <v>2.5</v>
      </c>
      <c r="B25" s="25" t="n">
        <v>-0.255</v>
      </c>
      <c r="C25" s="25" t="n">
        <v>2.983</v>
      </c>
      <c r="D25" s="25" t="n">
        <v>0.932</v>
      </c>
      <c r="E25" s="27" t="n">
        <v>186</v>
      </c>
      <c r="F25" s="27" t="s">
        <v>416</v>
      </c>
    </row>
    <row r="26" customFormat="false" ht="15" hidden="false" customHeight="false" outlineLevel="0" collapsed="false">
      <c r="A26" s="32" t="n">
        <v>3</v>
      </c>
      <c r="B26" s="25" t="n">
        <v>0.198</v>
      </c>
      <c r="C26" s="25" t="n">
        <v>3.094</v>
      </c>
      <c r="D26" s="25" t="n">
        <v>0.949</v>
      </c>
      <c r="E26" s="27" t="n">
        <v>155</v>
      </c>
      <c r="F26" s="27" t="s">
        <v>416</v>
      </c>
    </row>
    <row r="27" customFormat="false" ht="15" hidden="false" customHeight="false" outlineLevel="0" collapsed="false">
      <c r="A27" s="32" t="n">
        <v>3.5</v>
      </c>
      <c r="B27" s="25" t="n">
        <v>2.05</v>
      </c>
      <c r="C27" s="25" t="n">
        <v>4.156</v>
      </c>
      <c r="D27" s="25" t="n">
        <v>0.623</v>
      </c>
      <c r="E27" s="27" t="n">
        <v>131</v>
      </c>
      <c r="F27" s="27" t="s">
        <v>416</v>
      </c>
    </row>
    <row r="28" customFormat="false" ht="15" hidden="false" customHeight="false" outlineLevel="0" collapsed="false">
      <c r="A28" s="32" t="n">
        <v>4.5</v>
      </c>
      <c r="B28" s="25" t="n">
        <v>-3.135</v>
      </c>
      <c r="C28" s="25" t="n">
        <v>4.556</v>
      </c>
      <c r="D28" s="25" t="n">
        <v>0.494</v>
      </c>
      <c r="E28" s="27" t="n">
        <v>74</v>
      </c>
      <c r="F28" s="27" t="s">
        <v>416</v>
      </c>
    </row>
    <row r="29" customFormat="false" ht="15" hidden="false" customHeight="false" outlineLevel="0" collapsed="false">
      <c r="A29" s="32" t="n">
        <v>5</v>
      </c>
      <c r="B29" s="25" t="n">
        <v>5.415</v>
      </c>
      <c r="C29" s="25" t="n">
        <v>5.728</v>
      </c>
      <c r="D29" s="25" t="n">
        <v>0.348</v>
      </c>
      <c r="E29" s="27" t="n">
        <v>61</v>
      </c>
      <c r="F29" s="27" t="s">
        <v>416</v>
      </c>
    </row>
    <row r="30" customFormat="false" ht="15" hidden="false" customHeight="false" outlineLevel="0" collapsed="false">
      <c r="A30" s="32" t="n">
        <v>5.5</v>
      </c>
      <c r="B30" s="25" t="n">
        <v>0.431</v>
      </c>
      <c r="C30" s="25" t="n">
        <v>6.059</v>
      </c>
      <c r="D30" s="25" t="n">
        <v>0.944</v>
      </c>
      <c r="E30" s="27" t="n">
        <v>54</v>
      </c>
      <c r="F30" s="27" t="s">
        <v>416</v>
      </c>
    </row>
    <row r="31" customFormat="false" ht="15" hidden="false" customHeight="false" outlineLevel="0" collapsed="false">
      <c r="A31" s="32" t="n">
        <v>6</v>
      </c>
      <c r="B31" s="25" t="n">
        <v>-2.727</v>
      </c>
      <c r="C31" s="25" t="n">
        <v>7.431</v>
      </c>
      <c r="D31" s="25" t="n">
        <v>0.716</v>
      </c>
      <c r="E31" s="27" t="n">
        <v>43</v>
      </c>
      <c r="F31" s="27" t="s">
        <v>416</v>
      </c>
    </row>
    <row r="33" customFormat="false" ht="15" hidden="false" customHeight="false" outlineLevel="0" collapsed="false">
      <c r="A33" s="33" t="s">
        <v>421</v>
      </c>
      <c r="B33" s="33"/>
      <c r="C33" s="33"/>
      <c r="D33" s="33"/>
      <c r="E33" s="33"/>
      <c r="F33" s="33"/>
      <c r="G33" s="33"/>
    </row>
  </sheetData>
  <mergeCells count="2">
    <mergeCell ref="A1:G1"/>
    <mergeCell ref="A33:G33"/>
  </mergeCells>
  <conditionalFormatting sqref="F10:F19">
    <cfRule type="cellIs" priority="2" operator="equal" aboveAverage="0" equalAverage="0" bottom="0" percent="0" rank="0" text="" dxfId="5">
      <formula>"Yes"</formula>
    </cfRule>
  </conditionalFormatting>
  <conditionalFormatting sqref="F23:F31">
    <cfRule type="cellIs" priority="3" operator="equal" aboveAverage="0" equalAverage="0" bottom="0" percent="0" rank="0" text="" dxfId="7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55"/>
    <col collapsed="false" customWidth="true" hidden="false" outlineLevel="0" max="5" min="4" style="0" width="12"/>
  </cols>
  <sheetData>
    <row r="1" customFormat="false" ht="19.7" hidden="false" customHeight="false" outlineLevel="0" collapsed="false">
      <c r="A1" s="1" t="s">
        <v>422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423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424</v>
      </c>
    </row>
    <row r="5" customFormat="false" ht="15" hidden="false" customHeight="false" outlineLevel="0" collapsed="false">
      <c r="A5" s="0" t="s">
        <v>402</v>
      </c>
      <c r="B5" s="34" t="n">
        <v>1.5</v>
      </c>
      <c r="C5" s="35" t="s">
        <v>425</v>
      </c>
    </row>
    <row r="6" customFormat="false" ht="15" hidden="false" customHeight="false" outlineLevel="0" collapsed="false">
      <c r="A6" s="0" t="s">
        <v>426</v>
      </c>
      <c r="B6" s="36" t="n">
        <v>4</v>
      </c>
      <c r="C6" s="35" t="s">
        <v>427</v>
      </c>
    </row>
    <row r="8" customFormat="false" ht="15" hidden="false" customHeight="false" outlineLevel="0" collapsed="false">
      <c r="A8" s="3" t="s">
        <v>428</v>
      </c>
    </row>
    <row r="9" customFormat="false" ht="19.7" hidden="false" customHeight="false" outlineLevel="0" collapsed="false">
      <c r="A9" s="0" t="s">
        <v>429</v>
      </c>
      <c r="B9" s="37" t="n">
        <f aca="false">IFERROR(INDEX(B16:B25,MATCH(B5,A16:A25,0)),"Choose h from list below")</f>
        <v>-11.064</v>
      </c>
    </row>
    <row r="10" customFormat="false" ht="15" hidden="false" customHeight="false" outlineLevel="0" collapsed="false">
      <c r="A10" s="0" t="s">
        <v>404</v>
      </c>
      <c r="B10" s="22" t="n">
        <f aca="false">IFERROR(INDEX(C16:C25,MATCH(B5,A16:A25,0)),"—")</f>
        <v>4.39</v>
      </c>
    </row>
    <row r="11" customFormat="false" ht="15" hidden="false" customHeight="false" outlineLevel="0" collapsed="false">
      <c r="A11" s="0" t="s">
        <v>405</v>
      </c>
      <c r="B11" s="23" t="n">
        <f aca="false">IFERROR(INDEX(D16:D25,MATCH(B5,A16:A25,0)),"—")</f>
        <v>0.0134</v>
      </c>
    </row>
    <row r="12" customFormat="false" ht="15" hidden="false" customHeight="false" outlineLevel="0" collapsed="false">
      <c r="A12" s="0" t="s">
        <v>430</v>
      </c>
      <c r="B12" s="21" t="n">
        <f aca="false">IFERROR(INDEX(E16:E25,MATCH(B5,A16:A25,0)),"—")</f>
        <v>98</v>
      </c>
    </row>
    <row r="13" customFormat="false" ht="15" hidden="false" customHeight="false" outlineLevel="0" collapsed="false">
      <c r="A13" s="38" t="s">
        <v>431</v>
      </c>
      <c r="B13" s="38"/>
      <c r="C13" s="38"/>
    </row>
    <row r="15" customFormat="false" ht="15" hidden="false" customHeight="false" outlineLevel="0" collapsed="false">
      <c r="A15" s="14" t="s">
        <v>413</v>
      </c>
      <c r="B15" s="14" t="s">
        <v>432</v>
      </c>
      <c r="C15" s="14" t="s">
        <v>433</v>
      </c>
      <c r="D15" s="14" t="s">
        <v>405</v>
      </c>
      <c r="E15" s="14" t="s">
        <v>414</v>
      </c>
    </row>
    <row r="16" customFormat="false" ht="15" hidden="false" customHeight="false" outlineLevel="0" collapsed="false">
      <c r="A16" s="24" t="n">
        <v>0.75</v>
      </c>
      <c r="B16" s="25" t="n">
        <v>-10.788</v>
      </c>
      <c r="C16" s="25" t="n">
        <v>5.961</v>
      </c>
      <c r="D16" s="26" t="n">
        <v>0.0782</v>
      </c>
      <c r="E16" s="27" t="n">
        <v>42</v>
      </c>
    </row>
    <row r="17" customFormat="false" ht="15" hidden="false" customHeight="false" outlineLevel="0" collapsed="false">
      <c r="A17" s="24" t="n">
        <v>1</v>
      </c>
      <c r="B17" s="25" t="n">
        <v>-12.592</v>
      </c>
      <c r="C17" s="25" t="n">
        <v>5.586</v>
      </c>
      <c r="D17" s="26" t="n">
        <v>0.0281</v>
      </c>
      <c r="E17" s="27" t="n">
        <v>60</v>
      </c>
    </row>
    <row r="18" customFormat="false" ht="15" hidden="false" customHeight="false" outlineLevel="0" collapsed="false">
      <c r="A18" s="24" t="n">
        <v>1.25</v>
      </c>
      <c r="B18" s="25" t="n">
        <v>-11.267</v>
      </c>
      <c r="C18" s="25" t="n">
        <v>4.832</v>
      </c>
      <c r="D18" s="26" t="n">
        <v>0.0223</v>
      </c>
      <c r="E18" s="27" t="n">
        <v>81</v>
      </c>
    </row>
    <row r="19" customFormat="false" ht="15" hidden="false" customHeight="false" outlineLevel="0" collapsed="false">
      <c r="A19" s="24" t="n">
        <v>1.5</v>
      </c>
      <c r="B19" s="25" t="n">
        <v>-11.064</v>
      </c>
      <c r="C19" s="25" t="n">
        <v>4.39</v>
      </c>
      <c r="D19" s="26" t="n">
        <v>0.0134</v>
      </c>
      <c r="E19" s="27" t="n">
        <v>98</v>
      </c>
    </row>
    <row r="20" customFormat="false" ht="15" hidden="false" customHeight="false" outlineLevel="0" collapsed="false">
      <c r="A20" s="24" t="n">
        <v>1.75</v>
      </c>
      <c r="B20" s="25" t="n">
        <v>-9.137</v>
      </c>
      <c r="C20" s="25" t="n">
        <v>3.748</v>
      </c>
      <c r="D20" s="26" t="n">
        <v>0.0162</v>
      </c>
      <c r="E20" s="27" t="n">
        <v>123</v>
      </c>
    </row>
    <row r="21" customFormat="false" ht="15" hidden="false" customHeight="false" outlineLevel="0" collapsed="false">
      <c r="A21" s="24" t="n">
        <v>2</v>
      </c>
      <c r="B21" s="25" t="n">
        <v>-11.179</v>
      </c>
      <c r="C21" s="25" t="n">
        <v>3.509</v>
      </c>
      <c r="D21" s="26" t="n">
        <v>0.0018</v>
      </c>
      <c r="E21" s="27" t="n">
        <v>145</v>
      </c>
    </row>
    <row r="22" customFormat="false" ht="15" hidden="false" customHeight="false" outlineLevel="0" collapsed="false">
      <c r="A22" s="24" t="n">
        <v>2.25</v>
      </c>
      <c r="B22" s="25" t="n">
        <v>-12.276</v>
      </c>
      <c r="C22" s="25" t="n">
        <v>3.276</v>
      </c>
      <c r="D22" s="26" t="n">
        <v>0.0002</v>
      </c>
      <c r="E22" s="27" t="n">
        <v>172</v>
      </c>
    </row>
    <row r="23" customFormat="false" ht="15" hidden="false" customHeight="false" outlineLevel="0" collapsed="false">
      <c r="A23" s="24" t="n">
        <v>2.5</v>
      </c>
      <c r="B23" s="25" t="n">
        <v>-9.889</v>
      </c>
      <c r="C23" s="25" t="n">
        <v>3.207</v>
      </c>
      <c r="D23" s="26" t="n">
        <v>0.0024</v>
      </c>
      <c r="E23" s="27" t="n">
        <v>190</v>
      </c>
    </row>
    <row r="24" customFormat="false" ht="15" hidden="false" customHeight="false" outlineLevel="0" collapsed="false">
      <c r="A24" s="24" t="n">
        <v>2.75</v>
      </c>
      <c r="B24" s="25" t="n">
        <v>-9.753</v>
      </c>
      <c r="C24" s="25" t="n">
        <v>3.1</v>
      </c>
      <c r="D24" s="26" t="n">
        <v>0.0019</v>
      </c>
      <c r="E24" s="27" t="n">
        <v>220</v>
      </c>
    </row>
    <row r="25" customFormat="false" ht="15" hidden="false" customHeight="false" outlineLevel="0" collapsed="false">
      <c r="A25" s="24" t="n">
        <v>3</v>
      </c>
      <c r="B25" s="25" t="n">
        <v>-9.795</v>
      </c>
      <c r="C25" s="25" t="n">
        <v>3.04</v>
      </c>
      <c r="D25" s="26" t="n">
        <v>0.0015</v>
      </c>
      <c r="E25" s="27" t="n">
        <v>240</v>
      </c>
    </row>
    <row r="28" customFormat="false" ht="15" hidden="false" customHeight="false" outlineLevel="0" collapsed="false">
      <c r="A28" s="3" t="s">
        <v>434</v>
      </c>
    </row>
    <row r="29" customFormat="false" ht="15" hidden="false" customHeight="false" outlineLevel="0" collapsed="false">
      <c r="A29" s="33" t="s">
        <v>435</v>
      </c>
      <c r="B29" s="33"/>
      <c r="C29" s="33"/>
      <c r="D29" s="33"/>
      <c r="E29" s="33"/>
    </row>
    <row r="30" customFormat="false" ht="15" hidden="false" customHeight="false" outlineLevel="0" collapsed="false">
      <c r="A30" s="39" t="s">
        <v>436</v>
      </c>
      <c r="B30" s="39" t="s">
        <v>432</v>
      </c>
      <c r="C30" s="39" t="s">
        <v>433</v>
      </c>
      <c r="D30" s="39" t="s">
        <v>437</v>
      </c>
      <c r="E30" s="39" t="s">
        <v>414</v>
      </c>
    </row>
    <row r="31" customFormat="false" ht="15" hidden="false" customHeight="false" outlineLevel="0" collapsed="false">
      <c r="A31" s="21" t="n">
        <v>1.5</v>
      </c>
      <c r="B31" s="40" t="n">
        <v>-0.318</v>
      </c>
      <c r="C31" s="40" t="n">
        <v>2.627</v>
      </c>
      <c r="D31" s="22" t="n">
        <v>0.904</v>
      </c>
      <c r="E31" s="21" t="n">
        <v>264</v>
      </c>
    </row>
    <row r="32" customFormat="false" ht="15" hidden="false" customHeight="false" outlineLevel="0" collapsed="false">
      <c r="A32" s="21" t="n">
        <v>2</v>
      </c>
      <c r="B32" s="40" t="n">
        <v>0.683</v>
      </c>
      <c r="C32" s="40" t="n">
        <v>2.785</v>
      </c>
      <c r="D32" s="22" t="n">
        <v>0.806</v>
      </c>
      <c r="E32" s="21" t="n">
        <v>224</v>
      </c>
    </row>
    <row r="33" customFormat="false" ht="15" hidden="false" customHeight="false" outlineLevel="0" collapsed="false">
      <c r="A33" s="21" t="n">
        <v>2.5</v>
      </c>
      <c r="B33" s="40" t="n">
        <v>-0.255</v>
      </c>
      <c r="C33" s="40" t="n">
        <v>2.983</v>
      </c>
      <c r="D33" s="22" t="n">
        <v>0.932</v>
      </c>
      <c r="E33" s="21" t="n">
        <v>186</v>
      </c>
    </row>
    <row r="34" customFormat="false" ht="15" hidden="false" customHeight="false" outlineLevel="0" collapsed="false">
      <c r="A34" s="21" t="n">
        <v>3</v>
      </c>
      <c r="B34" s="40" t="n">
        <v>0.198</v>
      </c>
      <c r="C34" s="40" t="n">
        <v>3.094</v>
      </c>
      <c r="D34" s="22" t="n">
        <v>0.949</v>
      </c>
      <c r="E34" s="21" t="n">
        <v>155</v>
      </c>
    </row>
    <row r="35" customFormat="false" ht="15" hidden="false" customHeight="false" outlineLevel="0" collapsed="false">
      <c r="A35" s="21" t="n">
        <v>3.5</v>
      </c>
      <c r="B35" s="40" t="n">
        <v>2.05</v>
      </c>
      <c r="C35" s="40" t="n">
        <v>4.156</v>
      </c>
      <c r="D35" s="22" t="n">
        <v>0.623</v>
      </c>
      <c r="E35" s="21" t="n">
        <v>131</v>
      </c>
    </row>
    <row r="36" customFormat="false" ht="15" hidden="false" customHeight="false" outlineLevel="0" collapsed="false">
      <c r="A36" s="21" t="n">
        <v>4.5</v>
      </c>
      <c r="B36" s="40" t="n">
        <v>-3.135</v>
      </c>
      <c r="C36" s="40" t="n">
        <v>4.556</v>
      </c>
      <c r="D36" s="22" t="n">
        <v>0.494</v>
      </c>
      <c r="E36" s="21" t="n">
        <v>74</v>
      </c>
    </row>
    <row r="37" customFormat="false" ht="15" hidden="false" customHeight="false" outlineLevel="0" collapsed="false">
      <c r="A37" s="21" t="n">
        <v>5</v>
      </c>
      <c r="B37" s="40" t="n">
        <v>5.415</v>
      </c>
      <c r="C37" s="40" t="n">
        <v>5.728</v>
      </c>
      <c r="D37" s="22" t="n">
        <v>0.348</v>
      </c>
      <c r="E37" s="21" t="n">
        <v>61</v>
      </c>
    </row>
    <row r="38" customFormat="false" ht="15" hidden="false" customHeight="false" outlineLevel="0" collapsed="false">
      <c r="A38" s="21" t="n">
        <v>5.5</v>
      </c>
      <c r="B38" s="40" t="n">
        <v>0.431</v>
      </c>
      <c r="C38" s="40" t="n">
        <v>6.059</v>
      </c>
      <c r="D38" s="22" t="n">
        <v>0.944</v>
      </c>
      <c r="E38" s="21" t="n">
        <v>54</v>
      </c>
    </row>
    <row r="39" customFormat="false" ht="15" hidden="false" customHeight="false" outlineLevel="0" collapsed="false">
      <c r="A39" s="21" t="n">
        <v>6</v>
      </c>
      <c r="B39" s="40" t="n">
        <v>-2.727</v>
      </c>
      <c r="C39" s="40" t="n">
        <v>7.431</v>
      </c>
      <c r="D39" s="22" t="n">
        <v>0.716</v>
      </c>
      <c r="E39" s="21" t="n">
        <v>43</v>
      </c>
    </row>
  </sheetData>
  <mergeCells count="4">
    <mergeCell ref="A1:F1"/>
    <mergeCell ref="A2:F2"/>
    <mergeCell ref="A13:C13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4"/>
  </cols>
  <sheetData>
    <row r="1" customFormat="false" ht="19.7" hidden="false" customHeight="false" outlineLevel="0" collapsed="false">
      <c r="A1" s="1" t="s">
        <v>438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439</v>
      </c>
    </row>
    <row r="4" customFormat="false" ht="26.85" hidden="false" customHeight="false" outlineLevel="0" collapsed="false">
      <c r="A4" s="14" t="s">
        <v>440</v>
      </c>
      <c r="B4" s="14" t="s">
        <v>414</v>
      </c>
      <c r="C4" s="14" t="s">
        <v>441</v>
      </c>
      <c r="D4" s="14" t="s">
        <v>442</v>
      </c>
      <c r="E4" s="14" t="s">
        <v>443</v>
      </c>
      <c r="F4" s="14" t="s">
        <v>444</v>
      </c>
    </row>
    <row r="5" customFormat="false" ht="15" hidden="false" customHeight="false" outlineLevel="0" collapsed="false">
      <c r="A5" s="27" t="s">
        <v>37</v>
      </c>
      <c r="B5" s="27" t="n">
        <v>295</v>
      </c>
      <c r="C5" s="25" t="n">
        <v>1.551</v>
      </c>
      <c r="D5" s="25" t="n">
        <v>1.058</v>
      </c>
      <c r="E5" s="25" t="n">
        <v>47.962</v>
      </c>
      <c r="F5" s="25" t="n">
        <v>10.245</v>
      </c>
    </row>
    <row r="6" customFormat="false" ht="15" hidden="false" customHeight="false" outlineLevel="0" collapsed="false">
      <c r="A6" s="27" t="s">
        <v>39</v>
      </c>
      <c r="B6" s="27" t="n">
        <v>66</v>
      </c>
      <c r="C6" s="25" t="n">
        <v>5.67</v>
      </c>
      <c r="D6" s="25" t="n">
        <v>1.407</v>
      </c>
      <c r="E6" s="25" t="n">
        <v>42.2</v>
      </c>
      <c r="F6" s="25" t="n">
        <v>10.596</v>
      </c>
    </row>
    <row r="7" customFormat="false" ht="15" hidden="false" customHeight="false" outlineLevel="0" collapsed="false">
      <c r="A7" s="41" t="s">
        <v>445</v>
      </c>
      <c r="B7" s="41" t="n">
        <v>361</v>
      </c>
      <c r="C7" s="42" t="n">
        <v>2.304</v>
      </c>
      <c r="D7" s="41"/>
      <c r="E7" s="42" t="n">
        <v>46.91</v>
      </c>
      <c r="F7" s="41"/>
    </row>
    <row r="9" customFormat="false" ht="15" hidden="false" customHeight="false" outlineLevel="0" collapsed="false">
      <c r="A9" s="3" t="s">
        <v>446</v>
      </c>
    </row>
    <row r="10" customFormat="false" ht="15" hidden="false" customHeight="false" outlineLevel="0" collapsed="false">
      <c r="A10" s="33" t="s">
        <v>447</v>
      </c>
      <c r="B10" s="33"/>
      <c r="C10" s="33"/>
      <c r="D10" s="33"/>
      <c r="E10" s="33"/>
    </row>
    <row r="11" customFormat="false" ht="15" hidden="false" customHeight="false" outlineLevel="0" collapsed="false">
      <c r="A11" s="39" t="s">
        <v>448</v>
      </c>
      <c r="B11" s="39" t="s">
        <v>449</v>
      </c>
      <c r="C11" s="39" t="s">
        <v>450</v>
      </c>
      <c r="D11" s="39" t="s">
        <v>451</v>
      </c>
    </row>
    <row r="12" customFormat="false" ht="15" hidden="false" customHeight="false" outlineLevel="0" collapsed="false">
      <c r="A12" s="27" t="n">
        <v>0</v>
      </c>
      <c r="B12" s="27" t="n">
        <v>0.5</v>
      </c>
      <c r="C12" s="27" t="n">
        <v>59</v>
      </c>
      <c r="D12" s="27"/>
    </row>
    <row r="13" customFormat="false" ht="15" hidden="false" customHeight="false" outlineLevel="0" collapsed="false">
      <c r="A13" s="27" t="n">
        <v>0.5</v>
      </c>
      <c r="B13" s="27" t="n">
        <v>1</v>
      </c>
      <c r="C13" s="27" t="n">
        <v>50</v>
      </c>
      <c r="D13" s="27"/>
    </row>
    <row r="14" customFormat="false" ht="15" hidden="false" customHeight="false" outlineLevel="0" collapsed="false">
      <c r="A14" s="27" t="n">
        <v>1</v>
      </c>
      <c r="B14" s="27" t="n">
        <v>1.5</v>
      </c>
      <c r="C14" s="27" t="n">
        <v>45</v>
      </c>
      <c r="D14" s="27"/>
    </row>
    <row r="15" customFormat="false" ht="15" hidden="false" customHeight="false" outlineLevel="0" collapsed="false">
      <c r="A15" s="27" t="n">
        <v>1.5</v>
      </c>
      <c r="B15" s="27" t="n">
        <v>2</v>
      </c>
      <c r="C15" s="27" t="n">
        <v>39</v>
      </c>
      <c r="D15" s="27"/>
    </row>
    <row r="16" customFormat="false" ht="15" hidden="false" customHeight="false" outlineLevel="0" collapsed="false">
      <c r="A16" s="27" t="n">
        <v>2</v>
      </c>
      <c r="B16" s="27" t="n">
        <v>2.5</v>
      </c>
      <c r="C16" s="27" t="n">
        <v>39</v>
      </c>
      <c r="D16" s="27"/>
    </row>
    <row r="17" customFormat="false" ht="15" hidden="false" customHeight="false" outlineLevel="0" collapsed="false">
      <c r="A17" s="27" t="n">
        <v>2.5</v>
      </c>
      <c r="B17" s="27" t="n">
        <v>3</v>
      </c>
      <c r="C17" s="27" t="n">
        <v>32</v>
      </c>
      <c r="D17" s="27"/>
    </row>
    <row r="18" customFormat="false" ht="15" hidden="false" customHeight="false" outlineLevel="0" collapsed="false">
      <c r="A18" s="27" t="n">
        <v>3</v>
      </c>
      <c r="B18" s="27" t="n">
        <v>3.5</v>
      </c>
      <c r="C18" s="27" t="n">
        <v>19</v>
      </c>
      <c r="D18" s="27"/>
    </row>
    <row r="19" customFormat="false" ht="15" hidden="false" customHeight="false" outlineLevel="0" collapsed="false">
      <c r="A19" s="43" t="n">
        <v>3.5</v>
      </c>
      <c r="B19" s="43" t="n">
        <v>4</v>
      </c>
      <c r="C19" s="43" t="n">
        <v>12</v>
      </c>
      <c r="D19" s="43" t="s">
        <v>452</v>
      </c>
    </row>
    <row r="20" customFormat="false" ht="15" hidden="false" customHeight="false" outlineLevel="0" collapsed="false">
      <c r="A20" s="43" t="n">
        <v>4</v>
      </c>
      <c r="B20" s="43" t="n">
        <v>4.5</v>
      </c>
      <c r="C20" s="43" t="n">
        <v>14</v>
      </c>
      <c r="D20" s="43" t="s">
        <v>452</v>
      </c>
    </row>
    <row r="21" customFormat="false" ht="15" hidden="false" customHeight="false" outlineLevel="0" collapsed="false">
      <c r="A21" s="27" t="n">
        <v>4.5</v>
      </c>
      <c r="B21" s="27" t="n">
        <v>5</v>
      </c>
      <c r="C21" s="27" t="n">
        <v>15</v>
      </c>
      <c r="D21" s="27"/>
    </row>
    <row r="22" customFormat="false" ht="15" hidden="false" customHeight="false" outlineLevel="0" collapsed="false">
      <c r="A22" s="27" t="n">
        <v>5</v>
      </c>
      <c r="B22" s="27" t="n">
        <v>5.5</v>
      </c>
      <c r="C22" s="27" t="n">
        <v>6</v>
      </c>
      <c r="D22" s="27"/>
    </row>
    <row r="23" customFormat="false" ht="15" hidden="false" customHeight="false" outlineLevel="0" collapsed="false">
      <c r="A23" s="27" t="n">
        <v>5.5</v>
      </c>
      <c r="B23" s="27" t="n">
        <v>6</v>
      </c>
      <c r="C23" s="27" t="n">
        <v>8</v>
      </c>
      <c r="D23" s="27"/>
    </row>
    <row r="24" customFormat="false" ht="15" hidden="false" customHeight="false" outlineLevel="0" collapsed="false">
      <c r="A24" s="27" t="n">
        <v>6</v>
      </c>
      <c r="B24" s="27" t="n">
        <v>6.5</v>
      </c>
      <c r="C24" s="27" t="n">
        <v>6</v>
      </c>
      <c r="D24" s="27"/>
    </row>
    <row r="25" customFormat="false" ht="15" hidden="false" customHeight="false" outlineLevel="0" collapsed="false">
      <c r="A25" s="27" t="n">
        <v>6.5</v>
      </c>
      <c r="B25" s="27" t="n">
        <v>7</v>
      </c>
      <c r="C25" s="27" t="n">
        <v>5</v>
      </c>
      <c r="D25" s="27"/>
    </row>
    <row r="26" customFormat="false" ht="15" hidden="false" customHeight="false" outlineLevel="0" collapsed="false">
      <c r="A26" s="27" t="n">
        <v>7</v>
      </c>
      <c r="B26" s="27" t="n">
        <v>7.5</v>
      </c>
      <c r="C26" s="27" t="n">
        <v>3</v>
      </c>
      <c r="D26" s="27"/>
    </row>
    <row r="27" customFormat="false" ht="15" hidden="false" customHeight="false" outlineLevel="0" collapsed="false">
      <c r="A27" s="27" t="n">
        <v>7.5</v>
      </c>
      <c r="B27" s="27" t="n">
        <v>8</v>
      </c>
      <c r="C27" s="27" t="n">
        <v>4</v>
      </c>
      <c r="D27" s="27"/>
    </row>
    <row r="28" customFormat="false" ht="15" hidden="false" customHeight="false" outlineLevel="0" collapsed="false">
      <c r="A28" s="27" t="n">
        <v>8</v>
      </c>
      <c r="B28" s="27" t="n">
        <v>8.5</v>
      </c>
      <c r="C28" s="27" t="n">
        <v>2</v>
      </c>
      <c r="D28" s="27"/>
    </row>
    <row r="29" customFormat="false" ht="15" hidden="false" customHeight="false" outlineLevel="0" collapsed="false">
      <c r="A29" s="27" t="n">
        <v>8.5</v>
      </c>
      <c r="B29" s="27" t="n">
        <v>9</v>
      </c>
      <c r="C29" s="27" t="n">
        <v>1</v>
      </c>
      <c r="D29" s="27"/>
    </row>
    <row r="30" customFormat="false" ht="15" hidden="false" customHeight="false" outlineLevel="0" collapsed="false">
      <c r="A30" s="27" t="n">
        <v>9</v>
      </c>
      <c r="B30" s="27" t="n">
        <v>9.5</v>
      </c>
      <c r="C30" s="27" t="n">
        <v>1</v>
      </c>
      <c r="D30" s="27"/>
    </row>
    <row r="31" customFormat="false" ht="15" hidden="false" customHeight="false" outlineLevel="0" collapsed="false">
      <c r="A31" s="27" t="n">
        <v>9.5</v>
      </c>
      <c r="B31" s="27" t="n">
        <v>10</v>
      </c>
      <c r="C31" s="27" t="n">
        <v>1</v>
      </c>
      <c r="D31" s="27"/>
    </row>
  </sheetData>
  <mergeCells count="2">
    <mergeCell ref="A1:F1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32"/>
  </cols>
  <sheetData>
    <row r="1" customFormat="false" ht="19.7" hidden="false" customHeight="false" outlineLevel="0" collapsed="false">
      <c r="A1" s="1" t="s">
        <v>453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4" t="s">
        <v>454</v>
      </c>
      <c r="B3" s="4"/>
      <c r="C3" s="4"/>
      <c r="D3" s="4"/>
      <c r="E3" s="4"/>
      <c r="F3" s="4"/>
    </row>
    <row r="4" customFormat="false" ht="15" hidden="false" customHeight="false" outlineLevel="0" collapsed="false">
      <c r="A4" s="4"/>
      <c r="B4" s="4"/>
      <c r="C4" s="4"/>
      <c r="D4" s="4"/>
      <c r="E4" s="4"/>
      <c r="F4" s="4"/>
    </row>
    <row r="6" customFormat="false" ht="15" hidden="false" customHeight="false" outlineLevel="0" collapsed="false">
      <c r="A6" s="3" t="s">
        <v>455</v>
      </c>
    </row>
    <row r="7" customFormat="false" ht="26.85" hidden="false" customHeight="false" outlineLevel="0" collapsed="false">
      <c r="A7" s="14" t="s">
        <v>456</v>
      </c>
      <c r="B7" s="14" t="s">
        <v>457</v>
      </c>
      <c r="C7" s="14" t="s">
        <v>458</v>
      </c>
      <c r="D7" s="14" t="s">
        <v>459</v>
      </c>
      <c r="E7" s="14" t="s">
        <v>6</v>
      </c>
    </row>
    <row r="8" customFormat="false" ht="15" hidden="false" customHeight="false" outlineLevel="0" collapsed="false">
      <c r="A8" s="27" t="n">
        <v>-5</v>
      </c>
      <c r="B8" s="27" t="n">
        <v>5</v>
      </c>
      <c r="C8" s="32" t="n">
        <v>-5.1</v>
      </c>
      <c r="D8" s="32" t="n">
        <v>-0.1</v>
      </c>
      <c r="E8" s="27" t="s">
        <v>460</v>
      </c>
    </row>
    <row r="9" customFormat="false" ht="15" hidden="false" customHeight="false" outlineLevel="0" collapsed="false">
      <c r="A9" s="27" t="n">
        <v>-5</v>
      </c>
      <c r="B9" s="27" t="n">
        <v>10</v>
      </c>
      <c r="C9" s="32" t="n">
        <v>-4.7</v>
      </c>
      <c r="D9" s="32" t="n">
        <v>0.3</v>
      </c>
      <c r="E9" s="27" t="s">
        <v>461</v>
      </c>
    </row>
    <row r="10" customFormat="false" ht="15" hidden="false" customHeight="false" outlineLevel="0" collapsed="false">
      <c r="A10" s="27" t="n">
        <v>-5</v>
      </c>
      <c r="B10" s="27" t="n">
        <v>15</v>
      </c>
      <c r="C10" s="32" t="n">
        <v>-3.9</v>
      </c>
      <c r="D10" s="32" t="n">
        <v>1.1</v>
      </c>
      <c r="E10" s="27" t="s">
        <v>462</v>
      </c>
    </row>
    <row r="11" customFormat="false" ht="15" hidden="false" customHeight="false" outlineLevel="0" collapsed="false">
      <c r="A11" s="27" t="n">
        <v>-10</v>
      </c>
      <c r="B11" s="27" t="n">
        <v>5</v>
      </c>
      <c r="C11" s="32" t="n">
        <v>-10.2</v>
      </c>
      <c r="D11" s="32" t="n">
        <v>-0.2</v>
      </c>
      <c r="E11" s="27" t="s">
        <v>460</v>
      </c>
    </row>
    <row r="12" customFormat="false" ht="15" hidden="false" customHeight="false" outlineLevel="0" collapsed="false">
      <c r="A12" s="27" t="n">
        <v>-10</v>
      </c>
      <c r="B12" s="27" t="n">
        <v>10</v>
      </c>
      <c r="C12" s="32" t="n">
        <v>-9.6</v>
      </c>
      <c r="D12" s="32" t="n">
        <v>0.4</v>
      </c>
      <c r="E12" s="27" t="s">
        <v>461</v>
      </c>
    </row>
    <row r="13" customFormat="false" ht="15" hidden="false" customHeight="false" outlineLevel="0" collapsed="false">
      <c r="A13" s="27" t="n">
        <v>-10</v>
      </c>
      <c r="B13" s="27" t="n">
        <v>15</v>
      </c>
      <c r="C13" s="32" t="n">
        <v>-8.8</v>
      </c>
      <c r="D13" s="32" t="n">
        <v>1.2</v>
      </c>
      <c r="E13" s="27" t="s">
        <v>463</v>
      </c>
    </row>
    <row r="14" customFormat="false" ht="15" hidden="false" customHeight="false" outlineLevel="0" collapsed="false">
      <c r="A14" s="27" t="n">
        <v>-15</v>
      </c>
      <c r="B14" s="27" t="n">
        <v>5</v>
      </c>
      <c r="C14" s="32" t="n">
        <v>-14.9</v>
      </c>
      <c r="D14" s="32" t="n">
        <v>0.1</v>
      </c>
      <c r="E14" s="27" t="s">
        <v>460</v>
      </c>
    </row>
    <row r="15" customFormat="false" ht="15" hidden="false" customHeight="false" outlineLevel="0" collapsed="false">
      <c r="A15" s="27" t="n">
        <v>-15</v>
      </c>
      <c r="B15" s="27" t="n">
        <v>10</v>
      </c>
      <c r="C15" s="32" t="n">
        <v>-14.3</v>
      </c>
      <c r="D15" s="32" t="n">
        <v>0.7</v>
      </c>
      <c r="E15" s="27" t="s">
        <v>461</v>
      </c>
    </row>
    <row r="16" customFormat="false" ht="15" hidden="false" customHeight="false" outlineLevel="0" collapsed="false">
      <c r="A16" s="27" t="n">
        <v>-15</v>
      </c>
      <c r="B16" s="27" t="n">
        <v>15</v>
      </c>
      <c r="C16" s="32" t="n">
        <v>-12.9</v>
      </c>
      <c r="D16" s="32" t="n">
        <v>2.1</v>
      </c>
      <c r="E16" s="27" t="s">
        <v>464</v>
      </c>
    </row>
    <row r="19" customFormat="false" ht="15" hidden="false" customHeight="false" outlineLevel="0" collapsed="false">
      <c r="A19" s="33" t="s">
        <v>465</v>
      </c>
      <c r="B19" s="33"/>
      <c r="C19" s="33"/>
      <c r="D19" s="33"/>
      <c r="E19" s="33"/>
      <c r="F19" s="33"/>
    </row>
    <row r="21" customFormat="false" ht="15" hidden="false" customHeight="false" outlineLevel="0" collapsed="false">
      <c r="A21" s="44" t="s">
        <v>466</v>
      </c>
      <c r="B21" s="44"/>
      <c r="C21" s="44"/>
      <c r="D21" s="44"/>
      <c r="E21" s="44"/>
      <c r="F21" s="44"/>
    </row>
  </sheetData>
  <mergeCells count="4">
    <mergeCell ref="A1:F1"/>
    <mergeCell ref="A3:F4"/>
    <mergeCell ref="A19:F19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2"/>
  </cols>
  <sheetData>
    <row r="1" customFormat="false" ht="19.7" hidden="false" customHeight="false" outlineLevel="0" collapsed="false">
      <c r="A1" s="1" t="s">
        <v>467</v>
      </c>
      <c r="B1" s="1"/>
    </row>
    <row r="3" customFormat="false" ht="15" hidden="false" customHeight="false" outlineLevel="0" collapsed="false">
      <c r="A3" s="3" t="s">
        <v>468</v>
      </c>
    </row>
    <row r="4" customFormat="false" ht="15" hidden="false" customHeight="true" outlineLevel="0" collapsed="false">
      <c r="A4" s="4" t="s">
        <v>469</v>
      </c>
      <c r="B4" s="4"/>
    </row>
    <row r="5" customFormat="false" ht="15" hidden="false" customHeight="false" outlineLevel="0" collapsed="false">
      <c r="A5" s="4"/>
      <c r="B5" s="4"/>
    </row>
    <row r="6" customFormat="false" ht="15" hidden="false" customHeight="false" outlineLevel="0" collapsed="false">
      <c r="A6" s="4"/>
      <c r="B6" s="4"/>
    </row>
    <row r="7" customFormat="false" ht="15" hidden="false" customHeight="false" outlineLevel="0" collapsed="false">
      <c r="A7" s="4"/>
      <c r="B7" s="4"/>
    </row>
    <row r="9" customFormat="false" ht="15" hidden="false" customHeight="false" outlineLevel="0" collapsed="false">
      <c r="A9" s="3" t="s">
        <v>470</v>
      </c>
    </row>
    <row r="10" customFormat="false" ht="15" hidden="false" customHeight="true" outlineLevel="0" collapsed="false">
      <c r="A10" s="10" t="s">
        <v>471</v>
      </c>
      <c r="B10" s="10"/>
    </row>
    <row r="11" customFormat="false" ht="15" hidden="false" customHeight="false" outlineLevel="0" collapsed="false">
      <c r="A11" s="10"/>
      <c r="B11" s="10"/>
    </row>
    <row r="12" customFormat="false" ht="15" hidden="false" customHeight="false" outlineLevel="0" collapsed="false">
      <c r="A12" s="10"/>
      <c r="B12" s="10"/>
    </row>
    <row r="13" customFormat="false" ht="15" hidden="false" customHeight="false" outlineLevel="0" collapsed="false">
      <c r="A13" s="10"/>
      <c r="B13" s="10"/>
    </row>
    <row r="14" customFormat="false" ht="15" hidden="false" customHeight="false" outlineLevel="0" collapsed="false">
      <c r="A14" s="10"/>
      <c r="B14" s="10"/>
    </row>
    <row r="15" customFormat="false" ht="15" hidden="false" customHeight="false" outlineLevel="0" collapsed="false">
      <c r="A15" s="10"/>
      <c r="B15" s="10"/>
    </row>
    <row r="16" customFormat="false" ht="15" hidden="false" customHeight="false" outlineLevel="0" collapsed="false">
      <c r="A16" s="10"/>
      <c r="B16" s="10"/>
    </row>
    <row r="18" customFormat="false" ht="15" hidden="false" customHeight="false" outlineLevel="0" collapsed="false">
      <c r="A18" s="3" t="s">
        <v>472</v>
      </c>
    </row>
    <row r="19" customFormat="false" ht="15" hidden="false" customHeight="true" outlineLevel="0" collapsed="false">
      <c r="A19" s="4" t="s">
        <v>473</v>
      </c>
      <c r="B19" s="4"/>
    </row>
    <row r="20" customFormat="false" ht="15" hidden="false" customHeight="false" outlineLevel="0" collapsed="false">
      <c r="A20" s="4"/>
      <c r="B20" s="4"/>
    </row>
    <row r="21" customFormat="false" ht="15" hidden="false" customHeight="false" outlineLevel="0" collapsed="false">
      <c r="A21" s="4"/>
      <c r="B21" s="4"/>
    </row>
    <row r="22" customFormat="false" ht="15" hidden="false" customHeight="false" outlineLevel="0" collapsed="false">
      <c r="A22" s="4"/>
      <c r="B22" s="4"/>
    </row>
    <row r="23" customFormat="false" ht="15" hidden="false" customHeight="false" outlineLevel="0" collapsed="false">
      <c r="A23" s="4"/>
      <c r="B23" s="4"/>
    </row>
    <row r="25" customFormat="false" ht="15" hidden="false" customHeight="false" outlineLevel="0" collapsed="false">
      <c r="A25" s="3" t="s">
        <v>474</v>
      </c>
    </row>
    <row r="26" customFormat="false" ht="15" hidden="false" customHeight="false" outlineLevel="0" collapsed="false">
      <c r="A26" s="44" t="s">
        <v>475</v>
      </c>
      <c r="B26" s="44"/>
    </row>
  </sheetData>
  <mergeCells count="5">
    <mergeCell ref="A1:B1"/>
    <mergeCell ref="A4:B7"/>
    <mergeCell ref="A10:B16"/>
    <mergeCell ref="A19:B23"/>
    <mergeCell ref="A26:B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2026-07-25T22:31:53Z</dcterms:created>
  <dc:creator>openpyxl</dc:creator>
  <dc:description/>
  <dc:language>en-US</dc:language>
  <cp:lastModifiedBy/>
  <dcterms:modified xsi:type="dcterms:W3CDTF">2026-07-25T22:31:54Z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