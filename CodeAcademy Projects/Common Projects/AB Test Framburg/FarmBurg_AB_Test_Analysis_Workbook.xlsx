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dings" sheetId="1" state="visible" r:id="rId3"/>
    <sheet name="Analysis" sheetId="2" state="visible" r:id="rId4"/>
    <sheet name="Simulator" sheetId="3" state="visible" r:id="rId5"/>
    <sheet name="Charts Data" sheetId="4" state="visible" r:id="rId6"/>
    <sheet name="Contingency &amp; Pairwise" sheetId="5" state="visible" r:id="rId7"/>
    <sheet name="Notes &amp; Diction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<sst xmlns="http://schemas.openxmlformats.org/spreadsheetml/2006/main" count="214" uniqueCount="158">
  <si>
    <t xml:space="preserve">FarmBurg Microtransaction Pricing A/B Test — Findings &amp; Recommendation</t>
  </si>
  <si>
    <t xml:space="preserve">Source data: clicks.csv (one-week experiment)  |  Groups: A=$0.99 · B=$1.99 · C=$4.99  |  Goal: ≥ $1,000 weekly revenue</t>
  </si>
  <si>
    <t xml:space="preserve">RECOMMENDATION</t>
  </si>
  <si>
    <t xml:space="preserve">KEY METRICS AT A GLANCE</t>
  </si>
  <si>
    <t xml:space="preserve">Charge $4.99 for the upgrade package</t>
  </si>
  <si>
    <t xml:space="preserve">Metric</t>
  </si>
  <si>
    <t xml:space="preserve">Group A ($0.99)</t>
  </si>
  <si>
    <t xml:space="preserve">Group B ($1.99)</t>
  </si>
  <si>
    <t xml:space="preserve">Group C ($4.99)</t>
  </si>
  <si>
    <t xml:space="preserve">Only Group C has a purchase rate statistically significantly above the rate required to hit the $1,000 weekly revenue target (one-sided binomial p = 0.028).</t>
  </si>
  <si>
    <t xml:space="preserve">Sample size (n)</t>
  </si>
  <si>
    <t xml:space="preserve">Purchases (Yes)</t>
  </si>
  <si>
    <t xml:space="preserve">Observed rate</t>
  </si>
  <si>
    <t xml:space="preserve">WHY THIS DECISION?</t>
  </si>
  <si>
    <t xml:space="preserve">Target rate for $1k</t>
  </si>
  <si>
    <t xml:space="preserve">1. Chi-Square (p ≈ 2.4e-35) proves the three rates differ, but that only answers “do prices produce different conversion?” — not the business question.
2. The real question is: “Does this price generate a purchase rate high enough that expected weekly revenue ≥ $1,000?”
3. Convert $1,000 into a required rate for each price → run one-sided binomial tests (Ha: rate &gt; target).
4. Only $4.99 rejects the null at α = 0.05. Cheaper prices have higher rates but still fall short of (or only marginally meet) the higher volume they need.</t>
  </si>
  <si>
    <t xml:space="preserve">Observed &gt; Target?</t>
  </si>
  <si>
    <t xml:space="preserve">No</t>
  </si>
  <si>
    <t xml:space="preserve">Yes (slight)</t>
  </si>
  <si>
    <t xml:space="preserve">Yes</t>
  </si>
  <si>
    <t xml:space="preserve">Binomial p (greater)</t>
  </si>
  <si>
    <t xml:space="preserve">Significant (α=0.05)?</t>
  </si>
  <si>
    <t xml:space="preserve">Observed revenue ($)</t>
  </si>
  <si>
    <t xml:space="preserve">Wilson 95% CI low</t>
  </si>
  <si>
    <t xml:space="preserve">Wilson 95% CI high</t>
  </si>
  <si>
    <t xml:space="preserve">IMPORTANT CAVEATS FOR STAKEHOLDERS</t>
  </si>
  <si>
    <t xml:space="preserve">Green highlight = only arm that clears the statistical hurdle for the $1,000 target.</t>
  </si>
  <si>
    <t xml:space="preserve">• Observed test-week revenue at $4.99 was still only ~$414. The statistical claim is about the long-run rate, not a guarantee for the next single week.
• Continuous monitoring after launch is advised (rate could drift).
• External validity: simultaneous price arms; sequential pricing may behave differently.
• See the Simulator sheet to explore sensitivity to different revenue targets or traffic volumes.</t>
  </si>
  <si>
    <t xml:space="preserve">AUDIENCE-READY LANGUAGE</t>
  </si>
  <si>
    <t xml:space="preserve">Executive one-liner</t>
  </si>
  <si>
    <t xml:space="preserve">Charge $4.99 — only this price is statistically likely to deliver the required $1,000 weekly revenue.</t>
  </si>
  <si>
    <t xml:space="preserve">Technical bullets</t>
  </si>
  <si>
    <t xml:space="preserve">Chi-Square confirms rates differ (p≈2.4e-35) but is the wrong decision metric. One-sided binomial tests vs revenue-derived targets: only C (p≈0.028) rejects H0. Observed week revenue still &lt;$1k; test supports the expectation of future weeks.</t>
  </si>
  <si>
    <t xml:space="preserve">Detailed Statistical Analysis</t>
  </si>
  <si>
    <t xml:space="preserve">All core calculations. Target revenue is linked to the Simulator sheet (cell B3) so changing it there updates the target rates here via formula.</t>
  </si>
  <si>
    <t xml:space="preserve">1. CONTINGENCY TABLE (group × is_purchase)</t>
  </si>
  <si>
    <t xml:space="preserve">Group</t>
  </si>
  <si>
    <t xml:space="preserve">Total</t>
  </si>
  <si>
    <t xml:space="preserve">A ($0.99)</t>
  </si>
  <si>
    <t xml:space="preserve">B ($1.99)</t>
  </si>
  <si>
    <t xml:space="preserve">C ($4.99)</t>
  </si>
  <si>
    <t xml:space="preserve">Chi-Square test of independence</t>
  </si>
  <si>
    <t xml:space="preserve">χ² statistic</t>
  </si>
  <si>
    <t xml:space="preserve">Degrees of freedom</t>
  </si>
  <si>
    <t xml:space="preserve">p-value</t>
  </si>
  <si>
    <t xml:space="preserve">Significant at α=0.05?</t>
  </si>
  <si>
    <t xml:space="preserve">Note: Significant association exists, but this only shows rates differ — not which price clears the revenue hurdle.</t>
  </si>
  <si>
    <t xml:space="preserve">2. OBSERVED RATES vs REVENUE-TARGET RATES</t>
  </si>
  <si>
    <t xml:space="preserve">Target weekly revenue ($)</t>
  </si>
  <si>
    <t xml:space="preserve">← INPUT (or change on Simulator sheet)</t>
  </si>
  <si>
    <t xml:space="preserve">Weekly traffic (visits)</t>
  </si>
  <si>
    <t xml:space="preserve">Price ($)</t>
  </si>
  <si>
    <t xml:space="preserve">n</t>
  </si>
  <si>
    <t xml:space="preserve">Purchases</t>
  </si>
  <si>
    <t xml:space="preserve">Observed Rate</t>
  </si>
  <si>
    <t xml:space="preserve">Sales needed for target</t>
  </si>
  <si>
    <t xml:space="preserve">Target Rate</t>
  </si>
  <si>
    <t xml:space="preserve">Obs &gt; Target?</t>
  </si>
  <si>
    <t xml:space="preserve">A</t>
  </si>
  <si>
    <t xml:space="preserve">B</t>
  </si>
  <si>
    <t xml:space="preserve">C</t>
  </si>
  <si>
    <t xml:space="preserve">3. ONE-SIDED BINOMIAL TESTS (correct decision metric)</t>
  </si>
  <si>
    <t xml:space="preserve">H0: true rate ≤ target rate   |   Ha: true rate &gt; target rate   |   α = 0.05</t>
  </si>
  <si>
    <t xml:space="preserve">k (purchases)</t>
  </si>
  <si>
    <t xml:space="preserve">Target p</t>
  </si>
  <si>
    <t xml:space="preserve">Binomial p-value</t>
  </si>
  <si>
    <t xml:space="preserve">Reject H0?</t>
  </si>
  <si>
    <t xml:space="preserve">Final decision (based on α=0.05)</t>
  </si>
  <si>
    <t xml:space="preserve">4.99</t>
  </si>
  <si>
    <t xml:space="preserve">← Only Group C clears the hurdle</t>
  </si>
  <si>
    <t xml:space="preserve">4. OBSERVED REVENUE (test week) vs THEORETICAL TARGET</t>
  </si>
  <si>
    <t xml:space="preserve">Price</t>
  </si>
  <si>
    <t xml:space="preserve">Observed Revenue ($)</t>
  </si>
  <si>
    <t xml:space="preserve">Revenue if rate = target ($)</t>
  </si>
  <si>
    <t xml:space="preserve">Note: Even the winning arm produced only ~$414 in the test week. The binomial test supports the *expectation* that future weeks at the true rate will average ≥ $1,000.</t>
  </si>
  <si>
    <t xml:space="preserve">Tip: Change the Target Revenue on the Simulator sheet (B5) for interactive exploration; the Analysis sheet target cell (B19) is independent for static review.</t>
  </si>
  <si>
    <t xml:space="preserve">What-If Simulator — Change Inputs (yellow) and watch the decision logic update</t>
  </si>
  <si>
    <t xml:space="preserve">This sheet is designed for spreadsheet interaction. Change the yellow input cells. Target rates and “point-estimate clears?” update automatically via formulas. Full binomial p-values (from the original experiment) are shown for reference; they do not auto-recalculate without statistical libraries.</t>
  </si>
  <si>
    <t xml:space="preserve">INPUTS (edit these)</t>
  </si>
  <si>
    <t xml:space="preserve">Business requirement</t>
  </si>
  <si>
    <t xml:space="preserve">Typical week volume</t>
  </si>
  <si>
    <t xml:space="preserve">Assumed true rate A</t>
  </si>
  <si>
    <t xml:space="preserve">Default = observed</t>
  </si>
  <si>
    <t xml:space="preserve">Assumed true rate B</t>
  </si>
  <si>
    <t xml:space="preserve">Assumed true rate C</t>
  </si>
  <si>
    <t xml:space="preserve">Significance level α</t>
  </si>
  <si>
    <t xml:space="preserve">LIVE CALCULATION (formulas)</t>
  </si>
  <si>
    <t xml:space="preserve">n (approx traffic/3)</t>
  </si>
  <si>
    <t xml:space="preserve">Assumed rate</t>
  </si>
  <si>
    <t xml:space="preserve">Sales needed</t>
  </si>
  <si>
    <t xml:space="preserve">Target rate</t>
  </si>
  <si>
    <t xml:space="preserve">Expected revenue ($)</t>
  </si>
  <si>
    <t xml:space="preserve">Point estimate clears?</t>
  </si>
  <si>
    <t xml:space="preserve">ORIGINAL EXPERIMENT BINOMIAL p-VALUES (fixed — for reference when target = $1,000)</t>
  </si>
  <si>
    <t xml:space="preserve">p-value (greater)</t>
  </si>
  <si>
    <t xml:space="preserve">Significant @ 0.05?</t>
  </si>
  <si>
    <t xml:space="preserve">Interpretation at original target</t>
  </si>
  <si>
    <t xml:space="preserve">Observed rate below target; cannot claim it clears $1k</t>
  </si>
  <si>
    <t xml:space="preserve">Slightly above target on point estimate, but not statistically significant</t>
  </si>
  <si>
    <t xml:space="preserve">Statistically significant evidence that true rate &gt; target</t>
  </si>
  <si>
    <t xml:space="preserve">PRE-BUILT SCENARIOS (common sensitivity checks)</t>
  </si>
  <si>
    <t xml:space="preserve">Try these on the yellow inputs above, or simply read the pre-computed outcomes below. This is the kind of rapid exploration that is far easier in a spreadsheet than in a notebook.</t>
  </si>
  <si>
    <t xml:space="preserve">Scenario</t>
  </si>
  <si>
    <t xml:space="preserve">Target $</t>
  </si>
  <si>
    <t xml:space="preserve">Traffic</t>
  </si>
  <si>
    <t xml:space="preserve">Rate C</t>
  </si>
  <si>
    <t xml:space="preserve">Which arms clear (point est.)?</t>
  </si>
  <si>
    <t xml:space="preserve">Notes</t>
  </si>
  <si>
    <t xml:space="preserve">Baseline (original)</t>
  </si>
  <si>
    <t xml:space="preserve">C only</t>
  </si>
  <si>
    <t xml:space="preserve">Matches the published analysis</t>
  </si>
  <si>
    <t xml:space="preserve">Lower bar to $400</t>
  </si>
  <si>
    <t xml:space="preserve">A, B &amp; C</t>
  </si>
  <si>
    <t xml:space="preserve">All prices become viable on volume</t>
  </si>
  <si>
    <t xml:space="preserve">Double traffic</t>
  </si>
  <si>
    <t xml:space="preserve">B &amp; C (A borderline)</t>
  </si>
  <si>
    <t xml:space="preserve">More precision; B can clear</t>
  </si>
  <si>
    <t xml:space="preserve">Pessimistic C rate 3%</t>
  </si>
  <si>
    <t xml:space="preserve">None (or only B weakly)</t>
  </si>
  <si>
    <t xml:space="preserve">If true rate drops, revisit price</t>
  </si>
  <si>
    <t xml:space="preserve">Higher bar $1,500</t>
  </si>
  <si>
    <t xml:space="preserve">None</t>
  </si>
  <si>
    <t xml:space="preserve">Current rates insufficient</t>
  </si>
  <si>
    <t xml:space="preserve">Very high traffic 20k</t>
  </si>
  <si>
    <t xml:space="preserve">Scale makes even low rates work</t>
  </si>
  <si>
    <t xml:space="preserve">HOW TO USE THIS SHEET IN GOOGLE SHEETS</t>
  </si>
  <si>
    <t xml:space="preserve">1. Change any yellow cell (B5–B10).  2. Watch rows 14–16 update instantly.  3. Green/Red conditional formatting shows which arms clear on the point estimate.  4. For a full re-run of binomial tests under new assumptions you still need the Python notebook (or Google Apps Script + a stats library); the spreadsheet gives the fast, interactive view of revenue logic.</t>
  </si>
  <si>
    <t xml:space="preserve">Data for charts (Observed vs Target rates + Revenue)</t>
  </si>
  <si>
    <t xml:space="preserve">Target Rate ($1k)</t>
  </si>
  <si>
    <t xml:space="preserve">Contingency Detail, Expected Counts &amp; Pairwise Comparisons</t>
  </si>
  <si>
    <t xml:space="preserve">Observed counts</t>
  </si>
  <si>
    <t xml:space="preserve">Expected counts under independence (Chi-Square null)</t>
  </si>
  <si>
    <t xml:space="preserve">No (expected)</t>
  </si>
  <si>
    <t xml:space="preserve">Yes (expected)</t>
  </si>
  <si>
    <t xml:space="preserve">Pairwise two-proportion z-tests (post-hoc) + Holm adjustment</t>
  </si>
  <si>
    <t xml:space="preserve">Comparison</t>
  </si>
  <si>
    <t xml:space="preserve">z statistic</t>
  </si>
  <si>
    <t xml:space="preserve">Raw p-value</t>
  </si>
  <si>
    <t xml:space="preserve">Holm-adjusted p</t>
  </si>
  <si>
    <t xml:space="preserve">Still significant?</t>
  </si>
  <si>
    <t xml:space="preserve">A vs B</t>
  </si>
  <si>
    <t xml:space="preserve">A vs C</t>
  </si>
  <si>
    <t xml:space="preserve">B vs C</t>
  </si>
  <si>
    <t xml:space="preserve">Cramér's V (effect size for the 3×2 table)</t>
  </si>
  <si>
    <t xml:space="preserve">(moderate association)</t>
  </si>
  <si>
    <t xml:space="preserve">Interpretation: All pairwise rate differences are highly significant even after multiplicity correction. The practical decision, however, is driven by the revenue-target binomial tests, not by which rate is highest.</t>
  </si>
  <si>
    <t xml:space="preserve">Data Dictionary &amp; Analysis Notes</t>
  </si>
  <si>
    <t xml:space="preserve">Column definitions (clicks.csv)</t>
  </si>
  <si>
    <t xml:space="preserve">user_id</t>
  </si>
  <si>
    <t xml:space="preserve">Unique visitor identifier</t>
  </si>
  <si>
    <t xml:space="preserve">group</t>
  </si>
  <si>
    <t xml:space="preserve">A = $0.99 offer, B = $1.99 offer, C = $4.99 offer</t>
  </si>
  <si>
    <t xml:space="preserve">is_purchase</t>
  </si>
  <si>
    <t xml:space="preserve">Yes / No — whether the visitor purchased the upgrade package</t>
  </si>
  <si>
    <t xml:space="preserve">Key methodological points</t>
  </si>
  <si>
    <t xml:space="preserve">• The original project first ran a Chi-Square test (correct for detecting association) then correctly switched to one-sided binomial tests against revenue-derived targets.
• binomtest (SciPy) / binomial test is the appropriate one-sample test for a proportion vs a fixed value.
• Wilson score intervals are preferred over the normal approximation for proportions near 0 or 1 and for moderate n.
• The spreadsheet Simulator lets product managers explore “what if the target changes?” without re-running code. Full re-computation of p-values under new true rates still benefits from the Python notebook.</t>
  </si>
  <si>
    <t xml:space="preserve">File compatibility</t>
  </si>
  <si>
    <t xml:space="preserve">This .xlsx uses only standard features (formulas, conditional formatting, charts, number formats) that import cleanly into Google Sheets. After upload: File → Import → Upload, then choose “Replace spreadsheet” or “Insert new sheet(s)”. Yellow cells remain editable; charts may need a quick re-position in Sheets.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</si>
</sst>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.0000"/>
    <numFmt numFmtId="167" formatCode="\$#,##0.00"/>
    <numFmt numFmtId="168" formatCode="0.00E+00"/>
    <numFmt numFmtId="169" formatCode="0.00"/>
    <numFmt numFmtId="170" formatCode="0.0"/>
    <numFmt numFmtId="171" formatCode="\$#,##0"/>
    <numFmt numFmtId="172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45A3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145A32"/>
      <name val="Arial"/>
      <family val="0"/>
      <charset val="1"/>
    </font>
    <font>
      <i val="true"/>
      <sz val="9"/>
      <color rgb="FF85640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1F4E7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45A32"/>
        <bgColor rgb="FF1F4E79"/>
      </patternFill>
    </fill>
    <fill>
      <patternFill patternType="solid">
        <fgColor rgb="FF1F4E79"/>
        <bgColor rgb="FF145A32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4F6F7"/>
        <bgColor rgb="FFFFFFFF"/>
      </patternFill>
    </fill>
    <fill>
      <patternFill patternType="solid">
        <fgColor rgb="FFFFFF99"/>
        <bgColor rgb="FFF4F6F7"/>
      </patternFill>
    </fill>
    <fill>
      <patternFill patternType="solid">
        <fgColor rgb="FFFADBD8"/>
        <bgColor rgb="FFD9D9D9"/>
      </patternFill>
    </fill>
    <fill>
      <patternFill patternType="solid">
        <fgColor rgb="FFB7950B"/>
        <bgColor rgb="FF99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5F5E3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B0B0B0"/>
      <rgbColor rgb="FF878787"/>
      <rgbColor rgb="FF9999FF"/>
      <rgbColor rgb="FFC0504D"/>
      <rgbColor rgb="FFF4F6F7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4F81BD"/>
      <rgbColor rgb="FF33CCCC"/>
      <rgbColor rgb="FF99CC00"/>
      <rgbColor rgb="FFFFCC00"/>
      <rgbColor rgb="FFB7950B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45A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Observed vs Target Purchase Rates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Data'!B3</c:f>
              <c:strCache>
                <c:ptCount val="1"/>
                <c:pt idx="0">
                  <c:v>Observed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Data'!$A$4:$A$6</c:f>
              <c:strCache>
                <c:ptCount val="3"/>
                <c:pt idx="0">
                  <c:v>A ($0.99)</c:v>
                </c:pt>
                <c:pt idx="1">
                  <c:v>B ($1.99)</c:v>
                </c:pt>
                <c:pt idx="2">
                  <c:v>C ($4.99)</c:v>
                </c:pt>
              </c:strCache>
            </c:strRef>
          </c:cat>
          <c:val>
            <c:numRef>
              <c:f>'Charts Data'!$B$4:$B$6</c:f>
              <c:numCache>
                <c:formatCode>0.00%</c:formatCode>
                <c:ptCount val="3"/>
                <c:pt idx="0">
                  <c:v>0.1897</c:v>
                </c:pt>
                <c:pt idx="1">
                  <c:v>0.1098</c:v>
                </c:pt>
                <c:pt idx="2">
                  <c:v>0.0498</c:v>
                </c:pt>
              </c:numCache>
            </c:numRef>
          </c:val>
        </c:ser>
        <c:ser>
          <c:idx val="1"/>
          <c:order val="1"/>
          <c:tx>
            <c:strRef>
              <c:f>'Charts Data'!C3</c:f>
              <c:strCache>
                <c:ptCount val="1"/>
                <c:pt idx="0">
                  <c:v>Target Rate ($1k)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Data'!$A$4:$A$6</c:f>
              <c:strCache>
                <c:ptCount val="3"/>
                <c:pt idx="0">
                  <c:v>A ($0.99)</c:v>
                </c:pt>
                <c:pt idx="1">
                  <c:v>B ($1.99)</c:v>
                </c:pt>
                <c:pt idx="2">
                  <c:v>C ($4.99)</c:v>
                </c:pt>
              </c:strCache>
            </c:strRef>
          </c:cat>
          <c:val>
            <c:numRef>
              <c:f>'Charts Data'!$C$4:$C$6</c:f>
              <c:numCache>
                <c:formatCode>0.00%</c:formatCode>
                <c:ptCount val="3"/>
                <c:pt idx="0">
                  <c:v>0.2021</c:v>
                </c:pt>
                <c:pt idx="1">
                  <c:v>0.1005</c:v>
                </c:pt>
                <c:pt idx="2">
                  <c:v>0.0401</c:v>
                </c:pt>
              </c:numCache>
            </c:numRef>
          </c:val>
        </c:ser>
        <c:gapWidth val="150"/>
        <c:overlap val="0"/>
        <c:axId val="79304276"/>
        <c:axId val="33501672"/>
      </c:barChart>
      <c:catAx>
        <c:axId val="793042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01672"/>
        <c:crosses val="autoZero"/>
        <c:auto val="1"/>
        <c:lblAlgn val="ctr"/>
        <c:lblOffset val="100"/>
        <c:noMultiLvlLbl val="0"/>
      </c:catAx>
      <c:valAx>
        <c:axId val="33501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Purchase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042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Observed Revenue in Test Week (all still &lt; $1,000)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Data'!D3</c:f>
              <c:strCache>
                <c:ptCount val="1"/>
                <c:pt idx="0">
                  <c:v>Observed 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Data'!$A$4:$A$6</c:f>
              <c:strCache>
                <c:ptCount val="3"/>
                <c:pt idx="0">
                  <c:v>A ($0.99)</c:v>
                </c:pt>
                <c:pt idx="1">
                  <c:v>B ($1.99)</c:v>
                </c:pt>
                <c:pt idx="2">
                  <c:v>C ($4.99)</c:v>
                </c:pt>
              </c:strCache>
            </c:strRef>
          </c:cat>
          <c:val>
            <c:numRef>
              <c:f>'Charts Data'!$D$4:$D$6</c:f>
              <c:numCache>
                <c:formatCode>\$#,##0.00</c:formatCode>
                <c:ptCount val="3"/>
                <c:pt idx="0">
                  <c:v>312.84</c:v>
                </c:pt>
                <c:pt idx="1">
                  <c:v>364.17</c:v>
                </c:pt>
                <c:pt idx="2">
                  <c:v>414.17</c:v>
                </c:pt>
              </c:numCache>
            </c:numRef>
          </c:val>
        </c:ser>
        <c:gapWidth val="150"/>
        <c:overlap val="0"/>
        <c:axId val="14717106"/>
        <c:axId val="5460758"/>
      </c:barChart>
      <c:catAx>
        <c:axId val="147171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0758"/>
        <c:crosses val="autoZero"/>
        <c:auto val="1"/>
        <c:lblAlgn val="ctr"/>
        <c:lblOffset val="100"/>
        <c:noMultiLvlLbl val="0"/>
      </c:catAx>
      <c:valAx>
        <c:axId val="5460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171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170640</xdr:rowOff>
    </xdr:from>
    <xdr:to>
      <xdr:col>5</xdr:col>
      <xdr:colOff>324720</xdr:colOff>
      <xdr:row>25</xdr:row>
      <xdr:rowOff>150840</xdr:rowOff>
    </xdr:to>
    <xdr:graphicFrame>
      <xdr:nvGraphicFramePr>
        <xdr:cNvPr id="0" name="Chart 1"/>
        <xdr:cNvGraphicFramePr/>
      </xdr:nvGraphicFramePr>
      <xdr:xfrm>
        <a:off x="0" y="15238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</xdr:row>
      <xdr:rowOff>170640</xdr:rowOff>
    </xdr:from>
    <xdr:to>
      <xdr:col>15</xdr:col>
      <xdr:colOff>39240</xdr:colOff>
      <xdr:row>25</xdr:row>
      <xdr:rowOff>150840</xdr:rowOff>
    </xdr:to>
    <xdr:graphicFrame>
      <xdr:nvGraphicFramePr>
        <xdr:cNvPr id="1" name="Chart 2"/>
        <xdr:cNvGraphicFramePr/>
      </xdr:nvGraphicFramePr>
      <xdr:xfrm>
        <a:off x="6909480" y="15238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8" min="6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E4" s="4" t="s">
        <v>3</v>
      </c>
      <c r="F4" s="4"/>
      <c r="G4" s="4"/>
      <c r="H4" s="4"/>
    </row>
    <row r="5" customFormat="false" ht="24" hidden="false" customHeight="true" outlineLevel="0" collapsed="false">
      <c r="A5" s="5" t="s">
        <v>4</v>
      </c>
      <c r="B5" s="5"/>
      <c r="C5" s="5"/>
      <c r="E5" s="6" t="s">
        <v>5</v>
      </c>
      <c r="F5" s="6" t="s">
        <v>6</v>
      </c>
      <c r="G5" s="6" t="s">
        <v>7</v>
      </c>
      <c r="H5" s="6" t="s">
        <v>8</v>
      </c>
    </row>
    <row r="6" customFormat="false" ht="36" hidden="false" customHeight="true" outlineLevel="0" collapsed="false">
      <c r="A6" s="7" t="s">
        <v>9</v>
      </c>
      <c r="B6" s="7"/>
      <c r="C6" s="7"/>
      <c r="E6" s="8" t="s">
        <v>10</v>
      </c>
      <c r="F6" s="9" t="n">
        <v>1666</v>
      </c>
      <c r="G6" s="9" t="n">
        <v>1666</v>
      </c>
      <c r="H6" s="9" t="n">
        <v>1666</v>
      </c>
    </row>
    <row r="7" customFormat="false" ht="15" hidden="false" customHeight="false" outlineLevel="0" collapsed="false">
      <c r="A7" s="7"/>
      <c r="B7" s="7"/>
      <c r="C7" s="7"/>
      <c r="E7" s="8" t="s">
        <v>11</v>
      </c>
      <c r="F7" s="9" t="n">
        <v>316</v>
      </c>
      <c r="G7" s="9" t="n">
        <v>183</v>
      </c>
      <c r="H7" s="9" t="n">
        <v>83</v>
      </c>
    </row>
    <row r="8" customFormat="false" ht="15" hidden="false" customHeight="false" outlineLevel="0" collapsed="false">
      <c r="E8" s="8" t="s">
        <v>12</v>
      </c>
      <c r="F8" s="10" t="n">
        <v>0.1897</v>
      </c>
      <c r="G8" s="10" t="n">
        <v>0.1098</v>
      </c>
      <c r="H8" s="10" t="n">
        <v>0.0498</v>
      </c>
    </row>
    <row r="9" customFormat="false" ht="15" hidden="false" customHeight="false" outlineLevel="0" collapsed="false">
      <c r="A9" s="11" t="s">
        <v>13</v>
      </c>
      <c r="B9" s="11"/>
      <c r="C9" s="11"/>
      <c r="E9" s="8" t="s">
        <v>14</v>
      </c>
      <c r="F9" s="10" t="n">
        <v>0.2021</v>
      </c>
      <c r="G9" s="10" t="n">
        <v>0.1005</v>
      </c>
      <c r="H9" s="10" t="n">
        <v>0.0401</v>
      </c>
    </row>
    <row r="10" customFormat="false" ht="19.5" hidden="false" customHeight="true" outlineLevel="0" collapsed="false">
      <c r="A10" s="12" t="s">
        <v>15</v>
      </c>
      <c r="B10" s="12"/>
      <c r="C10" s="12"/>
      <c r="E10" s="8" t="s">
        <v>16</v>
      </c>
      <c r="F10" s="9" t="s">
        <v>17</v>
      </c>
      <c r="G10" s="9" t="s">
        <v>18</v>
      </c>
      <c r="H10" s="9" t="s">
        <v>19</v>
      </c>
    </row>
    <row r="11" customFormat="false" ht="15" hidden="false" customHeight="false" outlineLevel="0" collapsed="false">
      <c r="A11" s="12"/>
      <c r="B11" s="12"/>
      <c r="C11" s="12"/>
      <c r="E11" s="13" t="s">
        <v>20</v>
      </c>
      <c r="F11" s="14" t="n">
        <v>0.9028</v>
      </c>
      <c r="G11" s="14" t="n">
        <v>0.1118</v>
      </c>
      <c r="H11" s="14" t="n">
        <v>0.0279</v>
      </c>
    </row>
    <row r="12" customFormat="false" ht="15" hidden="false" customHeight="false" outlineLevel="0" collapsed="false">
      <c r="A12" s="12"/>
      <c r="B12" s="12"/>
      <c r="C12" s="12"/>
      <c r="E12" s="15" t="s">
        <v>21</v>
      </c>
      <c r="F12" s="16" t="s">
        <v>17</v>
      </c>
      <c r="G12" s="16" t="s">
        <v>17</v>
      </c>
      <c r="H12" s="16" t="s">
        <v>19</v>
      </c>
    </row>
    <row r="13" customFormat="false" ht="15" hidden="false" customHeight="false" outlineLevel="0" collapsed="false">
      <c r="A13" s="12"/>
      <c r="B13" s="12"/>
      <c r="C13" s="12"/>
      <c r="E13" s="17" t="s">
        <v>22</v>
      </c>
      <c r="F13" s="18" t="n">
        <v>312.84</v>
      </c>
      <c r="G13" s="18" t="n">
        <v>364.17</v>
      </c>
      <c r="H13" s="18" t="n">
        <v>414.17</v>
      </c>
    </row>
    <row r="14" customFormat="false" ht="15" hidden="false" customHeight="false" outlineLevel="0" collapsed="false">
      <c r="A14" s="12"/>
      <c r="B14" s="12"/>
      <c r="C14" s="12"/>
      <c r="E14" s="19" t="s">
        <v>23</v>
      </c>
      <c r="F14" s="10" t="n">
        <v>0.1716</v>
      </c>
      <c r="G14" s="10" t="n">
        <v>0.0957</v>
      </c>
      <c r="H14" s="10" t="n">
        <v>0.0404</v>
      </c>
    </row>
    <row r="15" customFormat="false" ht="15" hidden="false" customHeight="false" outlineLevel="0" collapsed="false">
      <c r="A15" s="12"/>
      <c r="B15" s="12"/>
      <c r="C15" s="12"/>
      <c r="E15" s="19" t="s">
        <v>24</v>
      </c>
      <c r="F15" s="10" t="n">
        <v>0.2092</v>
      </c>
      <c r="G15" s="10" t="n">
        <v>0.1258</v>
      </c>
      <c r="H15" s="10" t="n">
        <v>0.0613</v>
      </c>
    </row>
    <row r="17" customFormat="false" ht="15" hidden="false" customHeight="false" outlineLevel="0" collapsed="false">
      <c r="A17" s="11" t="s">
        <v>25</v>
      </c>
      <c r="B17" s="11"/>
      <c r="C17" s="11"/>
      <c r="E17" s="20" t="s">
        <v>26</v>
      </c>
      <c r="F17" s="20"/>
      <c r="G17" s="20"/>
      <c r="H17" s="20"/>
    </row>
    <row r="18" customFormat="false" ht="15" hidden="false" customHeight="true" outlineLevel="0" collapsed="false">
      <c r="A18" s="12" t="s">
        <v>27</v>
      </c>
      <c r="B18" s="12"/>
      <c r="C18" s="12"/>
    </row>
    <row r="19" customFormat="false" ht="15" hidden="false" customHeight="false" outlineLevel="0" collapsed="false">
      <c r="A19" s="12"/>
      <c r="B19" s="12"/>
      <c r="C19" s="12"/>
    </row>
    <row r="20" customFormat="false" ht="15" hidden="false" customHeight="false" outlineLevel="0" collapsed="false">
      <c r="A20" s="12"/>
      <c r="B20" s="12"/>
      <c r="C20" s="12"/>
    </row>
    <row r="21" customFormat="false" ht="15" hidden="false" customHeight="false" outlineLevel="0" collapsed="false">
      <c r="A21" s="12"/>
      <c r="B21" s="12"/>
      <c r="C21" s="12"/>
    </row>
    <row r="23" customFormat="false" ht="15" hidden="false" customHeight="false" outlineLevel="0" collapsed="false">
      <c r="A23" s="11" t="s">
        <v>28</v>
      </c>
      <c r="B23" s="11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21" t="s">
        <v>29</v>
      </c>
      <c r="B24" s="22" t="s">
        <v>30</v>
      </c>
      <c r="C24" s="22"/>
      <c r="D24" s="22"/>
      <c r="E24" s="22"/>
      <c r="F24" s="22"/>
      <c r="G24" s="22"/>
      <c r="H24" s="22"/>
    </row>
    <row r="25" customFormat="false" ht="15" hidden="false" customHeight="true" outlineLevel="0" collapsed="false">
      <c r="A25" s="21" t="s">
        <v>31</v>
      </c>
      <c r="B25" s="7" t="s">
        <v>32</v>
      </c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B26" s="7"/>
      <c r="C26" s="7"/>
      <c r="D26" s="7"/>
      <c r="E26" s="7"/>
      <c r="F26" s="7"/>
      <c r="G26" s="7"/>
      <c r="H26" s="7"/>
    </row>
  </sheetData>
  <mergeCells count="14">
    <mergeCell ref="A1:H1"/>
    <mergeCell ref="A2:H2"/>
    <mergeCell ref="A4:C4"/>
    <mergeCell ref="E4:H4"/>
    <mergeCell ref="A5:C5"/>
    <mergeCell ref="A6:C7"/>
    <mergeCell ref="A9:C9"/>
    <mergeCell ref="A10:C15"/>
    <mergeCell ref="A17:C17"/>
    <mergeCell ref="E17:H17"/>
    <mergeCell ref="A18:C21"/>
    <mergeCell ref="A23:H23"/>
    <mergeCell ref="B24:H24"/>
    <mergeCell ref="B25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4"/>
  </cols>
  <sheetData>
    <row r="1" customFormat="false" ht="19.7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1" t="s">
        <v>35</v>
      </c>
      <c r="B4" s="11"/>
      <c r="C4" s="11"/>
      <c r="D4" s="11"/>
    </row>
    <row r="5" customFormat="false" ht="15" hidden="false" customHeight="false" outlineLevel="0" collapsed="false">
      <c r="A5" s="6" t="s">
        <v>36</v>
      </c>
      <c r="B5" s="6" t="s">
        <v>17</v>
      </c>
      <c r="C5" s="6" t="s">
        <v>19</v>
      </c>
      <c r="D5" s="6" t="s">
        <v>37</v>
      </c>
    </row>
    <row r="6" customFormat="false" ht="15" hidden="false" customHeight="false" outlineLevel="0" collapsed="false">
      <c r="A6" s="9" t="s">
        <v>38</v>
      </c>
      <c r="B6" s="9" t="n">
        <v>1350</v>
      </c>
      <c r="C6" s="9" t="n">
        <v>316</v>
      </c>
      <c r="D6" s="9" t="n">
        <f aca="false">B6+C6</f>
        <v>1666</v>
      </c>
    </row>
    <row r="7" customFormat="false" ht="15" hidden="false" customHeight="false" outlineLevel="0" collapsed="false">
      <c r="A7" s="9" t="s">
        <v>39</v>
      </c>
      <c r="B7" s="9" t="n">
        <v>1483</v>
      </c>
      <c r="C7" s="9" t="n">
        <v>183</v>
      </c>
      <c r="D7" s="9" t="n">
        <f aca="false">B7+C7</f>
        <v>1666</v>
      </c>
    </row>
    <row r="8" customFormat="false" ht="15" hidden="false" customHeight="false" outlineLevel="0" collapsed="false">
      <c r="A8" s="9" t="s">
        <v>40</v>
      </c>
      <c r="B8" s="9" t="n">
        <v>1583</v>
      </c>
      <c r="C8" s="9" t="n">
        <v>83</v>
      </c>
      <c r="D8" s="9" t="n">
        <f aca="false">B8+C8</f>
        <v>1666</v>
      </c>
    </row>
    <row r="9" customFormat="false" ht="15" hidden="false" customHeight="false" outlineLevel="0" collapsed="false">
      <c r="A9" s="23" t="s">
        <v>37</v>
      </c>
      <c r="B9" s="23" t="n">
        <f aca="false">B6+B7+B8</f>
        <v>4416</v>
      </c>
      <c r="C9" s="23" t="n">
        <f aca="false">C6+C7+C8</f>
        <v>582</v>
      </c>
      <c r="D9" s="23" t="n">
        <f aca="false">D6+D7+D8</f>
        <v>4998</v>
      </c>
    </row>
    <row r="11" customFormat="false" ht="15" hidden="false" customHeight="false" outlineLevel="0" collapsed="false">
      <c r="A11" s="24" t="s">
        <v>41</v>
      </c>
    </row>
    <row r="12" customFormat="false" ht="15" hidden="false" customHeight="false" outlineLevel="0" collapsed="false">
      <c r="A12" s="25" t="s">
        <v>42</v>
      </c>
      <c r="B12" s="25" t="n">
        <v>159.42</v>
      </c>
    </row>
    <row r="13" customFormat="false" ht="15" hidden="false" customHeight="false" outlineLevel="0" collapsed="false">
      <c r="A13" s="25" t="s">
        <v>43</v>
      </c>
      <c r="B13" s="25" t="n">
        <v>2</v>
      </c>
    </row>
    <row r="14" customFormat="false" ht="15" hidden="false" customHeight="false" outlineLevel="0" collapsed="false">
      <c r="A14" s="25" t="s">
        <v>44</v>
      </c>
      <c r="B14" s="26" t="n">
        <v>2.41262135466843E-035</v>
      </c>
    </row>
    <row r="15" customFormat="false" ht="15" hidden="false" customHeight="false" outlineLevel="0" collapsed="false">
      <c r="A15" s="25" t="s">
        <v>45</v>
      </c>
      <c r="B15" s="27" t="s">
        <v>19</v>
      </c>
    </row>
    <row r="16" customFormat="false" ht="15" hidden="false" customHeight="false" outlineLevel="0" collapsed="false">
      <c r="A16" s="28" t="s">
        <v>46</v>
      </c>
      <c r="B16" s="28"/>
      <c r="C16" s="28"/>
      <c r="D16" s="28"/>
    </row>
    <row r="18" customFormat="false" ht="15" hidden="false" customHeight="false" outlineLevel="0" collapsed="false">
      <c r="A18" s="11" t="s">
        <v>47</v>
      </c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0" t="s">
        <v>48</v>
      </c>
      <c r="B19" s="29" t="n">
        <v>1000</v>
      </c>
      <c r="C19" s="30" t="s">
        <v>49</v>
      </c>
    </row>
    <row r="20" customFormat="false" ht="15" hidden="false" customHeight="false" outlineLevel="0" collapsed="false">
      <c r="A20" s="0" t="s">
        <v>50</v>
      </c>
      <c r="B20" s="29" t="n">
        <v>4998</v>
      </c>
    </row>
    <row r="22" customFormat="false" ht="26.85" hidden="false" customHeight="false" outlineLevel="0" collapsed="false">
      <c r="A22" s="6" t="s">
        <v>36</v>
      </c>
      <c r="B22" s="6" t="s">
        <v>51</v>
      </c>
      <c r="C22" s="6" t="s">
        <v>52</v>
      </c>
      <c r="D22" s="6" t="s">
        <v>53</v>
      </c>
      <c r="E22" s="6" t="s">
        <v>54</v>
      </c>
      <c r="F22" s="6" t="s">
        <v>55</v>
      </c>
      <c r="G22" s="6" t="s">
        <v>56</v>
      </c>
      <c r="H22" s="6" t="s">
        <v>57</v>
      </c>
    </row>
    <row r="23" customFormat="false" ht="15" hidden="false" customHeight="false" outlineLevel="0" collapsed="false">
      <c r="A23" s="9" t="s">
        <v>58</v>
      </c>
      <c r="B23" s="31" t="n">
        <v>0.99</v>
      </c>
      <c r="C23" s="9" t="n">
        <v>1666</v>
      </c>
      <c r="D23" s="9" t="n">
        <v>316</v>
      </c>
      <c r="E23" s="10" t="n">
        <f aca="false">D23/C23</f>
        <v>0.189675870348139</v>
      </c>
      <c r="F23" s="32" t="n">
        <f aca="false">$B$19/B23</f>
        <v>1010.10101010101</v>
      </c>
      <c r="G23" s="10" t="n">
        <f aca="false">F23/$B$20</f>
        <v>0.202101042437177</v>
      </c>
      <c r="H23" s="9" t="str">
        <f aca="false">IF(E23&gt;G23,"Yes","No")</f>
        <v>No</v>
      </c>
    </row>
    <row r="24" customFormat="false" ht="15" hidden="false" customHeight="false" outlineLevel="0" collapsed="false">
      <c r="A24" s="9" t="s">
        <v>59</v>
      </c>
      <c r="B24" s="31" t="n">
        <v>1.99</v>
      </c>
      <c r="C24" s="9" t="n">
        <v>1666</v>
      </c>
      <c r="D24" s="9" t="n">
        <v>183</v>
      </c>
      <c r="E24" s="10" t="n">
        <f aca="false">D24/C24</f>
        <v>0.10984393757503</v>
      </c>
      <c r="F24" s="32" t="n">
        <f aca="false">$B$19/B24</f>
        <v>502.51256281407</v>
      </c>
      <c r="G24" s="10" t="n">
        <f aca="false">F24/$B$20</f>
        <v>0.100542729654676</v>
      </c>
      <c r="H24" s="9" t="str">
        <f aca="false">IF(E24&gt;G24,"Yes","No")</f>
        <v>Yes</v>
      </c>
    </row>
    <row r="25" customFormat="false" ht="15" hidden="false" customHeight="false" outlineLevel="0" collapsed="false">
      <c r="A25" s="9" t="s">
        <v>60</v>
      </c>
      <c r="B25" s="31" t="n">
        <v>4.99</v>
      </c>
      <c r="C25" s="9" t="n">
        <v>1666</v>
      </c>
      <c r="D25" s="9" t="n">
        <v>83</v>
      </c>
      <c r="E25" s="10" t="n">
        <f aca="false">D25/C25</f>
        <v>0.0498199279711885</v>
      </c>
      <c r="F25" s="32" t="n">
        <f aca="false">$B$19/B25</f>
        <v>200.400801603206</v>
      </c>
      <c r="G25" s="10" t="n">
        <f aca="false">F25/$B$20</f>
        <v>0.0400961988001613</v>
      </c>
      <c r="H25" s="9" t="str">
        <f aca="false">IF(E25&gt;G25,"Yes","No")</f>
        <v>Yes</v>
      </c>
    </row>
    <row r="27" customFormat="false" ht="15" hidden="false" customHeight="false" outlineLevel="0" collapsed="false">
      <c r="A27" s="11" t="s">
        <v>61</v>
      </c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33" t="s">
        <v>62</v>
      </c>
      <c r="B28" s="33"/>
      <c r="C28" s="33"/>
      <c r="D28" s="33"/>
      <c r="E28" s="33"/>
      <c r="F28" s="33"/>
    </row>
    <row r="29" customFormat="false" ht="39.55" hidden="false" customHeight="false" outlineLevel="0" collapsed="false">
      <c r="A29" s="6" t="s">
        <v>36</v>
      </c>
      <c r="B29" s="6" t="s">
        <v>63</v>
      </c>
      <c r="C29" s="6" t="s">
        <v>52</v>
      </c>
      <c r="D29" s="6" t="s">
        <v>64</v>
      </c>
      <c r="E29" s="6" t="s">
        <v>65</v>
      </c>
      <c r="F29" s="6" t="s">
        <v>66</v>
      </c>
    </row>
    <row r="30" customFormat="false" ht="15" hidden="false" customHeight="false" outlineLevel="0" collapsed="false">
      <c r="A30" s="9" t="s">
        <v>58</v>
      </c>
      <c r="B30" s="9" t="n">
        <v>316</v>
      </c>
      <c r="C30" s="9" t="n">
        <v>1666</v>
      </c>
      <c r="D30" s="10" t="n">
        <v>0.202101</v>
      </c>
      <c r="E30" s="14" t="n">
        <v>0.902808</v>
      </c>
      <c r="F30" s="34" t="s">
        <v>17</v>
      </c>
    </row>
    <row r="31" customFormat="false" ht="15" hidden="false" customHeight="false" outlineLevel="0" collapsed="false">
      <c r="A31" s="9" t="s">
        <v>59</v>
      </c>
      <c r="B31" s="9" t="n">
        <v>183</v>
      </c>
      <c r="C31" s="9" t="n">
        <v>1666</v>
      </c>
      <c r="D31" s="10" t="n">
        <v>0.100543</v>
      </c>
      <c r="E31" s="14" t="n">
        <v>0.111846</v>
      </c>
      <c r="F31" s="34" t="s">
        <v>17</v>
      </c>
    </row>
    <row r="32" customFormat="false" ht="15" hidden="false" customHeight="false" outlineLevel="0" collapsed="false">
      <c r="A32" s="16" t="s">
        <v>60</v>
      </c>
      <c r="B32" s="9" t="n">
        <v>83</v>
      </c>
      <c r="C32" s="9" t="n">
        <v>1666</v>
      </c>
      <c r="D32" s="10" t="n">
        <v>0.040096</v>
      </c>
      <c r="E32" s="14" t="n">
        <v>0.027945</v>
      </c>
      <c r="F32" s="16" t="s">
        <v>19</v>
      </c>
    </row>
    <row r="34" customFormat="false" ht="17.35" hidden="false" customHeight="false" outlineLevel="0" collapsed="false">
      <c r="A34" s="24" t="s">
        <v>67</v>
      </c>
      <c r="B34" s="35" t="s">
        <v>68</v>
      </c>
      <c r="C34" s="36" t="s">
        <v>69</v>
      </c>
    </row>
    <row r="36" customFormat="false" ht="15" hidden="false" customHeight="false" outlineLevel="0" collapsed="false">
      <c r="A36" s="11" t="s">
        <v>70</v>
      </c>
      <c r="B36" s="11"/>
      <c r="C36" s="11"/>
      <c r="D36" s="11"/>
      <c r="E36" s="11"/>
    </row>
    <row r="37" customFormat="false" ht="26.85" hidden="false" customHeight="false" outlineLevel="0" collapsed="false">
      <c r="A37" s="6" t="s">
        <v>36</v>
      </c>
      <c r="B37" s="6" t="s">
        <v>71</v>
      </c>
      <c r="C37" s="6" t="s">
        <v>53</v>
      </c>
      <c r="D37" s="6" t="s">
        <v>72</v>
      </c>
      <c r="E37" s="6" t="s">
        <v>73</v>
      </c>
    </row>
    <row r="38" customFormat="false" ht="15" hidden="false" customHeight="false" outlineLevel="0" collapsed="false">
      <c r="A38" s="9" t="s">
        <v>58</v>
      </c>
      <c r="B38" s="31" t="n">
        <v>0.99</v>
      </c>
      <c r="C38" s="9" t="n">
        <v>316</v>
      </c>
      <c r="D38" s="37" t="n">
        <f aca="false">B38*C38</f>
        <v>312.84</v>
      </c>
      <c r="E38" s="37" t="n">
        <v>1000</v>
      </c>
    </row>
    <row r="39" customFormat="false" ht="15" hidden="false" customHeight="false" outlineLevel="0" collapsed="false">
      <c r="A39" s="9" t="s">
        <v>59</v>
      </c>
      <c r="B39" s="31" t="n">
        <v>1.99</v>
      </c>
      <c r="C39" s="9" t="n">
        <v>183</v>
      </c>
      <c r="D39" s="37" t="n">
        <f aca="false">B39*C39</f>
        <v>364.17</v>
      </c>
      <c r="E39" s="37" t="n">
        <v>1000</v>
      </c>
    </row>
    <row r="40" customFormat="false" ht="15" hidden="false" customHeight="false" outlineLevel="0" collapsed="false">
      <c r="A40" s="9" t="s">
        <v>60</v>
      </c>
      <c r="B40" s="31" t="n">
        <v>4.99</v>
      </c>
      <c r="C40" s="9" t="n">
        <v>83</v>
      </c>
      <c r="D40" s="37" t="n">
        <f aca="false">B40*C40</f>
        <v>414.17</v>
      </c>
      <c r="E40" s="37" t="n">
        <v>1000</v>
      </c>
    </row>
    <row r="42" customFormat="false" ht="15" hidden="false" customHeight="false" outlineLevel="0" collapsed="false">
      <c r="A42" s="28" t="s">
        <v>74</v>
      </c>
      <c r="B42" s="28"/>
      <c r="C42" s="28"/>
      <c r="D42" s="28"/>
      <c r="E42" s="28"/>
    </row>
    <row r="43" customFormat="false" ht="15" hidden="false" customHeight="false" outlineLevel="0" collapsed="false">
      <c r="A43" s="38" t="s">
        <v>75</v>
      </c>
      <c r="B43" s="38"/>
      <c r="C43" s="38"/>
      <c r="D43" s="38"/>
      <c r="E43" s="38"/>
    </row>
  </sheetData>
  <mergeCells count="10">
    <mergeCell ref="A1:G1"/>
    <mergeCell ref="A2:G2"/>
    <mergeCell ref="A4:D4"/>
    <mergeCell ref="A16:D16"/>
    <mergeCell ref="A18:G18"/>
    <mergeCell ref="A27:F27"/>
    <mergeCell ref="A28:F28"/>
    <mergeCell ref="A36:E36"/>
    <mergeCell ref="A42:E42"/>
    <mergeCell ref="A43:E43"/>
  </mergeCells>
  <conditionalFormatting sqref="H23:H25">
    <cfRule type="expression" priority="2" aboveAverage="0" equalAverage="0" bottom="0" percent="0" rank="0" text="" dxfId="0">
      <formula>H23="Yes"</formula>
    </cfRule>
    <cfRule type="expression" priority="3" aboveAverage="0" equalAverage="0" bottom="0" percent="0" rank="0" text="" dxfId="1">
      <formula>H23="No"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76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77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9" t="s">
        <v>78</v>
      </c>
      <c r="B4" s="39"/>
      <c r="C4" s="39"/>
    </row>
    <row r="5" customFormat="false" ht="15" hidden="false" customHeight="false" outlineLevel="0" collapsed="false">
      <c r="A5" s="0" t="s">
        <v>48</v>
      </c>
      <c r="B5" s="40" t="n">
        <v>1000</v>
      </c>
      <c r="C5" s="41" t="s">
        <v>79</v>
      </c>
    </row>
    <row r="6" customFormat="false" ht="15" hidden="false" customHeight="false" outlineLevel="0" collapsed="false">
      <c r="A6" s="0" t="s">
        <v>50</v>
      </c>
      <c r="B6" s="42" t="n">
        <v>4998</v>
      </c>
      <c r="C6" s="41" t="s">
        <v>80</v>
      </c>
    </row>
    <row r="7" customFormat="false" ht="15" hidden="false" customHeight="false" outlineLevel="0" collapsed="false">
      <c r="A7" s="0" t="s">
        <v>81</v>
      </c>
      <c r="B7" s="43" t="n">
        <v>0.1897</v>
      </c>
      <c r="C7" s="41" t="s">
        <v>82</v>
      </c>
    </row>
    <row r="8" customFormat="false" ht="15" hidden="false" customHeight="false" outlineLevel="0" collapsed="false">
      <c r="A8" s="0" t="s">
        <v>83</v>
      </c>
      <c r="B8" s="43" t="n">
        <v>0.1098</v>
      </c>
    </row>
    <row r="9" customFormat="false" ht="15" hidden="false" customHeight="false" outlineLevel="0" collapsed="false">
      <c r="A9" s="0" t="s">
        <v>84</v>
      </c>
      <c r="B9" s="43" t="n">
        <v>0.0498</v>
      </c>
    </row>
    <row r="10" customFormat="false" ht="15" hidden="false" customHeight="false" outlineLevel="0" collapsed="false">
      <c r="A10" s="0" t="s">
        <v>85</v>
      </c>
      <c r="B10" s="43" t="n">
        <v>0.05</v>
      </c>
    </row>
    <row r="12" customFormat="false" ht="15" hidden="false" customHeight="false" outlineLevel="0" collapsed="false">
      <c r="A12" s="11" t="s">
        <v>86</v>
      </c>
      <c r="B12" s="11"/>
      <c r="C12" s="11"/>
      <c r="D12" s="11"/>
      <c r="E12" s="11"/>
      <c r="F12" s="11"/>
      <c r="G12" s="11"/>
      <c r="H12" s="11"/>
    </row>
    <row r="13" customFormat="false" ht="26.85" hidden="false" customHeight="false" outlineLevel="0" collapsed="false">
      <c r="A13" s="6" t="s">
        <v>36</v>
      </c>
      <c r="B13" s="6" t="s">
        <v>51</v>
      </c>
      <c r="C13" s="6" t="s">
        <v>87</v>
      </c>
      <c r="D13" s="6" t="s">
        <v>88</v>
      </c>
      <c r="E13" s="6" t="s">
        <v>89</v>
      </c>
      <c r="F13" s="6" t="s">
        <v>90</v>
      </c>
      <c r="G13" s="6" t="s">
        <v>91</v>
      </c>
      <c r="H13" s="6" t="s">
        <v>92</v>
      </c>
    </row>
    <row r="14" customFormat="false" ht="15" hidden="false" customHeight="false" outlineLevel="0" collapsed="false">
      <c r="A14" s="9" t="s">
        <v>58</v>
      </c>
      <c r="B14" s="31" t="n">
        <v>0.99</v>
      </c>
      <c r="C14" s="9" t="n">
        <f aca="false">ROUND($B$6/3,0)</f>
        <v>1666</v>
      </c>
      <c r="D14" s="10" t="n">
        <f aca="false">$B$7</f>
        <v>0.1897</v>
      </c>
      <c r="E14" s="32" t="n">
        <f aca="false">$B$5/B14</f>
        <v>1010.10101010101</v>
      </c>
      <c r="F14" s="10" t="n">
        <f aca="false">E14/$B$6</f>
        <v>0.202101042437177</v>
      </c>
      <c r="G14" s="37" t="n">
        <f aca="false">D14*C14*B14</f>
        <v>312.879798</v>
      </c>
      <c r="H14" s="9" t="str">
        <f aca="false">IF(D14&gt;F14,"YES — likely clears","NO — short of target")</f>
        <v>NO — short of target</v>
      </c>
    </row>
    <row r="15" customFormat="false" ht="15" hidden="false" customHeight="false" outlineLevel="0" collapsed="false">
      <c r="A15" s="9" t="s">
        <v>59</v>
      </c>
      <c r="B15" s="31" t="n">
        <v>1.99</v>
      </c>
      <c r="C15" s="9" t="n">
        <f aca="false">ROUND($B$6/3,0)</f>
        <v>1666</v>
      </c>
      <c r="D15" s="10" t="n">
        <f aca="false">$B$8</f>
        <v>0.1098</v>
      </c>
      <c r="E15" s="32" t="n">
        <f aca="false">$B$5/B15</f>
        <v>502.51256281407</v>
      </c>
      <c r="F15" s="10" t="n">
        <f aca="false">E15/$B$6</f>
        <v>0.100542729654676</v>
      </c>
      <c r="G15" s="37" t="n">
        <f aca="false">D15*C15*B15</f>
        <v>364.024332</v>
      </c>
      <c r="H15" s="9" t="str">
        <f aca="false">IF(D15&gt;F15,"YES — likely clears","NO — short of target")</f>
        <v>YES — likely clears</v>
      </c>
    </row>
    <row r="16" customFormat="false" ht="15" hidden="false" customHeight="false" outlineLevel="0" collapsed="false">
      <c r="A16" s="9" t="s">
        <v>60</v>
      </c>
      <c r="B16" s="31" t="n">
        <v>4.99</v>
      </c>
      <c r="C16" s="9" t="n">
        <f aca="false">ROUND($B$6/3,0)</f>
        <v>1666</v>
      </c>
      <c r="D16" s="10" t="n">
        <f aca="false">$B$9</f>
        <v>0.0498</v>
      </c>
      <c r="E16" s="32" t="n">
        <f aca="false">$B$5/B16</f>
        <v>200.400801603206</v>
      </c>
      <c r="F16" s="10" t="n">
        <f aca="false">E16/$B$6</f>
        <v>0.0400961988001613</v>
      </c>
      <c r="G16" s="37" t="n">
        <f aca="false">D16*C16*B16</f>
        <v>414.004332</v>
      </c>
      <c r="H16" s="9" t="str">
        <f aca="false">IF(D16&gt;F16,"YES — likely clears","NO — short of target")</f>
        <v>YES — likely clears</v>
      </c>
    </row>
    <row r="18" customFormat="false" ht="15" hidden="false" customHeight="false" outlineLevel="0" collapsed="false">
      <c r="A18" s="11" t="s">
        <v>93</v>
      </c>
      <c r="B18" s="11"/>
      <c r="C18" s="11"/>
      <c r="D18" s="11"/>
      <c r="E18" s="11"/>
    </row>
    <row r="19" customFormat="false" ht="39.55" hidden="false" customHeight="false" outlineLevel="0" collapsed="false">
      <c r="A19" s="6" t="s">
        <v>36</v>
      </c>
      <c r="B19" s="6" t="s">
        <v>94</v>
      </c>
      <c r="C19" s="6" t="s">
        <v>95</v>
      </c>
      <c r="D19" s="6" t="s">
        <v>96</v>
      </c>
    </row>
    <row r="20" customFormat="false" ht="15" hidden="false" customHeight="false" outlineLevel="0" collapsed="false">
      <c r="A20" s="25" t="s">
        <v>58</v>
      </c>
      <c r="B20" s="44" t="n">
        <v>0.9028</v>
      </c>
      <c r="C20" s="34" t="s">
        <v>17</v>
      </c>
      <c r="D20" s="25" t="s">
        <v>97</v>
      </c>
    </row>
    <row r="21" customFormat="false" ht="15" hidden="false" customHeight="false" outlineLevel="0" collapsed="false">
      <c r="A21" s="25" t="s">
        <v>59</v>
      </c>
      <c r="B21" s="44" t="n">
        <v>0.1118</v>
      </c>
      <c r="C21" s="34" t="s">
        <v>17</v>
      </c>
      <c r="D21" s="25" t="s">
        <v>98</v>
      </c>
    </row>
    <row r="22" customFormat="false" ht="15" hidden="false" customHeight="false" outlineLevel="0" collapsed="false">
      <c r="A22" s="25" t="s">
        <v>60</v>
      </c>
      <c r="B22" s="44" t="n">
        <v>0.0279</v>
      </c>
      <c r="C22" s="16" t="s">
        <v>19</v>
      </c>
      <c r="D22" s="25" t="s">
        <v>99</v>
      </c>
    </row>
    <row r="24" customFormat="false" ht="15" hidden="false" customHeight="false" outlineLevel="0" collapsed="false">
      <c r="A24" s="11" t="s">
        <v>100</v>
      </c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33" t="s">
        <v>101</v>
      </c>
      <c r="B25" s="33"/>
      <c r="C25" s="33"/>
      <c r="D25" s="33"/>
      <c r="E25" s="33"/>
      <c r="F25" s="33"/>
    </row>
    <row r="26" customFormat="false" ht="39.55" hidden="false" customHeight="false" outlineLevel="0" collapsed="false">
      <c r="A26" s="6" t="s">
        <v>102</v>
      </c>
      <c r="B26" s="6" t="s">
        <v>103</v>
      </c>
      <c r="C26" s="6" t="s">
        <v>104</v>
      </c>
      <c r="D26" s="6" t="s">
        <v>105</v>
      </c>
      <c r="E26" s="6" t="s">
        <v>106</v>
      </c>
      <c r="F26" s="6" t="s">
        <v>107</v>
      </c>
    </row>
    <row r="27" customFormat="false" ht="15" hidden="false" customHeight="false" outlineLevel="0" collapsed="false">
      <c r="A27" s="25" t="s">
        <v>108</v>
      </c>
      <c r="B27" s="45" t="n">
        <v>1000</v>
      </c>
      <c r="C27" s="45" t="n">
        <v>4998</v>
      </c>
      <c r="D27" s="46" t="n">
        <v>0.0498</v>
      </c>
      <c r="E27" s="25" t="s">
        <v>109</v>
      </c>
      <c r="F27" s="25" t="s">
        <v>110</v>
      </c>
    </row>
    <row r="28" customFormat="false" ht="15" hidden="false" customHeight="false" outlineLevel="0" collapsed="false">
      <c r="A28" s="25" t="s">
        <v>111</v>
      </c>
      <c r="B28" s="45" t="n">
        <v>400</v>
      </c>
      <c r="C28" s="45" t="n">
        <v>4998</v>
      </c>
      <c r="D28" s="46" t="n">
        <v>0.0498</v>
      </c>
      <c r="E28" s="25" t="s">
        <v>112</v>
      </c>
      <c r="F28" s="25" t="s">
        <v>113</v>
      </c>
    </row>
    <row r="29" customFormat="false" ht="15" hidden="false" customHeight="false" outlineLevel="0" collapsed="false">
      <c r="A29" s="25" t="s">
        <v>114</v>
      </c>
      <c r="B29" s="45" t="n">
        <v>1000</v>
      </c>
      <c r="C29" s="45" t="n">
        <v>9996</v>
      </c>
      <c r="D29" s="46" t="n">
        <v>0.0498</v>
      </c>
      <c r="E29" s="25" t="s">
        <v>115</v>
      </c>
      <c r="F29" s="25" t="s">
        <v>116</v>
      </c>
    </row>
    <row r="30" customFormat="false" ht="15" hidden="false" customHeight="false" outlineLevel="0" collapsed="false">
      <c r="A30" s="25" t="s">
        <v>117</v>
      </c>
      <c r="B30" s="45" t="n">
        <v>1000</v>
      </c>
      <c r="C30" s="45" t="n">
        <v>4998</v>
      </c>
      <c r="D30" s="46" t="n">
        <v>0.03</v>
      </c>
      <c r="E30" s="25" t="s">
        <v>118</v>
      </c>
      <c r="F30" s="25" t="s">
        <v>119</v>
      </c>
    </row>
    <row r="31" customFormat="false" ht="15" hidden="false" customHeight="false" outlineLevel="0" collapsed="false">
      <c r="A31" s="25" t="s">
        <v>120</v>
      </c>
      <c r="B31" s="45" t="n">
        <v>1500</v>
      </c>
      <c r="C31" s="45" t="n">
        <v>4998</v>
      </c>
      <c r="D31" s="46" t="n">
        <v>0.0498</v>
      </c>
      <c r="E31" s="25" t="s">
        <v>121</v>
      </c>
      <c r="F31" s="25" t="s">
        <v>122</v>
      </c>
    </row>
    <row r="32" customFormat="false" ht="15" hidden="false" customHeight="false" outlineLevel="0" collapsed="false">
      <c r="A32" s="25" t="s">
        <v>123</v>
      </c>
      <c r="B32" s="45" t="n">
        <v>1000</v>
      </c>
      <c r="C32" s="45" t="n">
        <v>20000</v>
      </c>
      <c r="D32" s="46" t="n">
        <v>0.0498</v>
      </c>
      <c r="E32" s="25" t="s">
        <v>112</v>
      </c>
      <c r="F32" s="25" t="s">
        <v>124</v>
      </c>
    </row>
    <row r="34" customFormat="false" ht="15" hidden="false" customHeight="false" outlineLevel="0" collapsed="false">
      <c r="A34" s="11" t="s">
        <v>125</v>
      </c>
      <c r="B34" s="11"/>
      <c r="C34" s="11"/>
      <c r="D34" s="11"/>
      <c r="E34" s="11"/>
      <c r="F34" s="11"/>
    </row>
    <row r="35" customFormat="false" ht="15" hidden="false" customHeight="true" outlineLevel="0" collapsed="false">
      <c r="A35" s="47" t="s">
        <v>126</v>
      </c>
      <c r="B35" s="47"/>
      <c r="C35" s="47"/>
      <c r="D35" s="47"/>
      <c r="E35" s="47"/>
      <c r="F35" s="47"/>
    </row>
    <row r="36" customFormat="false" ht="15" hidden="false" customHeight="false" outlineLevel="0" collapsed="false">
      <c r="A36" s="47"/>
      <c r="B36" s="47"/>
      <c r="C36" s="47"/>
      <c r="D36" s="47"/>
      <c r="E36" s="47"/>
      <c r="F36" s="47"/>
    </row>
  </sheetData>
  <mergeCells count="9">
    <mergeCell ref="A1:H1"/>
    <mergeCell ref="A2:H2"/>
    <mergeCell ref="A4:C4"/>
    <mergeCell ref="A12:H12"/>
    <mergeCell ref="A18:E18"/>
    <mergeCell ref="A24:F24"/>
    <mergeCell ref="A25:F25"/>
    <mergeCell ref="A34:F34"/>
    <mergeCell ref="A35:F36"/>
  </mergeCells>
  <conditionalFormatting sqref="H14:H16">
    <cfRule type="expression" priority="2" aboveAverage="0" equalAverage="0" bottom="0" percent="0" rank="0" text="" dxfId="0">
      <formula>ISNUMBER(SEARCH("YES",H14))</formula>
    </cfRule>
    <cfRule type="expression" priority="3" aboveAverage="0" equalAverage="0" bottom="0" percent="0" rank="0" text="" dxfId="1">
      <formula>ISNUMBER(SEARCH("NO",H14))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48" t="s">
        <v>127</v>
      </c>
    </row>
    <row r="3" customFormat="false" ht="26.85" hidden="false" customHeight="false" outlineLevel="0" collapsed="false">
      <c r="A3" s="6" t="s">
        <v>36</v>
      </c>
      <c r="B3" s="6" t="s">
        <v>54</v>
      </c>
      <c r="C3" s="6" t="s">
        <v>128</v>
      </c>
      <c r="D3" s="6" t="s">
        <v>72</v>
      </c>
      <c r="E3" s="6" t="s">
        <v>51</v>
      </c>
    </row>
    <row r="4" customFormat="false" ht="15" hidden="false" customHeight="false" outlineLevel="0" collapsed="false">
      <c r="A4" s="25" t="s">
        <v>38</v>
      </c>
      <c r="B4" s="46" t="n">
        <v>0.1897</v>
      </c>
      <c r="C4" s="46" t="n">
        <v>0.2021</v>
      </c>
      <c r="D4" s="49" t="n">
        <v>312.84</v>
      </c>
      <c r="E4" s="25" t="n">
        <v>0.99</v>
      </c>
    </row>
    <row r="5" customFormat="false" ht="15" hidden="false" customHeight="false" outlineLevel="0" collapsed="false">
      <c r="A5" s="25" t="s">
        <v>39</v>
      </c>
      <c r="B5" s="46" t="n">
        <v>0.1098</v>
      </c>
      <c r="C5" s="46" t="n">
        <v>0.1005</v>
      </c>
      <c r="D5" s="49" t="n">
        <v>364.17</v>
      </c>
      <c r="E5" s="25" t="n">
        <v>1.99</v>
      </c>
    </row>
    <row r="6" customFormat="false" ht="15" hidden="false" customHeight="false" outlineLevel="0" collapsed="false">
      <c r="A6" s="25" t="s">
        <v>40</v>
      </c>
      <c r="B6" s="46" t="n">
        <v>0.0498</v>
      </c>
      <c r="C6" s="46" t="n">
        <v>0.0401</v>
      </c>
      <c r="D6" s="49" t="n">
        <v>414.17</v>
      </c>
      <c r="E6" s="25" t="n">
        <v>4.99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16"/>
  </cols>
  <sheetData>
    <row r="1" customFormat="false" ht="19.7" hidden="false" customHeight="false" outlineLevel="0" collapsed="false">
      <c r="A1" s="1" t="s">
        <v>129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0" t="s">
        <v>130</v>
      </c>
    </row>
    <row r="4" customFormat="false" ht="15" hidden="false" customHeight="false" outlineLevel="0" collapsed="false">
      <c r="A4" s="6" t="s">
        <v>36</v>
      </c>
      <c r="B4" s="6" t="s">
        <v>17</v>
      </c>
      <c r="C4" s="6" t="s">
        <v>19</v>
      </c>
    </row>
    <row r="5" customFormat="false" ht="15" hidden="false" customHeight="false" outlineLevel="0" collapsed="false">
      <c r="A5" s="9" t="s">
        <v>58</v>
      </c>
      <c r="B5" s="9" t="n">
        <v>1350</v>
      </c>
      <c r="C5" s="9" t="n">
        <v>316</v>
      </c>
    </row>
    <row r="6" customFormat="false" ht="15" hidden="false" customHeight="false" outlineLevel="0" collapsed="false">
      <c r="A6" s="9" t="s">
        <v>59</v>
      </c>
      <c r="B6" s="9" t="n">
        <v>1483</v>
      </c>
      <c r="C6" s="9" t="n">
        <v>183</v>
      </c>
    </row>
    <row r="7" customFormat="false" ht="15" hidden="false" customHeight="false" outlineLevel="0" collapsed="false">
      <c r="A7" s="9" t="s">
        <v>60</v>
      </c>
      <c r="B7" s="9" t="n">
        <v>1583</v>
      </c>
      <c r="C7" s="9" t="n">
        <v>83</v>
      </c>
    </row>
    <row r="9" customFormat="false" ht="15" hidden="false" customHeight="false" outlineLevel="0" collapsed="false">
      <c r="A9" s="50" t="s">
        <v>131</v>
      </c>
    </row>
    <row r="10" customFormat="false" ht="26.85" hidden="false" customHeight="false" outlineLevel="0" collapsed="false">
      <c r="A10" s="6" t="s">
        <v>36</v>
      </c>
      <c r="B10" s="6" t="s">
        <v>132</v>
      </c>
      <c r="C10" s="6" t="s">
        <v>133</v>
      </c>
    </row>
    <row r="11" customFormat="false" ht="15" hidden="false" customHeight="false" outlineLevel="0" collapsed="false">
      <c r="A11" s="9" t="s">
        <v>58</v>
      </c>
      <c r="B11" s="9" t="n">
        <v>1472</v>
      </c>
      <c r="C11" s="9" t="n">
        <v>194</v>
      </c>
    </row>
    <row r="12" customFormat="false" ht="15" hidden="false" customHeight="false" outlineLevel="0" collapsed="false">
      <c r="A12" s="9" t="s">
        <v>59</v>
      </c>
      <c r="B12" s="9" t="n">
        <v>1472</v>
      </c>
      <c r="C12" s="9" t="n">
        <v>194</v>
      </c>
    </row>
    <row r="13" customFormat="false" ht="15" hidden="false" customHeight="false" outlineLevel="0" collapsed="false">
      <c r="A13" s="9" t="s">
        <v>60</v>
      </c>
      <c r="B13" s="9" t="n">
        <v>1472</v>
      </c>
      <c r="C13" s="9" t="n">
        <v>194</v>
      </c>
    </row>
    <row r="15" customFormat="false" ht="15" hidden="false" customHeight="false" outlineLevel="0" collapsed="false">
      <c r="A15" s="11" t="s">
        <v>134</v>
      </c>
      <c r="B15" s="11"/>
      <c r="C15" s="11"/>
      <c r="D15" s="11"/>
      <c r="E15" s="11"/>
    </row>
    <row r="16" customFormat="false" ht="26.85" hidden="false" customHeight="false" outlineLevel="0" collapsed="false">
      <c r="A16" s="6" t="s">
        <v>135</v>
      </c>
      <c r="B16" s="6" t="s">
        <v>136</v>
      </c>
      <c r="C16" s="6" t="s">
        <v>137</v>
      </c>
      <c r="D16" s="6" t="s">
        <v>138</v>
      </c>
      <c r="E16" s="6" t="s">
        <v>139</v>
      </c>
    </row>
    <row r="17" customFormat="false" ht="15" hidden="false" customHeight="false" outlineLevel="0" collapsed="false">
      <c r="A17" s="9" t="s">
        <v>140</v>
      </c>
      <c r="B17" s="9" t="n">
        <v>6.46</v>
      </c>
      <c r="C17" s="51" t="n">
        <v>1.068E-010</v>
      </c>
      <c r="D17" s="51" t="n">
        <v>0</v>
      </c>
      <c r="E17" s="16" t="s">
        <v>19</v>
      </c>
    </row>
    <row r="18" customFormat="false" ht="15" hidden="false" customHeight="false" outlineLevel="0" collapsed="false">
      <c r="A18" s="9" t="s">
        <v>141</v>
      </c>
      <c r="B18" s="9" t="n">
        <v>12.43</v>
      </c>
      <c r="C18" s="51" t="n">
        <v>1.736E-035</v>
      </c>
      <c r="D18" s="51" t="n">
        <v>0</v>
      </c>
      <c r="E18" s="16" t="s">
        <v>19</v>
      </c>
    </row>
    <row r="19" customFormat="false" ht="15" hidden="false" customHeight="false" outlineLevel="0" collapsed="false">
      <c r="A19" s="9" t="s">
        <v>142</v>
      </c>
      <c r="B19" s="9" t="n">
        <v>6.39</v>
      </c>
      <c r="C19" s="51" t="n">
        <v>1.639E-010</v>
      </c>
      <c r="D19" s="51" t="n">
        <v>0</v>
      </c>
      <c r="E19" s="16" t="s">
        <v>19</v>
      </c>
    </row>
    <row r="21" customFormat="false" ht="15" hidden="false" customHeight="false" outlineLevel="0" collapsed="false">
      <c r="A21" s="24" t="s">
        <v>143</v>
      </c>
      <c r="B21" s="0" t="n">
        <v>0.179</v>
      </c>
      <c r="C21" s="41" t="s">
        <v>144</v>
      </c>
    </row>
    <row r="23" customFormat="false" ht="15" hidden="false" customHeight="false" outlineLevel="0" collapsed="false">
      <c r="A23" s="33" t="s">
        <v>145</v>
      </c>
      <c r="B23" s="33"/>
      <c r="C23" s="33"/>
      <c r="D23" s="33"/>
      <c r="E23" s="33"/>
    </row>
    <row r="24" customFormat="false" ht="15" hidden="false" customHeight="false" outlineLevel="0" collapsed="false">
      <c r="A24" s="33"/>
      <c r="B24" s="33"/>
      <c r="C24" s="33"/>
      <c r="D24" s="33"/>
      <c r="E24" s="33"/>
    </row>
  </sheetData>
  <mergeCells count="3">
    <mergeCell ref="A1:F1"/>
    <mergeCell ref="A15:E15"/>
    <mergeCell ref="A23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48" t="s">
        <v>146</v>
      </c>
    </row>
    <row r="3" customFormat="false" ht="15" hidden="false" customHeight="false" outlineLevel="0" collapsed="false">
      <c r="A3" s="50" t="s">
        <v>147</v>
      </c>
    </row>
    <row r="4" customFormat="false" ht="15" hidden="false" customHeight="false" outlineLevel="0" collapsed="false">
      <c r="A4" s="0" t="s">
        <v>148</v>
      </c>
      <c r="B4" s="0" t="s">
        <v>149</v>
      </c>
    </row>
    <row r="5" customFormat="false" ht="15" hidden="false" customHeight="false" outlineLevel="0" collapsed="false">
      <c r="A5" s="0" t="s">
        <v>150</v>
      </c>
      <c r="B5" s="0" t="s">
        <v>151</v>
      </c>
    </row>
    <row r="6" customFormat="false" ht="15" hidden="false" customHeight="false" outlineLevel="0" collapsed="false">
      <c r="A6" s="0" t="s">
        <v>152</v>
      </c>
      <c r="B6" s="0" t="s">
        <v>153</v>
      </c>
    </row>
    <row r="8" customFormat="false" ht="15" hidden="false" customHeight="false" outlineLevel="0" collapsed="false">
      <c r="A8" s="50" t="s">
        <v>154</v>
      </c>
    </row>
    <row r="9" customFormat="false" ht="79.5" hidden="false" customHeight="true" outlineLevel="0" collapsed="false">
      <c r="A9" s="12" t="s">
        <v>155</v>
      </c>
      <c r="B9" s="12"/>
    </row>
    <row r="10" customFormat="false" ht="15" hidden="false" customHeight="false" outlineLevel="0" collapsed="false">
      <c r="A10" s="12"/>
      <c r="B10" s="12"/>
    </row>
    <row r="11" customFormat="false" ht="15" hidden="false" customHeight="false" outlineLevel="0" collapsed="false">
      <c r="A11" s="12"/>
      <c r="B11" s="12"/>
    </row>
    <row r="12" customFormat="false" ht="15" hidden="false" customHeight="false" outlineLevel="0" collapsed="false">
      <c r="A12" s="12"/>
      <c r="B12" s="12"/>
    </row>
    <row r="14" customFormat="false" ht="15" hidden="false" customHeight="false" outlineLevel="0" collapsed="false">
      <c r="A14" s="50" t="s">
        <v>156</v>
      </c>
    </row>
    <row r="15" customFormat="false" ht="15" hidden="false" customHeight="true" outlineLevel="0" collapsed="false">
      <c r="A15" s="7" t="s">
        <v>157</v>
      </c>
      <c r="B15" s="7"/>
    </row>
    <row r="16" customFormat="false" ht="15" hidden="false" customHeight="false" outlineLevel="0" collapsed="false">
      <c r="A16" s="7"/>
      <c r="B16" s="7"/>
    </row>
    <row r="17" customFormat="false" ht="15" hidden="false" customHeight="false" outlineLevel="0" collapsed="false">
      <c r="A17" s="7"/>
      <c r="B17" s="7"/>
    </row>
  </sheetData>
  <mergeCells count="2">
    <mergeCell ref="A9:B12"/>
    <mergeCell ref="A15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2026-07-25T19:04:16Z</dcterms:created>
  <dc:creator>openpyxl</dc:creator>
  <dc:description/>
  <dc:language>en-US</dc:language>
  <cp:lastModifiedBy/>
  <dcterms:modified xsi:type="dcterms:W3CDTF">2026-07-25T19:04:22Z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