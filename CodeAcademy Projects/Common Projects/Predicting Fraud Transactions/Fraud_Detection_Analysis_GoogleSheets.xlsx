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nteractive Scorer" sheetId="4" state="visible" r:id="rId4"/>
    <sheet xmlns:r="http://schemas.openxmlformats.org/officeDocument/2006/relationships" name="Threshold Simulator" sheetId="5" state="visible" r:id="rId5"/>
    <sheet xmlns:r="http://schemas.openxmlformats.org/officeDocument/2006/relationships" name="Model Insights" sheetId="6" state="visible" r:id="rId6"/>
  </sheets>
  <definedNames>
    <definedName name="_xlnm._FilterDatabase" localSheetId="1" hidden="1">'Transactions'!$A$1:$Q$1001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00"/>
  </numFmts>
  <fonts count="1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  <sz val="12"/>
    </font>
    <font>
      <name val="Arial"/>
      <sz val="10"/>
    </font>
    <font>
      <name val="Arial"/>
      <b val="1"/>
    </font>
    <font>
      <name val="Arial"/>
      <b val="1"/>
      <color rgb="001F4E79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b val="1"/>
      <color rgb="00C00000"/>
      <sz val="22"/>
    </font>
    <font>
      <name val="Arial"/>
      <color rgb="00666666"/>
      <sz val="10"/>
    </font>
    <font>
      <name val="Arial"/>
      <b val="1"/>
      <color rgb="001F4E79"/>
      <sz val="18"/>
    </font>
    <font>
      <name val="Arial"/>
      <b val="1"/>
      <color rgb="00C00000"/>
      <sz val="18"/>
    </font>
    <font>
      <name val="Arial"/>
      <b val="1"/>
      <color rgb="000000FF"/>
      <sz val="11"/>
    </font>
    <font>
      <name val="Arial"/>
      <color rgb="00666666"/>
      <sz val="9"/>
    </font>
    <font>
      <name val="Arial"/>
      <b val="1"/>
      <sz val="11"/>
    </font>
    <font>
      <name val="Arial"/>
      <b val="1"/>
      <color rgb="00C00000"/>
      <sz val="16"/>
    </font>
    <font>
      <name val="Arial"/>
      <b val="1"/>
      <sz val="14"/>
    </font>
    <font>
      <name val="Arial"/>
      <i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0" fontId="9" fillId="0" borderId="0" pivotButton="0" quotePrefix="0" xfId="0"/>
    <xf numFmtId="165" fontId="10" fillId="0" borderId="0" pivotButton="0" quotePrefix="0" xfId="0"/>
    <xf numFmtId="3" fontId="10" fillId="0" borderId="0" pivotButton="0" quotePrefix="0" xfId="0"/>
    <xf numFmtId="164" fontId="11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3" fontId="3" fillId="0" borderId="1" pivotButton="0" quotePrefix="0" xfId="0"/>
    <xf numFmtId="164" fontId="3" fillId="0" borderId="1" pivotButton="0" quotePrefix="0" xfId="0"/>
    <xf numFmtId="0" fontId="0" fillId="5" borderId="0" applyAlignment="1" pivotButton="0" quotePrefix="0" xfId="0">
      <alignment wrapText="1"/>
    </xf>
    <xf numFmtId="4" fontId="12" fillId="6" borderId="1" pivotButton="0" quotePrefix="0" xfId="0"/>
    <xf numFmtId="0" fontId="13" fillId="0" borderId="0" pivotButton="0" quotePrefix="0" xfId="0"/>
    <xf numFmtId="0" fontId="12" fillId="6" borderId="1" pivotButton="0" quotePrefix="0" xfId="0"/>
    <xf numFmtId="166" fontId="14" fillId="0" borderId="0" pivotButton="0" quotePrefix="0" xfId="0"/>
    <xf numFmtId="164" fontId="15" fillId="6" borderId="0" pivotButton="0" quotePrefix="0" xfId="0"/>
    <xf numFmtId="0" fontId="16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0" fontId="17" fillId="0" borderId="0" pivotButton="0" quotePrefix="0" xfId="0"/>
    <xf numFmtId="2" fontId="3" fillId="0" borderId="1" pivotButton="0" quotePrefix="0" xfId="0"/>
    <xf numFmtId="166" fontId="3" fillId="0" borderId="1" pivotButton="0" quotePrefix="0" xfId="0"/>
    <xf numFmtId="0" fontId="18" fillId="0" borderId="1" pivotButton="0" quotePrefix="0" xfId="0"/>
    <xf numFmtId="2" fontId="3" fillId="5" borderId="1" pivotButton="0" quotePrefix="0" xfId="0"/>
    <xf numFmtId="164" fontId="3" fillId="5" borderId="1" pivotButton="0" quotePrefix="0" xfId="0"/>
    <xf numFmtId="166" fontId="3" fillId="5" borderId="1" pivotButton="0" quotePrefix="0" xfId="0"/>
    <xf numFmtId="0" fontId="1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Fraud Count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'Dashboard'!$A$13:$A$17</f>
            </numRef>
          </cat>
          <val>
            <numRef>
              <f>'Dashboard'!$C$13:$C$17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Fraud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FRAUD DETECTION ANALYSIS – Spreadsheet Workbook</t>
        </is>
      </c>
    </row>
    <row r="3">
      <c r="A3" s="2" t="inlineStr">
        <is>
          <t>Purpose</t>
        </is>
      </c>
    </row>
    <row r="4">
      <c r="A4" s="3" t="inlineStr">
        <is>
          <t>This workbook demonstrates the advantages of spreadsheets for fraud detection analysis: instant filtering, formula-driven feature engineering, interactive what-if scoring, conditional formatting, and dashboard summaries — all without writing code.</t>
        </is>
      </c>
    </row>
    <row r="5"/>
    <row r="7">
      <c r="A7" s="2" t="inlineStr">
        <is>
          <t>How to use in Google Sheets</t>
        </is>
      </c>
    </row>
    <row r="8">
      <c r="A8" s="4" t="inlineStr">
        <is>
          <t>1. Upload this .xlsx file to Google Drive → Open with Google Sheets (or File → Import).</t>
        </is>
      </c>
    </row>
    <row r="9">
      <c r="A9" s="4" t="inlineStr">
        <is>
          <t>2. Go to the Transactions sheet and turn on Filters (Data → Create a filter). Click any column header to filter by type, fraud flag, amount range, etc.</t>
        </is>
      </c>
    </row>
    <row r="10">
      <c r="A10" s="4" t="inlineStr">
        <is>
          <t>3. Explore the Dashboard for high-level KPIs and charts. Numbers update automatically if you change data.</t>
        </is>
      </c>
    </row>
    <row r="11">
      <c r="A11" s="4" t="inlineStr">
        <is>
          <t>4. Use the Interactive Scorer sheet: change the blue/yellow input cells to score a new transaction instantly using a logistic-style probability formula.</t>
        </is>
      </c>
    </row>
    <row r="12">
      <c r="A12" s="4" t="inlineStr">
        <is>
          <t>5. Review Threshold Simulator to see the precision/recall trade-off at different decision cut-offs.</t>
        </is>
      </c>
    </row>
    <row r="13">
      <c r="A13" s="4" t="inlineStr">
        <is>
          <t>6. All engineered features (isPayment, isMovement, accountDiff, errorBalanceOrig, isFullDrain) are already calculated and ready for pivot tables or QUERY functions.</t>
        </is>
      </c>
    </row>
    <row r="15">
      <c r="A15" s="2" t="inlineStr">
        <is>
          <t>Spreadsheet advantages highlighted in this workbook</t>
        </is>
      </c>
    </row>
    <row r="16">
      <c r="A16" s="4" t="inlineStr">
        <is>
          <t>• Instant filtering &amp; sorting on 1,000 real transactions (no SQL needed)</t>
        </is>
      </c>
    </row>
    <row r="17">
      <c r="A17" s="4" t="inlineStr">
        <is>
          <t>• Formula-based feature engineering and derived flags (isFullDrain, error balances)</t>
        </is>
      </c>
    </row>
    <row r="18">
      <c r="A18" s="4" t="inlineStr">
        <is>
          <t>• Interactive what-if scorer – change 4 inputs → immediate fraud probability</t>
        </is>
      </c>
    </row>
    <row r="19">
      <c r="A19" s="4" t="inlineStr">
        <is>
          <t>• Conditional formatting: fraud rows highlighted in red automatically</t>
        </is>
      </c>
    </row>
    <row r="20">
      <c r="A20" s="4" t="inlineStr">
        <is>
          <t>• Dashboard KPIs with live COUNTIF / AVERAGEIF formulas</t>
        </is>
      </c>
    </row>
    <row r="21">
      <c r="A21" s="4" t="inlineStr">
        <is>
          <t>• Threshold analysis table for operational decision-making</t>
        </is>
      </c>
    </row>
    <row r="22">
      <c r="A22" s="4" t="inlineStr">
        <is>
          <t>• Fully compatible with Google Sheets (no VBA, no Power Query, standard formulas only)</t>
        </is>
      </c>
    </row>
    <row r="25">
      <c r="A25" s="2" t="inlineStr">
        <is>
          <t>Sheets overview</t>
        </is>
      </c>
    </row>
    <row r="26">
      <c r="A26" s="5" t="inlineStr">
        <is>
          <t>Sheet</t>
        </is>
      </c>
      <c r="B26" s="5" t="inlineStr">
        <is>
          <t>Content</t>
        </is>
      </c>
    </row>
    <row r="27">
      <c r="A27" s="6" t="inlineStr">
        <is>
          <t>Instructions</t>
        </is>
      </c>
      <c r="B27" s="4" t="inlineStr">
        <is>
          <t>This page</t>
        </is>
      </c>
    </row>
    <row r="28">
      <c r="A28" s="6" t="inlineStr">
        <is>
          <t>Transactions</t>
        </is>
      </c>
      <c r="B28" s="4" t="inlineStr">
        <is>
          <t>Full dataset + engineered features. Apply filters freely.</t>
        </is>
      </c>
    </row>
    <row r="29">
      <c r="A29" s="6" t="inlineStr">
        <is>
          <t>Dashboard</t>
        </is>
      </c>
      <c r="B29" s="4" t="inlineStr">
        <is>
          <t>KPIs, fraud-by-type table, charts</t>
        </is>
      </c>
    </row>
    <row r="30">
      <c r="A30" s="6" t="inlineStr">
        <is>
          <t>Interactive Scorer</t>
        </is>
      </c>
      <c r="B30" s="4" t="inlineStr">
        <is>
          <t>What-if tool: enter amount / flags → get fraud probability</t>
        </is>
      </c>
    </row>
    <row r="31">
      <c r="A31" s="6" t="inlineStr">
        <is>
          <t>Threshold Simulator</t>
        </is>
      </c>
      <c r="B31" s="4" t="inlineStr">
        <is>
          <t>Precision / Recall at different cut-offs + recommendation</t>
        </is>
      </c>
    </row>
    <row r="32">
      <c r="A32" s="6" t="inlineStr">
        <is>
          <t>Model Insights</t>
        </is>
      </c>
      <c r="B32" s="4" t="inlineStr">
        <is>
          <t>Coefficients, key findings, operational recommendations</t>
        </is>
      </c>
    </row>
  </sheetData>
  <mergeCells count="8">
    <mergeCell ref="A13:G13"/>
    <mergeCell ref="A1:G1"/>
    <mergeCell ref="A9:G9"/>
    <mergeCell ref="A8:G8"/>
    <mergeCell ref="A12:G12"/>
    <mergeCell ref="A4:G5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1" customWidth="1" min="11" max="11"/>
    <col width="12" customWidth="1" min="12" max="12"/>
    <col width="13" customWidth="1" min="13" max="13"/>
    <col width="15" customWidth="1" min="14" max="14"/>
    <col width="15" customWidth="1" min="15" max="15"/>
    <col width="14" customWidth="1" min="16" max="16"/>
    <col width="12" customWidth="1" min="17" max="17"/>
  </cols>
  <sheetData>
    <row r="1">
      <c r="A1" s="7" t="inlineStr">
        <is>
          <t>step</t>
        </is>
      </c>
      <c r="B1" s="7" t="inlineStr">
        <is>
          <t>type</t>
        </is>
      </c>
      <c r="C1" s="7" t="inlineStr">
        <is>
          <t>amount</t>
        </is>
      </c>
      <c r="D1" s="7" t="inlineStr">
        <is>
          <t>nameOrig</t>
        </is>
      </c>
      <c r="E1" s="7" t="inlineStr">
        <is>
          <t>oldbalanceOrg</t>
        </is>
      </c>
      <c r="F1" s="7" t="inlineStr">
        <is>
          <t>newbalanceOrig</t>
        </is>
      </c>
      <c r="G1" s="7" t="inlineStr">
        <is>
          <t>nameDest</t>
        </is>
      </c>
      <c r="H1" s="7" t="inlineStr">
        <is>
          <t>oldbalanceDest</t>
        </is>
      </c>
      <c r="I1" s="7" t="inlineStr">
        <is>
          <t>newbalanceDest</t>
        </is>
      </c>
      <c r="J1" s="7" t="inlineStr">
        <is>
          <t>isFraud</t>
        </is>
      </c>
      <c r="K1" s="7" t="inlineStr">
        <is>
          <t>isPayment</t>
        </is>
      </c>
      <c r="L1" s="7" t="inlineStr">
        <is>
          <t>isMovement</t>
        </is>
      </c>
      <c r="M1" s="7" t="inlineStr">
        <is>
          <t>accountDiff</t>
        </is>
      </c>
      <c r="N1" s="7" t="inlineStr">
        <is>
          <t>errorBalanceOrig</t>
        </is>
      </c>
      <c r="O1" s="7" t="inlineStr">
        <is>
          <t>errorBalanceDest</t>
        </is>
      </c>
      <c r="P1" s="7" t="inlineStr">
        <is>
          <t>dest_is_customer</t>
        </is>
      </c>
      <c r="Q1" s="7" t="inlineStr">
        <is>
          <t>isFullDrain</t>
        </is>
      </c>
    </row>
    <row r="2">
      <c r="A2" s="8" t="n">
        <v>206</v>
      </c>
      <c r="B2" s="8" t="inlineStr">
        <is>
          <t>CASH_OUT</t>
        </is>
      </c>
      <c r="C2" s="9" t="n">
        <v>62927.08</v>
      </c>
      <c r="D2" s="8" t="inlineStr">
        <is>
          <t>C473782114</t>
        </is>
      </c>
      <c r="E2" s="9" t="n">
        <v>0</v>
      </c>
      <c r="F2" s="9" t="n">
        <v>0</v>
      </c>
      <c r="G2" s="8" t="inlineStr">
        <is>
          <t>C2096898696</t>
        </is>
      </c>
      <c r="H2" s="9" t="n">
        <v>649420.67</v>
      </c>
      <c r="I2" s="9" t="n">
        <v>712347.75</v>
      </c>
      <c r="J2" s="10" t="n">
        <v>0</v>
      </c>
      <c r="K2" s="8" t="n">
        <v>0</v>
      </c>
      <c r="L2" s="8" t="n">
        <v>1</v>
      </c>
      <c r="M2" s="9" t="n">
        <v>649420.67</v>
      </c>
      <c r="N2" s="9" t="n">
        <v>62927.08</v>
      </c>
      <c r="O2" s="9" t="n">
        <v>0</v>
      </c>
      <c r="P2" s="8" t="n">
        <v>1</v>
      </c>
      <c r="Q2" s="8" t="n">
        <v>0</v>
      </c>
    </row>
    <row r="3">
      <c r="A3" s="8" t="n">
        <v>380</v>
      </c>
      <c r="B3" s="8" t="inlineStr">
        <is>
          <t>PAYMENT</t>
        </is>
      </c>
      <c r="C3" s="9" t="n">
        <v>32851.57</v>
      </c>
      <c r="D3" s="8" t="inlineStr">
        <is>
          <t>C1915112886</t>
        </is>
      </c>
      <c r="E3" s="9" t="n">
        <v>0</v>
      </c>
      <c r="F3" s="9" t="n">
        <v>0</v>
      </c>
      <c r="G3" s="8" t="inlineStr">
        <is>
          <t>M916879292</t>
        </is>
      </c>
      <c r="H3" s="9" t="n">
        <v>0</v>
      </c>
      <c r="I3" s="9" t="n">
        <v>0</v>
      </c>
      <c r="J3" s="10" t="n">
        <v>0</v>
      </c>
      <c r="K3" s="8" t="n">
        <v>1</v>
      </c>
      <c r="L3" s="8" t="n">
        <v>0</v>
      </c>
      <c r="M3" s="9" t="n">
        <v>0</v>
      </c>
      <c r="N3" s="9" t="n">
        <v>32851.57</v>
      </c>
      <c r="O3" s="9" t="n">
        <v>32851.57</v>
      </c>
      <c r="P3" s="8" t="n">
        <v>0</v>
      </c>
      <c r="Q3" s="8" t="n">
        <v>0</v>
      </c>
    </row>
    <row r="4">
      <c r="A4" s="8" t="n">
        <v>570</v>
      </c>
      <c r="B4" s="8" t="inlineStr">
        <is>
          <t>CASH_OUT</t>
        </is>
      </c>
      <c r="C4" s="9" t="n">
        <v>1131750.38</v>
      </c>
      <c r="D4" s="8" t="inlineStr">
        <is>
          <t>C1396198422</t>
        </is>
      </c>
      <c r="E4" s="9" t="n">
        <v>1131750.38</v>
      </c>
      <c r="F4" s="9" t="n">
        <v>0</v>
      </c>
      <c r="G4" s="8" t="inlineStr">
        <is>
          <t>C1612235515</t>
        </is>
      </c>
      <c r="H4" s="9" t="n">
        <v>313070.53</v>
      </c>
      <c r="I4" s="9" t="n">
        <v>1444820.92</v>
      </c>
      <c r="J4" s="11" t="n">
        <v>1</v>
      </c>
      <c r="K4" s="8" t="n">
        <v>0</v>
      </c>
      <c r="L4" s="8" t="n">
        <v>1</v>
      </c>
      <c r="M4" s="9" t="n">
        <v>818679.8499999999</v>
      </c>
      <c r="N4" s="9" t="n">
        <v>0</v>
      </c>
      <c r="O4" s="9" t="n">
        <v>-0.01</v>
      </c>
      <c r="P4" s="8" t="n">
        <v>1</v>
      </c>
      <c r="Q4" s="8" t="n">
        <v>1</v>
      </c>
    </row>
    <row r="5">
      <c r="A5" s="8" t="n">
        <v>184</v>
      </c>
      <c r="B5" s="8" t="inlineStr">
        <is>
          <t>CASH_OUT</t>
        </is>
      </c>
      <c r="C5" s="9" t="n">
        <v>60519.74</v>
      </c>
      <c r="D5" s="8" t="inlineStr">
        <is>
          <t>C982551468</t>
        </is>
      </c>
      <c r="E5" s="9" t="n">
        <v>60519.74</v>
      </c>
      <c r="F5" s="9" t="n">
        <v>0</v>
      </c>
      <c r="G5" s="8" t="inlineStr">
        <is>
          <t>C1378644910</t>
        </is>
      </c>
      <c r="H5" s="9" t="n">
        <v>54295.32</v>
      </c>
      <c r="I5" s="9" t="n">
        <v>182654.5</v>
      </c>
      <c r="J5" s="11" t="n">
        <v>1</v>
      </c>
      <c r="K5" s="8" t="n">
        <v>0</v>
      </c>
      <c r="L5" s="8" t="n">
        <v>1</v>
      </c>
      <c r="M5" s="9" t="n">
        <v>6224.419999999998</v>
      </c>
      <c r="N5" s="9" t="n">
        <v>0</v>
      </c>
      <c r="O5" s="9" t="n">
        <v>-67839.44</v>
      </c>
      <c r="P5" s="8" t="n">
        <v>1</v>
      </c>
      <c r="Q5" s="8" t="n">
        <v>1</v>
      </c>
    </row>
    <row r="6">
      <c r="A6" s="8" t="n">
        <v>162</v>
      </c>
      <c r="B6" s="8" t="inlineStr">
        <is>
          <t>CASH_IN</t>
        </is>
      </c>
      <c r="C6" s="9" t="n">
        <v>46716.01</v>
      </c>
      <c r="D6" s="8" t="inlineStr">
        <is>
          <t>C1759889425</t>
        </is>
      </c>
      <c r="E6" s="9" t="n">
        <v>7668050.6</v>
      </c>
      <c r="F6" s="9" t="n">
        <v>7714766.61</v>
      </c>
      <c r="G6" s="8" t="inlineStr">
        <is>
          <t>C2059152908</t>
        </is>
      </c>
      <c r="H6" s="9" t="n">
        <v>2125468.75</v>
      </c>
      <c r="I6" s="9" t="n">
        <v>2078752.75</v>
      </c>
      <c r="J6" s="10" t="n">
        <v>0</v>
      </c>
      <c r="K6" s="8" t="n">
        <v>0</v>
      </c>
      <c r="L6" s="8" t="n">
        <v>0</v>
      </c>
      <c r="M6" s="9" t="n">
        <v>5542581.85</v>
      </c>
      <c r="N6" s="9" t="n">
        <v>93432.02</v>
      </c>
      <c r="O6" s="9" t="n">
        <v>93432.00999999999</v>
      </c>
      <c r="P6" s="8" t="n">
        <v>1</v>
      </c>
      <c r="Q6" s="8" t="n">
        <v>0</v>
      </c>
    </row>
    <row r="7">
      <c r="A7" s="8" t="n">
        <v>350</v>
      </c>
      <c r="B7" s="8" t="inlineStr">
        <is>
          <t>PAYMENT</t>
        </is>
      </c>
      <c r="C7" s="9" t="n">
        <v>16013.85</v>
      </c>
      <c r="D7" s="8" t="inlineStr">
        <is>
          <t>C2093859850</t>
        </is>
      </c>
      <c r="E7" s="9" t="n">
        <v>72766</v>
      </c>
      <c r="F7" s="9" t="n">
        <v>56752.15</v>
      </c>
      <c r="G7" s="8" t="inlineStr">
        <is>
          <t>M1803659246</t>
        </is>
      </c>
      <c r="H7" s="9" t="n">
        <v>0</v>
      </c>
      <c r="I7" s="9" t="n">
        <v>0</v>
      </c>
      <c r="J7" s="10" t="n">
        <v>0</v>
      </c>
      <c r="K7" s="8" t="n">
        <v>1</v>
      </c>
      <c r="L7" s="8" t="n">
        <v>0</v>
      </c>
      <c r="M7" s="9" t="n">
        <v>72766</v>
      </c>
      <c r="N7" s="9" t="n">
        <v>0</v>
      </c>
      <c r="O7" s="9" t="n">
        <v>16013.85</v>
      </c>
      <c r="P7" s="8" t="n">
        <v>0</v>
      </c>
      <c r="Q7" s="8" t="n">
        <v>1</v>
      </c>
    </row>
    <row r="8">
      <c r="A8" s="8" t="n">
        <v>306</v>
      </c>
      <c r="B8" s="8" t="inlineStr">
        <is>
          <t>CASH_OUT</t>
        </is>
      </c>
      <c r="C8" s="9" t="n">
        <v>277310.34</v>
      </c>
      <c r="D8" s="8" t="inlineStr">
        <is>
          <t>C1480259234</t>
        </is>
      </c>
      <c r="E8" s="9" t="n">
        <v>0</v>
      </c>
      <c r="F8" s="9" t="n">
        <v>0</v>
      </c>
      <c r="G8" s="8" t="inlineStr">
        <is>
          <t>C410033330</t>
        </is>
      </c>
      <c r="H8" s="9" t="n">
        <v>13379400.65</v>
      </c>
      <c r="I8" s="9" t="n">
        <v>13656710.99</v>
      </c>
      <c r="J8" s="10" t="n">
        <v>0</v>
      </c>
      <c r="K8" s="8" t="n">
        <v>0</v>
      </c>
      <c r="L8" s="8" t="n">
        <v>1</v>
      </c>
      <c r="M8" s="9" t="n">
        <v>13379400.65</v>
      </c>
      <c r="N8" s="9" t="n">
        <v>277310.34</v>
      </c>
      <c r="O8" s="9" t="n">
        <v>0</v>
      </c>
      <c r="P8" s="8" t="n">
        <v>1</v>
      </c>
      <c r="Q8" s="8" t="n">
        <v>0</v>
      </c>
    </row>
    <row r="9">
      <c r="A9" s="8" t="n">
        <v>332</v>
      </c>
      <c r="B9" s="8" t="inlineStr">
        <is>
          <t>CASH_OUT</t>
        </is>
      </c>
      <c r="C9" s="9" t="n">
        <v>184157.68</v>
      </c>
      <c r="D9" s="8" t="inlineStr">
        <is>
          <t>C399464792</t>
        </is>
      </c>
      <c r="E9" s="9" t="n">
        <v>188588.19</v>
      </c>
      <c r="F9" s="9" t="n">
        <v>4430.51</v>
      </c>
      <c r="G9" s="8" t="inlineStr">
        <is>
          <t>C295235726</t>
        </is>
      </c>
      <c r="H9" s="9" t="n">
        <v>358753.74</v>
      </c>
      <c r="I9" s="9" t="n">
        <v>542911.42</v>
      </c>
      <c r="J9" s="10" t="n">
        <v>0</v>
      </c>
      <c r="K9" s="8" t="n">
        <v>0</v>
      </c>
      <c r="L9" s="8" t="n">
        <v>1</v>
      </c>
      <c r="M9" s="9" t="n">
        <v>170165.55</v>
      </c>
      <c r="N9" s="9" t="n">
        <v>0</v>
      </c>
      <c r="O9" s="9" t="n">
        <v>-0</v>
      </c>
      <c r="P9" s="8" t="n">
        <v>1</v>
      </c>
      <c r="Q9" s="8" t="n">
        <v>1</v>
      </c>
    </row>
    <row r="10">
      <c r="A10" s="8" t="n">
        <v>330</v>
      </c>
      <c r="B10" s="8" t="inlineStr">
        <is>
          <t>CASH_IN</t>
        </is>
      </c>
      <c r="C10" s="9" t="n">
        <v>136804.02</v>
      </c>
      <c r="D10" s="8" t="inlineStr">
        <is>
          <t>C304503510</t>
        </is>
      </c>
      <c r="E10" s="9" t="n">
        <v>20781</v>
      </c>
      <c r="F10" s="9" t="n">
        <v>157585.02</v>
      </c>
      <c r="G10" s="8" t="inlineStr">
        <is>
          <t>C1682763714</t>
        </is>
      </c>
      <c r="H10" s="9" t="n">
        <v>707549.54</v>
      </c>
      <c r="I10" s="9" t="n">
        <v>570745.52</v>
      </c>
      <c r="J10" s="10" t="n">
        <v>0</v>
      </c>
      <c r="K10" s="8" t="n">
        <v>0</v>
      </c>
      <c r="L10" s="8" t="n">
        <v>0</v>
      </c>
      <c r="M10" s="9" t="n">
        <v>686768.54</v>
      </c>
      <c r="N10" s="9" t="n">
        <v>273608.04</v>
      </c>
      <c r="O10" s="9" t="n">
        <v>273608.04</v>
      </c>
      <c r="P10" s="8" t="n">
        <v>1</v>
      </c>
      <c r="Q10" s="8" t="n">
        <v>0</v>
      </c>
    </row>
    <row r="11">
      <c r="A11" s="8" t="n">
        <v>259</v>
      </c>
      <c r="B11" s="8" t="inlineStr">
        <is>
          <t>CASH_IN</t>
        </is>
      </c>
      <c r="C11" s="9" t="n">
        <v>60609.99</v>
      </c>
      <c r="D11" s="8" t="inlineStr">
        <is>
          <t>C2089244493</t>
        </is>
      </c>
      <c r="E11" s="9" t="n">
        <v>2907876.74</v>
      </c>
      <c r="F11" s="9" t="n">
        <v>2968486.73</v>
      </c>
      <c r="G11" s="8" t="inlineStr">
        <is>
          <t>C277506714</t>
        </is>
      </c>
      <c r="H11" s="9" t="n">
        <v>823473</v>
      </c>
      <c r="I11" s="9" t="n">
        <v>762863.01</v>
      </c>
      <c r="J11" s="10" t="n">
        <v>0</v>
      </c>
      <c r="K11" s="8" t="n">
        <v>0</v>
      </c>
      <c r="L11" s="8" t="n">
        <v>0</v>
      </c>
      <c r="M11" s="9" t="n">
        <v>2084403.74</v>
      </c>
      <c r="N11" s="9" t="n">
        <v>121219.98</v>
      </c>
      <c r="O11" s="9" t="n">
        <v>121219.98</v>
      </c>
      <c r="P11" s="8" t="n">
        <v>1</v>
      </c>
      <c r="Q11" s="8" t="n">
        <v>0</v>
      </c>
    </row>
    <row r="12">
      <c r="A12" s="8" t="n">
        <v>401</v>
      </c>
      <c r="B12" s="8" t="inlineStr">
        <is>
          <t>CASH_OUT</t>
        </is>
      </c>
      <c r="C12" s="9" t="n">
        <v>151635.96</v>
      </c>
      <c r="D12" s="8" t="inlineStr">
        <is>
          <t>C1084030527</t>
        </is>
      </c>
      <c r="E12" s="9" t="n">
        <v>0</v>
      </c>
      <c r="F12" s="9" t="n">
        <v>0</v>
      </c>
      <c r="G12" s="8" t="inlineStr">
        <is>
          <t>C136327999</t>
        </is>
      </c>
      <c r="H12" s="9" t="n">
        <v>2405684.29</v>
      </c>
      <c r="I12" s="9" t="n">
        <v>2557320.26</v>
      </c>
      <c r="J12" s="10" t="n">
        <v>0</v>
      </c>
      <c r="K12" s="8" t="n">
        <v>0</v>
      </c>
      <c r="L12" s="8" t="n">
        <v>1</v>
      </c>
      <c r="M12" s="9" t="n">
        <v>2405684.29</v>
      </c>
      <c r="N12" s="9" t="n">
        <v>151635.96</v>
      </c>
      <c r="O12" s="9" t="n">
        <v>-0.01</v>
      </c>
      <c r="P12" s="8" t="n">
        <v>1</v>
      </c>
      <c r="Q12" s="8" t="n">
        <v>0</v>
      </c>
    </row>
    <row r="13">
      <c r="A13" s="8" t="n">
        <v>520</v>
      </c>
      <c r="B13" s="8" t="inlineStr">
        <is>
          <t>CASH_IN</t>
        </is>
      </c>
      <c r="C13" s="9" t="n">
        <v>466356.34</v>
      </c>
      <c r="D13" s="8" t="inlineStr">
        <is>
          <t>C52543009</t>
        </is>
      </c>
      <c r="E13" s="9" t="n">
        <v>100790</v>
      </c>
      <c r="F13" s="9" t="n">
        <v>567146.34</v>
      </c>
      <c r="G13" s="8" t="inlineStr">
        <is>
          <t>C97745266</t>
        </is>
      </c>
      <c r="H13" s="9" t="n">
        <v>768467.85</v>
      </c>
      <c r="I13" s="9" t="n">
        <v>302111.51</v>
      </c>
      <c r="J13" s="10" t="n">
        <v>0</v>
      </c>
      <c r="K13" s="8" t="n">
        <v>0</v>
      </c>
      <c r="L13" s="8" t="n">
        <v>0</v>
      </c>
      <c r="M13" s="9" t="n">
        <v>667677.85</v>
      </c>
      <c r="N13" s="9" t="n">
        <v>932712.6800000001</v>
      </c>
      <c r="O13" s="9" t="n">
        <v>932712.6800000001</v>
      </c>
      <c r="P13" s="8" t="n">
        <v>1</v>
      </c>
      <c r="Q13" s="8" t="n">
        <v>0</v>
      </c>
    </row>
    <row r="14">
      <c r="A14" s="8" t="n">
        <v>308</v>
      </c>
      <c r="B14" s="8" t="inlineStr">
        <is>
          <t>PAYMENT</t>
        </is>
      </c>
      <c r="C14" s="9" t="n">
        <v>27040.37</v>
      </c>
      <c r="D14" s="8" t="inlineStr">
        <is>
          <t>C1641952338</t>
        </is>
      </c>
      <c r="E14" s="9" t="n">
        <v>0</v>
      </c>
      <c r="F14" s="9" t="n">
        <v>0</v>
      </c>
      <c r="G14" s="8" t="inlineStr">
        <is>
          <t>M2132912796</t>
        </is>
      </c>
      <c r="H14" s="9" t="n">
        <v>0</v>
      </c>
      <c r="I14" s="9" t="n">
        <v>0</v>
      </c>
      <c r="J14" s="10" t="n">
        <v>0</v>
      </c>
      <c r="K14" s="8" t="n">
        <v>1</v>
      </c>
      <c r="L14" s="8" t="n">
        <v>0</v>
      </c>
      <c r="M14" s="9" t="n">
        <v>0</v>
      </c>
      <c r="N14" s="9" t="n">
        <v>27040.37</v>
      </c>
      <c r="O14" s="9" t="n">
        <v>27040.37</v>
      </c>
      <c r="P14" s="8" t="n">
        <v>0</v>
      </c>
      <c r="Q14" s="8" t="n">
        <v>0</v>
      </c>
    </row>
    <row r="15">
      <c r="A15" s="8" t="n">
        <v>236</v>
      </c>
      <c r="B15" s="8" t="inlineStr">
        <is>
          <t>PAYMENT</t>
        </is>
      </c>
      <c r="C15" s="9" t="n">
        <v>5103.33</v>
      </c>
      <c r="D15" s="8" t="inlineStr">
        <is>
          <t>C420018537</t>
        </is>
      </c>
      <c r="E15" s="9" t="n">
        <v>0</v>
      </c>
      <c r="F15" s="9" t="n">
        <v>0</v>
      </c>
      <c r="G15" s="8" t="inlineStr">
        <is>
          <t>M443337482</t>
        </is>
      </c>
      <c r="H15" s="9" t="n">
        <v>0</v>
      </c>
      <c r="I15" s="9" t="n">
        <v>0</v>
      </c>
      <c r="J15" s="10" t="n">
        <v>0</v>
      </c>
      <c r="K15" s="8" t="n">
        <v>1</v>
      </c>
      <c r="L15" s="8" t="n">
        <v>0</v>
      </c>
      <c r="M15" s="9" t="n">
        <v>0</v>
      </c>
      <c r="N15" s="9" t="n">
        <v>5103.33</v>
      </c>
      <c r="O15" s="9" t="n">
        <v>5103.33</v>
      </c>
      <c r="P15" s="8" t="n">
        <v>0</v>
      </c>
      <c r="Q15" s="8" t="n">
        <v>0</v>
      </c>
    </row>
    <row r="16">
      <c r="A16" s="8" t="n">
        <v>39</v>
      </c>
      <c r="B16" s="8" t="inlineStr">
        <is>
          <t>CASH_OUT</t>
        </is>
      </c>
      <c r="C16" s="9" t="n">
        <v>276355.83</v>
      </c>
      <c r="D16" s="8" t="inlineStr">
        <is>
          <t>C510701952</t>
        </is>
      </c>
      <c r="E16" s="9" t="n">
        <v>291049.47</v>
      </c>
      <c r="F16" s="9" t="n">
        <v>14693.64</v>
      </c>
      <c r="G16" s="8" t="inlineStr">
        <is>
          <t>C1100165965</t>
        </is>
      </c>
      <c r="H16" s="9" t="n">
        <v>317546.08</v>
      </c>
      <c r="I16" s="9" t="n">
        <v>593901.91</v>
      </c>
      <c r="J16" s="10" t="n">
        <v>0</v>
      </c>
      <c r="K16" s="8" t="n">
        <v>0</v>
      </c>
      <c r="L16" s="8" t="n">
        <v>1</v>
      </c>
      <c r="M16" s="9" t="n">
        <v>26496.61000000004</v>
      </c>
      <c r="N16" s="9" t="n">
        <v>0</v>
      </c>
      <c r="O16" s="9" t="n">
        <v>0</v>
      </c>
      <c r="P16" s="8" t="n">
        <v>1</v>
      </c>
      <c r="Q16" s="8" t="n">
        <v>1</v>
      </c>
    </row>
    <row r="17">
      <c r="A17" s="8" t="n">
        <v>229</v>
      </c>
      <c r="B17" s="8" t="inlineStr">
        <is>
          <t>PAYMENT</t>
        </is>
      </c>
      <c r="C17" s="9" t="n">
        <v>16077.15</v>
      </c>
      <c r="D17" s="8" t="inlineStr">
        <is>
          <t>C1060479643</t>
        </is>
      </c>
      <c r="E17" s="9" t="n">
        <v>242950.47</v>
      </c>
      <c r="F17" s="9" t="n">
        <v>226873.31</v>
      </c>
      <c r="G17" s="8" t="inlineStr">
        <is>
          <t>M416071416</t>
        </is>
      </c>
      <c r="H17" s="9" t="n">
        <v>0</v>
      </c>
      <c r="I17" s="9" t="n">
        <v>0</v>
      </c>
      <c r="J17" s="10" t="n">
        <v>0</v>
      </c>
      <c r="K17" s="8" t="n">
        <v>1</v>
      </c>
      <c r="L17" s="8" t="n">
        <v>0</v>
      </c>
      <c r="M17" s="9" t="n">
        <v>242950.47</v>
      </c>
      <c r="N17" s="9" t="n">
        <v>-0.01</v>
      </c>
      <c r="O17" s="9" t="n">
        <v>16077.15</v>
      </c>
      <c r="P17" s="8" t="n">
        <v>0</v>
      </c>
      <c r="Q17" s="8" t="n">
        <v>1</v>
      </c>
    </row>
    <row r="18">
      <c r="A18" s="8" t="n">
        <v>394</v>
      </c>
      <c r="B18" s="8" t="inlineStr">
        <is>
          <t>CASH_IN</t>
        </is>
      </c>
      <c r="C18" s="9" t="n">
        <v>324152.21</v>
      </c>
      <c r="D18" s="8" t="inlineStr">
        <is>
          <t>C527914865</t>
        </is>
      </c>
      <c r="E18" s="9" t="n">
        <v>31814</v>
      </c>
      <c r="F18" s="9" t="n">
        <v>355966.21</v>
      </c>
      <c r="G18" s="8" t="inlineStr">
        <is>
          <t>C829800422</t>
        </is>
      </c>
      <c r="H18" s="9" t="n">
        <v>284128.54</v>
      </c>
      <c r="I18" s="9" t="n">
        <v>0</v>
      </c>
      <c r="J18" s="10" t="n">
        <v>0</v>
      </c>
      <c r="K18" s="8" t="n">
        <v>0</v>
      </c>
      <c r="L18" s="8" t="n">
        <v>0</v>
      </c>
      <c r="M18" s="9" t="n">
        <v>252314.54</v>
      </c>
      <c r="N18" s="9" t="n">
        <v>648304.42</v>
      </c>
      <c r="O18" s="9" t="n">
        <v>608280.75</v>
      </c>
      <c r="P18" s="8" t="n">
        <v>1</v>
      </c>
      <c r="Q18" s="8" t="n">
        <v>0</v>
      </c>
    </row>
    <row r="19">
      <c r="A19" s="8" t="n">
        <v>39</v>
      </c>
      <c r="B19" s="8" t="inlineStr">
        <is>
          <t>CASH_OUT</t>
        </is>
      </c>
      <c r="C19" s="9" t="n">
        <v>130780.79</v>
      </c>
      <c r="D19" s="8" t="inlineStr">
        <is>
          <t>C642990403</t>
        </is>
      </c>
      <c r="E19" s="9" t="n">
        <v>0</v>
      </c>
      <c r="F19" s="9" t="n">
        <v>0</v>
      </c>
      <c r="G19" s="8" t="inlineStr">
        <is>
          <t>C1321640594</t>
        </is>
      </c>
      <c r="H19" s="9" t="n">
        <v>5863771.29</v>
      </c>
      <c r="I19" s="9" t="n">
        <v>5994552.08</v>
      </c>
      <c r="J19" s="10" t="n">
        <v>0</v>
      </c>
      <c r="K19" s="8" t="n">
        <v>0</v>
      </c>
      <c r="L19" s="8" t="n">
        <v>1</v>
      </c>
      <c r="M19" s="9" t="n">
        <v>5863771.29</v>
      </c>
      <c r="N19" s="9" t="n">
        <v>130780.79</v>
      </c>
      <c r="O19" s="9" t="n">
        <v>0</v>
      </c>
      <c r="P19" s="8" t="n">
        <v>1</v>
      </c>
      <c r="Q19" s="8" t="n">
        <v>0</v>
      </c>
    </row>
    <row r="20">
      <c r="A20" s="8" t="n">
        <v>413</v>
      </c>
      <c r="B20" s="8" t="inlineStr">
        <is>
          <t>CASH_OUT</t>
        </is>
      </c>
      <c r="C20" s="9" t="n">
        <v>341441.17</v>
      </c>
      <c r="D20" s="8" t="inlineStr">
        <is>
          <t>C204567702</t>
        </is>
      </c>
      <c r="E20" s="9" t="n">
        <v>341441.17</v>
      </c>
      <c r="F20" s="9" t="n">
        <v>0</v>
      </c>
      <c r="G20" s="8" t="inlineStr">
        <is>
          <t>C1336378574</t>
        </is>
      </c>
      <c r="H20" s="9" t="n">
        <v>0</v>
      </c>
      <c r="I20" s="9" t="n">
        <v>341441.17</v>
      </c>
      <c r="J20" s="11" t="n">
        <v>1</v>
      </c>
      <c r="K20" s="8" t="n">
        <v>0</v>
      </c>
      <c r="L20" s="8" t="n">
        <v>1</v>
      </c>
      <c r="M20" s="9" t="n">
        <v>341441.17</v>
      </c>
      <c r="N20" s="9" t="n">
        <v>0</v>
      </c>
      <c r="O20" s="9" t="n">
        <v>0</v>
      </c>
      <c r="P20" s="8" t="n">
        <v>1</v>
      </c>
      <c r="Q20" s="8" t="n">
        <v>1</v>
      </c>
    </row>
    <row r="21">
      <c r="A21" s="8" t="n">
        <v>401</v>
      </c>
      <c r="B21" s="8" t="inlineStr">
        <is>
          <t>CASH_IN</t>
        </is>
      </c>
      <c r="C21" s="9" t="n">
        <v>234017.94</v>
      </c>
      <c r="D21" s="8" t="inlineStr">
        <is>
          <t>C335715053</t>
        </is>
      </c>
      <c r="E21" s="9" t="n">
        <v>32130</v>
      </c>
      <c r="F21" s="9" t="n">
        <v>266147.94</v>
      </c>
      <c r="G21" s="8" t="inlineStr">
        <is>
          <t>C1687123623</t>
        </is>
      </c>
      <c r="H21" s="9" t="n">
        <v>0</v>
      </c>
      <c r="I21" s="9" t="n">
        <v>0</v>
      </c>
      <c r="J21" s="10" t="n">
        <v>0</v>
      </c>
      <c r="K21" s="8" t="n">
        <v>0</v>
      </c>
      <c r="L21" s="8" t="n">
        <v>0</v>
      </c>
      <c r="M21" s="9" t="n">
        <v>32130</v>
      </c>
      <c r="N21" s="9" t="n">
        <v>468035.88</v>
      </c>
      <c r="O21" s="9" t="n">
        <v>234017.94</v>
      </c>
      <c r="P21" s="8" t="n">
        <v>1</v>
      </c>
      <c r="Q21" s="8" t="n">
        <v>0</v>
      </c>
    </row>
    <row r="22">
      <c r="A22" s="8" t="n">
        <v>207</v>
      </c>
      <c r="B22" s="8" t="inlineStr">
        <is>
          <t>CASH_OUT</t>
        </is>
      </c>
      <c r="C22" s="9" t="n">
        <v>128820.98</v>
      </c>
      <c r="D22" s="8" t="inlineStr">
        <is>
          <t>C1698686177</t>
        </is>
      </c>
      <c r="E22" s="9" t="n">
        <v>0</v>
      </c>
      <c r="F22" s="9" t="n">
        <v>0</v>
      </c>
      <c r="G22" s="8" t="inlineStr">
        <is>
          <t>C1937225453</t>
        </is>
      </c>
      <c r="H22" s="9" t="n">
        <v>261131.91</v>
      </c>
      <c r="I22" s="9" t="n">
        <v>389952.89</v>
      </c>
      <c r="J22" s="10" t="n">
        <v>0</v>
      </c>
      <c r="K22" s="8" t="n">
        <v>0</v>
      </c>
      <c r="L22" s="8" t="n">
        <v>1</v>
      </c>
      <c r="M22" s="9" t="n">
        <v>261131.91</v>
      </c>
      <c r="N22" s="9" t="n">
        <v>128820.98</v>
      </c>
      <c r="O22" s="9" t="n">
        <v>0</v>
      </c>
      <c r="P22" s="8" t="n">
        <v>1</v>
      </c>
      <c r="Q22" s="8" t="n">
        <v>0</v>
      </c>
    </row>
    <row r="23">
      <c r="A23" s="8" t="n">
        <v>276</v>
      </c>
      <c r="B23" s="8" t="inlineStr">
        <is>
          <t>TRANSFER</t>
        </is>
      </c>
      <c r="C23" s="9" t="n">
        <v>212789.44</v>
      </c>
      <c r="D23" s="8" t="inlineStr">
        <is>
          <t>C2039619142</t>
        </is>
      </c>
      <c r="E23" s="9" t="n">
        <v>31101</v>
      </c>
      <c r="F23" s="9" t="n">
        <v>0</v>
      </c>
      <c r="G23" s="8" t="inlineStr">
        <is>
          <t>C860069132</t>
        </is>
      </c>
      <c r="H23" s="9" t="n">
        <v>0</v>
      </c>
      <c r="I23" s="9" t="n">
        <v>212789.44</v>
      </c>
      <c r="J23" s="10" t="n">
        <v>0</v>
      </c>
      <c r="K23" s="8" t="n">
        <v>0</v>
      </c>
      <c r="L23" s="8" t="n">
        <v>1</v>
      </c>
      <c r="M23" s="9" t="n">
        <v>31101</v>
      </c>
      <c r="N23" s="9" t="n">
        <v>181688.44</v>
      </c>
      <c r="O23" s="9" t="n">
        <v>0</v>
      </c>
      <c r="P23" s="8" t="n">
        <v>1</v>
      </c>
      <c r="Q23" s="8" t="n">
        <v>0</v>
      </c>
    </row>
    <row r="24">
      <c r="A24" s="8" t="n">
        <v>254</v>
      </c>
      <c r="B24" s="8" t="inlineStr">
        <is>
          <t>CASH_IN</t>
        </is>
      </c>
      <c r="C24" s="9" t="n">
        <v>384286.74</v>
      </c>
      <c r="D24" s="8" t="inlineStr">
        <is>
          <t>C151233129</t>
        </is>
      </c>
      <c r="E24" s="9" t="n">
        <v>0</v>
      </c>
      <c r="F24" s="9" t="n">
        <v>384286.74</v>
      </c>
      <c r="G24" s="8" t="inlineStr">
        <is>
          <t>C1863730960</t>
        </is>
      </c>
      <c r="H24" s="9" t="n">
        <v>1061621.25</v>
      </c>
      <c r="I24" s="9" t="n">
        <v>677334.51</v>
      </c>
      <c r="J24" s="10" t="n">
        <v>0</v>
      </c>
      <c r="K24" s="8" t="n">
        <v>0</v>
      </c>
      <c r="L24" s="8" t="n">
        <v>0</v>
      </c>
      <c r="M24" s="9" t="n">
        <v>1061621.25</v>
      </c>
      <c r="N24" s="9" t="n">
        <v>768573.48</v>
      </c>
      <c r="O24" s="9" t="n">
        <v>768573.48</v>
      </c>
      <c r="P24" s="8" t="n">
        <v>1</v>
      </c>
      <c r="Q24" s="8" t="n">
        <v>0</v>
      </c>
    </row>
    <row r="25">
      <c r="A25" s="8" t="n">
        <v>181</v>
      </c>
      <c r="B25" s="8" t="inlineStr">
        <is>
          <t>TRANSFER</t>
        </is>
      </c>
      <c r="C25" s="9" t="n">
        <v>2045372.51</v>
      </c>
      <c r="D25" s="8" t="inlineStr">
        <is>
          <t>C227611441</t>
        </is>
      </c>
      <c r="E25" s="9" t="n">
        <v>0</v>
      </c>
      <c r="F25" s="9" t="n">
        <v>0</v>
      </c>
      <c r="G25" s="8" t="inlineStr">
        <is>
          <t>C1140768897</t>
        </is>
      </c>
      <c r="H25" s="9" t="n">
        <v>2053303.59</v>
      </c>
      <c r="I25" s="9" t="n">
        <v>4098676.1</v>
      </c>
      <c r="J25" s="10" t="n">
        <v>0</v>
      </c>
      <c r="K25" s="8" t="n">
        <v>0</v>
      </c>
      <c r="L25" s="8" t="n">
        <v>1</v>
      </c>
      <c r="M25" s="9" t="n">
        <v>2053303.59</v>
      </c>
      <c r="N25" s="9" t="n">
        <v>2045372.51</v>
      </c>
      <c r="O25" s="9" t="n">
        <v>0</v>
      </c>
      <c r="P25" s="8" t="n">
        <v>1</v>
      </c>
      <c r="Q25" s="8" t="n">
        <v>0</v>
      </c>
    </row>
    <row r="26">
      <c r="A26" s="8" t="n">
        <v>14</v>
      </c>
      <c r="B26" s="8" t="inlineStr">
        <is>
          <t>CASH_IN</t>
        </is>
      </c>
      <c r="C26" s="9" t="n">
        <v>366062.58</v>
      </c>
      <c r="D26" s="8" t="inlineStr">
        <is>
          <t>C2138426309</t>
        </is>
      </c>
      <c r="E26" s="9" t="n">
        <v>9892065.449999999</v>
      </c>
      <c r="F26" s="9" t="n">
        <v>10258128.03</v>
      </c>
      <c r="G26" s="8" t="inlineStr">
        <is>
          <t>C1453128758</t>
        </is>
      </c>
      <c r="H26" s="9" t="n">
        <v>3034569.38</v>
      </c>
      <c r="I26" s="9" t="n">
        <v>2699195.69</v>
      </c>
      <c r="J26" s="10" t="n">
        <v>0</v>
      </c>
      <c r="K26" s="8" t="n">
        <v>0</v>
      </c>
      <c r="L26" s="8" t="n">
        <v>0</v>
      </c>
      <c r="M26" s="9" t="n">
        <v>6857496.069999999</v>
      </c>
      <c r="N26" s="9" t="n">
        <v>732125.16</v>
      </c>
      <c r="O26" s="9" t="n">
        <v>701436.27</v>
      </c>
      <c r="P26" s="8" t="n">
        <v>1</v>
      </c>
      <c r="Q26" s="8" t="n">
        <v>0</v>
      </c>
    </row>
    <row r="27">
      <c r="A27" s="8" t="n">
        <v>251</v>
      </c>
      <c r="B27" s="8" t="inlineStr">
        <is>
          <t>CASH_OUT</t>
        </is>
      </c>
      <c r="C27" s="9" t="n">
        <v>66862.7</v>
      </c>
      <c r="D27" s="8" t="inlineStr">
        <is>
          <t>C1170732934</t>
        </is>
      </c>
      <c r="E27" s="9" t="n">
        <v>0</v>
      </c>
      <c r="F27" s="9" t="n">
        <v>0</v>
      </c>
      <c r="G27" s="8" t="inlineStr">
        <is>
          <t>C1016521110</t>
        </is>
      </c>
      <c r="H27" s="9" t="n">
        <v>263312.42</v>
      </c>
      <c r="I27" s="9" t="n">
        <v>330175.13</v>
      </c>
      <c r="J27" s="10" t="n">
        <v>0</v>
      </c>
      <c r="K27" s="8" t="n">
        <v>0</v>
      </c>
      <c r="L27" s="8" t="n">
        <v>1</v>
      </c>
      <c r="M27" s="9" t="n">
        <v>263312.42</v>
      </c>
      <c r="N27" s="9" t="n">
        <v>66862.7</v>
      </c>
      <c r="O27" s="9" t="n">
        <v>-0.01</v>
      </c>
      <c r="P27" s="8" t="n">
        <v>1</v>
      </c>
      <c r="Q27" s="8" t="n">
        <v>0</v>
      </c>
    </row>
    <row r="28">
      <c r="A28" s="8" t="n">
        <v>307</v>
      </c>
      <c r="B28" s="8" t="inlineStr">
        <is>
          <t>CASH_OUT</t>
        </is>
      </c>
      <c r="C28" s="9" t="n">
        <v>131829.43</v>
      </c>
      <c r="D28" s="8" t="inlineStr">
        <is>
          <t>C802845613</t>
        </is>
      </c>
      <c r="E28" s="9" t="n">
        <v>104496</v>
      </c>
      <c r="F28" s="9" t="n">
        <v>0</v>
      </c>
      <c r="G28" s="8" t="inlineStr">
        <is>
          <t>C2104828062</t>
        </is>
      </c>
      <c r="H28" s="9" t="n">
        <v>3206734.33</v>
      </c>
      <c r="I28" s="9" t="n">
        <v>3338563.76</v>
      </c>
      <c r="J28" s="10" t="n">
        <v>0</v>
      </c>
      <c r="K28" s="8" t="n">
        <v>0</v>
      </c>
      <c r="L28" s="8" t="n">
        <v>1</v>
      </c>
      <c r="M28" s="9" t="n">
        <v>3102238.33</v>
      </c>
      <c r="N28" s="9" t="n">
        <v>27333.43</v>
      </c>
      <c r="O28" s="9" t="n">
        <v>0</v>
      </c>
      <c r="P28" s="8" t="n">
        <v>1</v>
      </c>
      <c r="Q28" s="8" t="n">
        <v>0</v>
      </c>
    </row>
    <row r="29">
      <c r="A29" s="8" t="n">
        <v>688</v>
      </c>
      <c r="B29" s="8" t="inlineStr">
        <is>
          <t>CASH_IN</t>
        </is>
      </c>
      <c r="C29" s="9" t="n">
        <v>271189.26</v>
      </c>
      <c r="D29" s="8" t="inlineStr">
        <is>
          <t>C143066358</t>
        </is>
      </c>
      <c r="E29" s="9" t="n">
        <v>80599</v>
      </c>
      <c r="F29" s="9" t="n">
        <v>351788.26</v>
      </c>
      <c r="G29" s="8" t="inlineStr">
        <is>
          <t>C1184706882</t>
        </is>
      </c>
      <c r="H29" s="9" t="n">
        <v>6176.28</v>
      </c>
      <c r="I29" s="9" t="n">
        <v>0</v>
      </c>
      <c r="J29" s="10" t="n">
        <v>0</v>
      </c>
      <c r="K29" s="8" t="n">
        <v>0</v>
      </c>
      <c r="L29" s="8" t="n">
        <v>0</v>
      </c>
      <c r="M29" s="9" t="n">
        <v>74422.72</v>
      </c>
      <c r="N29" s="9" t="n">
        <v>542378.52</v>
      </c>
      <c r="O29" s="9" t="n">
        <v>277365.54</v>
      </c>
      <c r="P29" s="8" t="n">
        <v>1</v>
      </c>
      <c r="Q29" s="8" t="n">
        <v>0</v>
      </c>
    </row>
    <row r="30">
      <c r="A30" s="8" t="n">
        <v>551</v>
      </c>
      <c r="B30" s="8" t="inlineStr">
        <is>
          <t>TRANSFER</t>
        </is>
      </c>
      <c r="C30" s="9" t="n">
        <v>813992.49</v>
      </c>
      <c r="D30" s="8" t="inlineStr">
        <is>
          <t>C460547143</t>
        </is>
      </c>
      <c r="E30" s="9" t="n">
        <v>813992.49</v>
      </c>
      <c r="F30" s="9" t="n">
        <v>0</v>
      </c>
      <c r="G30" s="8" t="inlineStr">
        <is>
          <t>C830306578</t>
        </is>
      </c>
      <c r="H30" s="9" t="n">
        <v>0</v>
      </c>
      <c r="I30" s="9" t="n">
        <v>0</v>
      </c>
      <c r="J30" s="11" t="n">
        <v>1</v>
      </c>
      <c r="K30" s="8" t="n">
        <v>0</v>
      </c>
      <c r="L30" s="8" t="n">
        <v>1</v>
      </c>
      <c r="M30" s="9" t="n">
        <v>813992.49</v>
      </c>
      <c r="N30" s="9" t="n">
        <v>0</v>
      </c>
      <c r="O30" s="9" t="n">
        <v>813992.49</v>
      </c>
      <c r="P30" s="8" t="n">
        <v>1</v>
      </c>
      <c r="Q30" s="8" t="n">
        <v>1</v>
      </c>
    </row>
    <row r="31">
      <c r="A31" s="8" t="n">
        <v>509</v>
      </c>
      <c r="B31" s="8" t="inlineStr">
        <is>
          <t>CASH_OUT</t>
        </is>
      </c>
      <c r="C31" s="9" t="n">
        <v>2656973.04</v>
      </c>
      <c r="D31" s="8" t="inlineStr">
        <is>
          <t>C759396393</t>
        </is>
      </c>
      <c r="E31" s="9" t="n">
        <v>2656973.04</v>
      </c>
      <c r="F31" s="9" t="n">
        <v>0</v>
      </c>
      <c r="G31" s="8" t="inlineStr">
        <is>
          <t>C899155690</t>
        </is>
      </c>
      <c r="H31" s="9" t="n">
        <v>654028.45</v>
      </c>
      <c r="I31" s="9" t="n">
        <v>3311001.49</v>
      </c>
      <c r="J31" s="11" t="n">
        <v>1</v>
      </c>
      <c r="K31" s="8" t="n">
        <v>0</v>
      </c>
      <c r="L31" s="8" t="n">
        <v>1</v>
      </c>
      <c r="M31" s="9" t="n">
        <v>2002944.59</v>
      </c>
      <c r="N31" s="9" t="n">
        <v>0</v>
      </c>
      <c r="O31" s="9" t="n">
        <v>0</v>
      </c>
      <c r="P31" s="8" t="n">
        <v>1</v>
      </c>
      <c r="Q31" s="8" t="n">
        <v>1</v>
      </c>
    </row>
    <row r="32">
      <c r="A32" s="8" t="n">
        <v>371</v>
      </c>
      <c r="B32" s="8" t="inlineStr">
        <is>
          <t>CASH_OUT</t>
        </is>
      </c>
      <c r="C32" s="9" t="n">
        <v>552889.4399999999</v>
      </c>
      <c r="D32" s="8" t="inlineStr">
        <is>
          <t>C354389891</t>
        </is>
      </c>
      <c r="E32" s="9" t="n">
        <v>359610</v>
      </c>
      <c r="F32" s="9" t="n">
        <v>0</v>
      </c>
      <c r="G32" s="8" t="inlineStr">
        <is>
          <t>C1313296600</t>
        </is>
      </c>
      <c r="H32" s="9" t="n">
        <v>371388.4</v>
      </c>
      <c r="I32" s="9" t="n">
        <v>924277.84</v>
      </c>
      <c r="J32" s="10" t="n">
        <v>0</v>
      </c>
      <c r="K32" s="8" t="n">
        <v>0</v>
      </c>
      <c r="L32" s="8" t="n">
        <v>1</v>
      </c>
      <c r="M32" s="9" t="n">
        <v>11778.40000000002</v>
      </c>
      <c r="N32" s="9" t="n">
        <v>193279.44</v>
      </c>
      <c r="O32" s="9" t="n">
        <v>0</v>
      </c>
      <c r="P32" s="8" t="n">
        <v>1</v>
      </c>
      <c r="Q32" s="8" t="n">
        <v>0</v>
      </c>
    </row>
    <row r="33">
      <c r="A33" s="8" t="n">
        <v>159</v>
      </c>
      <c r="B33" s="8" t="inlineStr">
        <is>
          <t>TRANSFER</t>
        </is>
      </c>
      <c r="C33" s="9" t="n">
        <v>54247.9</v>
      </c>
      <c r="D33" s="8" t="inlineStr">
        <is>
          <t>C2135201344</t>
        </is>
      </c>
      <c r="E33" s="9" t="n">
        <v>0</v>
      </c>
      <c r="F33" s="9" t="n">
        <v>0</v>
      </c>
      <c r="G33" s="8" t="inlineStr">
        <is>
          <t>C1189020503</t>
        </is>
      </c>
      <c r="H33" s="9" t="n">
        <v>573971.17</v>
      </c>
      <c r="I33" s="9" t="n">
        <v>628219.08</v>
      </c>
      <c r="J33" s="10" t="n">
        <v>0</v>
      </c>
      <c r="K33" s="8" t="n">
        <v>0</v>
      </c>
      <c r="L33" s="8" t="n">
        <v>1</v>
      </c>
      <c r="M33" s="9" t="n">
        <v>573971.17</v>
      </c>
      <c r="N33" s="9" t="n">
        <v>54247.9</v>
      </c>
      <c r="O33" s="9" t="n">
        <v>-0.01</v>
      </c>
      <c r="P33" s="8" t="n">
        <v>1</v>
      </c>
      <c r="Q33" s="8" t="n">
        <v>0</v>
      </c>
    </row>
    <row r="34">
      <c r="A34" s="8" t="n">
        <v>17</v>
      </c>
      <c r="B34" s="8" t="inlineStr">
        <is>
          <t>PAYMENT</t>
        </is>
      </c>
      <c r="C34" s="9" t="n">
        <v>1004.5</v>
      </c>
      <c r="D34" s="8" t="inlineStr">
        <is>
          <t>C1213556839</t>
        </is>
      </c>
      <c r="E34" s="9" t="n">
        <v>24104.54</v>
      </c>
      <c r="F34" s="9" t="n">
        <v>23100.05</v>
      </c>
      <c r="G34" s="8" t="inlineStr">
        <is>
          <t>M144701668</t>
        </is>
      </c>
      <c r="H34" s="9" t="n">
        <v>0</v>
      </c>
      <c r="I34" s="9" t="n">
        <v>0</v>
      </c>
      <c r="J34" s="10" t="n">
        <v>0</v>
      </c>
      <c r="K34" s="8" t="n">
        <v>1</v>
      </c>
      <c r="L34" s="8" t="n">
        <v>0</v>
      </c>
      <c r="M34" s="9" t="n">
        <v>24104.54</v>
      </c>
      <c r="N34" s="9" t="n">
        <v>0.01</v>
      </c>
      <c r="O34" s="9" t="n">
        <v>1004.5</v>
      </c>
      <c r="P34" s="8" t="n">
        <v>0</v>
      </c>
      <c r="Q34" s="8" t="n">
        <v>1</v>
      </c>
    </row>
    <row r="35">
      <c r="A35" s="8" t="n">
        <v>305</v>
      </c>
      <c r="B35" s="8" t="inlineStr">
        <is>
          <t>CASH_OUT</t>
        </is>
      </c>
      <c r="C35" s="9" t="n">
        <v>360485.48</v>
      </c>
      <c r="D35" s="8" t="inlineStr">
        <is>
          <t>C2072185604</t>
        </is>
      </c>
      <c r="E35" s="9" t="n">
        <v>726065</v>
      </c>
      <c r="F35" s="9" t="n">
        <v>365579.52</v>
      </c>
      <c r="G35" s="8" t="inlineStr">
        <is>
          <t>C1749967822</t>
        </is>
      </c>
      <c r="H35" s="9" t="n">
        <v>9822.440000000001</v>
      </c>
      <c r="I35" s="9" t="n">
        <v>370307.92</v>
      </c>
      <c r="J35" s="10" t="n">
        <v>0</v>
      </c>
      <c r="K35" s="8" t="n">
        <v>0</v>
      </c>
      <c r="L35" s="8" t="n">
        <v>1</v>
      </c>
      <c r="M35" s="9" t="n">
        <v>716242.5600000001</v>
      </c>
      <c r="N35" s="9" t="n">
        <v>0</v>
      </c>
      <c r="O35" s="9" t="n">
        <v>0</v>
      </c>
      <c r="P35" s="8" t="n">
        <v>1</v>
      </c>
      <c r="Q35" s="8" t="n">
        <v>1</v>
      </c>
    </row>
    <row r="36">
      <c r="A36" s="8" t="n">
        <v>133</v>
      </c>
      <c r="B36" s="8" t="inlineStr">
        <is>
          <t>CASH_OUT</t>
        </is>
      </c>
      <c r="C36" s="9" t="n">
        <v>899782.7</v>
      </c>
      <c r="D36" s="8" t="inlineStr">
        <is>
          <t>C1241123022</t>
        </is>
      </c>
      <c r="E36" s="9" t="n">
        <v>899782.7</v>
      </c>
      <c r="F36" s="9" t="n">
        <v>0</v>
      </c>
      <c r="G36" s="8" t="inlineStr">
        <is>
          <t>C28614156</t>
        </is>
      </c>
      <c r="H36" s="9" t="n">
        <v>106863.62</v>
      </c>
      <c r="I36" s="9" t="n">
        <v>1006646.32</v>
      </c>
      <c r="J36" s="11" t="n">
        <v>1</v>
      </c>
      <c r="K36" s="8" t="n">
        <v>0</v>
      </c>
      <c r="L36" s="8" t="n">
        <v>1</v>
      </c>
      <c r="M36" s="9" t="n">
        <v>792919.08</v>
      </c>
      <c r="N36" s="9" t="n">
        <v>0</v>
      </c>
      <c r="O36" s="9" t="n">
        <v>0</v>
      </c>
      <c r="P36" s="8" t="n">
        <v>1</v>
      </c>
      <c r="Q36" s="8" t="n">
        <v>1</v>
      </c>
    </row>
    <row r="37">
      <c r="A37" s="8" t="n">
        <v>650</v>
      </c>
      <c r="B37" s="8" t="inlineStr">
        <is>
          <t>TRANSFER</t>
        </is>
      </c>
      <c r="C37" s="9" t="n">
        <v>18982.32</v>
      </c>
      <c r="D37" s="8" t="inlineStr">
        <is>
          <t>C536221830</t>
        </is>
      </c>
      <c r="E37" s="9" t="n">
        <v>18982.32</v>
      </c>
      <c r="F37" s="9" t="n">
        <v>0</v>
      </c>
      <c r="G37" s="8" t="inlineStr">
        <is>
          <t>C659146767</t>
        </is>
      </c>
      <c r="H37" s="9" t="n">
        <v>0</v>
      </c>
      <c r="I37" s="9" t="n">
        <v>0</v>
      </c>
      <c r="J37" s="11" t="n">
        <v>1</v>
      </c>
      <c r="K37" s="8" t="n">
        <v>0</v>
      </c>
      <c r="L37" s="8" t="n">
        <v>1</v>
      </c>
      <c r="M37" s="9" t="n">
        <v>18982.32</v>
      </c>
      <c r="N37" s="9" t="n">
        <v>0</v>
      </c>
      <c r="O37" s="9" t="n">
        <v>18982.32</v>
      </c>
      <c r="P37" s="8" t="n">
        <v>1</v>
      </c>
      <c r="Q37" s="8" t="n">
        <v>1</v>
      </c>
    </row>
    <row r="38">
      <c r="A38" s="8" t="n">
        <v>41</v>
      </c>
      <c r="B38" s="8" t="inlineStr">
        <is>
          <t>CASH_IN</t>
        </is>
      </c>
      <c r="C38" s="9" t="n">
        <v>60629.56</v>
      </c>
      <c r="D38" s="8" t="inlineStr">
        <is>
          <t>C660697057</t>
        </is>
      </c>
      <c r="E38" s="9" t="n">
        <v>7490906.09</v>
      </c>
      <c r="F38" s="9" t="n">
        <v>7551535.65</v>
      </c>
      <c r="G38" s="8" t="inlineStr">
        <is>
          <t>C1025896532</t>
        </is>
      </c>
      <c r="H38" s="9" t="n">
        <v>3770414.69</v>
      </c>
      <c r="I38" s="9" t="n">
        <v>3709785.14</v>
      </c>
      <c r="J38" s="10" t="n">
        <v>0</v>
      </c>
      <c r="K38" s="8" t="n">
        <v>0</v>
      </c>
      <c r="L38" s="8" t="n">
        <v>0</v>
      </c>
      <c r="M38" s="9" t="n">
        <v>3720491.4</v>
      </c>
      <c r="N38" s="9" t="n">
        <v>121259.12</v>
      </c>
      <c r="O38" s="9" t="n">
        <v>121259.11</v>
      </c>
      <c r="P38" s="8" t="n">
        <v>1</v>
      </c>
      <c r="Q38" s="8" t="n">
        <v>0</v>
      </c>
    </row>
    <row r="39">
      <c r="A39" s="8" t="n">
        <v>193</v>
      </c>
      <c r="B39" s="8" t="inlineStr">
        <is>
          <t>PAYMENT</t>
        </is>
      </c>
      <c r="C39" s="9" t="n">
        <v>6081.62</v>
      </c>
      <c r="D39" s="8" t="inlineStr">
        <is>
          <t>C73962</t>
        </is>
      </c>
      <c r="E39" s="9" t="n">
        <v>44958.47</v>
      </c>
      <c r="F39" s="9" t="n">
        <v>38876.85</v>
      </c>
      <c r="G39" s="8" t="inlineStr">
        <is>
          <t>M582958752</t>
        </is>
      </c>
      <c r="H39" s="9" t="n">
        <v>0</v>
      </c>
      <c r="I39" s="9" t="n">
        <v>0</v>
      </c>
      <c r="J39" s="10" t="n">
        <v>0</v>
      </c>
      <c r="K39" s="8" t="n">
        <v>1</v>
      </c>
      <c r="L39" s="8" t="n">
        <v>0</v>
      </c>
      <c r="M39" s="9" t="n">
        <v>44958.47</v>
      </c>
      <c r="N39" s="9" t="n">
        <v>0</v>
      </c>
      <c r="O39" s="9" t="n">
        <v>6081.62</v>
      </c>
      <c r="P39" s="8" t="n">
        <v>0</v>
      </c>
      <c r="Q39" s="8" t="n">
        <v>1</v>
      </c>
    </row>
    <row r="40">
      <c r="A40" s="8" t="n">
        <v>187</v>
      </c>
      <c r="B40" s="8" t="inlineStr">
        <is>
          <t>CASH_IN</t>
        </is>
      </c>
      <c r="C40" s="9" t="n">
        <v>113789.33</v>
      </c>
      <c r="D40" s="8" t="inlineStr">
        <is>
          <t>C1202738578</t>
        </is>
      </c>
      <c r="E40" s="9" t="n">
        <v>5264884.99</v>
      </c>
      <c r="F40" s="9" t="n">
        <v>5378674.32</v>
      </c>
      <c r="G40" s="8" t="inlineStr">
        <is>
          <t>C2081913112</t>
        </is>
      </c>
      <c r="H40" s="9" t="n">
        <v>392837.69</v>
      </c>
      <c r="I40" s="9" t="n">
        <v>279048.36</v>
      </c>
      <c r="J40" s="10" t="n">
        <v>0</v>
      </c>
      <c r="K40" s="8" t="n">
        <v>0</v>
      </c>
      <c r="L40" s="8" t="n">
        <v>0</v>
      </c>
      <c r="M40" s="9" t="n">
        <v>4872047.3</v>
      </c>
      <c r="N40" s="9" t="n">
        <v>227578.66</v>
      </c>
      <c r="O40" s="9" t="n">
        <v>227578.66</v>
      </c>
      <c r="P40" s="8" t="n">
        <v>1</v>
      </c>
      <c r="Q40" s="8" t="n">
        <v>0</v>
      </c>
    </row>
    <row r="41">
      <c r="A41" s="8" t="n">
        <v>105</v>
      </c>
      <c r="B41" s="8" t="inlineStr">
        <is>
          <t>CASH_OUT</t>
        </is>
      </c>
      <c r="C41" s="9" t="n">
        <v>539087.79</v>
      </c>
      <c r="D41" s="8" t="inlineStr">
        <is>
          <t>C1597812887</t>
        </is>
      </c>
      <c r="E41" s="9" t="n">
        <v>539087.79</v>
      </c>
      <c r="F41" s="9" t="n">
        <v>0</v>
      </c>
      <c r="G41" s="8" t="inlineStr">
        <is>
          <t>C1452774204</t>
        </is>
      </c>
      <c r="H41" s="9" t="n">
        <v>44825.34</v>
      </c>
      <c r="I41" s="9" t="n">
        <v>583913.14</v>
      </c>
      <c r="J41" s="11" t="n">
        <v>1</v>
      </c>
      <c r="K41" s="8" t="n">
        <v>0</v>
      </c>
      <c r="L41" s="8" t="n">
        <v>1</v>
      </c>
      <c r="M41" s="9" t="n">
        <v>494262.4500000001</v>
      </c>
      <c r="N41" s="9" t="n">
        <v>0</v>
      </c>
      <c r="O41" s="9" t="n">
        <v>-0.01</v>
      </c>
      <c r="P41" s="8" t="n">
        <v>1</v>
      </c>
      <c r="Q41" s="8" t="n">
        <v>1</v>
      </c>
    </row>
    <row r="42">
      <c r="A42" s="8" t="n">
        <v>379</v>
      </c>
      <c r="B42" s="8" t="inlineStr">
        <is>
          <t>CASH_IN</t>
        </is>
      </c>
      <c r="C42" s="9" t="n">
        <v>260669.55</v>
      </c>
      <c r="D42" s="8" t="inlineStr">
        <is>
          <t>C556364753</t>
        </is>
      </c>
      <c r="E42" s="9" t="n">
        <v>619126.59</v>
      </c>
      <c r="F42" s="9" t="n">
        <v>879796.14</v>
      </c>
      <c r="G42" s="8" t="inlineStr">
        <is>
          <t>C660134907</t>
        </is>
      </c>
      <c r="H42" s="9" t="n">
        <v>3223367.17</v>
      </c>
      <c r="I42" s="9" t="n">
        <v>2962697.61</v>
      </c>
      <c r="J42" s="10" t="n">
        <v>0</v>
      </c>
      <c r="K42" s="8" t="n">
        <v>0</v>
      </c>
      <c r="L42" s="8" t="n">
        <v>0</v>
      </c>
      <c r="M42" s="9" t="n">
        <v>2604240.58</v>
      </c>
      <c r="N42" s="9" t="n">
        <v>521339.1</v>
      </c>
      <c r="O42" s="9" t="n">
        <v>521339.11</v>
      </c>
      <c r="P42" s="8" t="n">
        <v>1</v>
      </c>
      <c r="Q42" s="8" t="n">
        <v>0</v>
      </c>
    </row>
    <row r="43">
      <c r="A43" s="8" t="n">
        <v>25</v>
      </c>
      <c r="B43" s="8" t="inlineStr">
        <is>
          <t>CASH_OUT</t>
        </is>
      </c>
      <c r="C43" s="9" t="n">
        <v>781953.11</v>
      </c>
      <c r="D43" s="8" t="inlineStr">
        <is>
          <t>C1665079678</t>
        </is>
      </c>
      <c r="E43" s="9" t="n">
        <v>781953.11</v>
      </c>
      <c r="F43" s="9" t="n">
        <v>0</v>
      </c>
      <c r="G43" s="8" t="inlineStr">
        <is>
          <t>C1566512642</t>
        </is>
      </c>
      <c r="H43" s="9" t="n">
        <v>0</v>
      </c>
      <c r="I43" s="9" t="n">
        <v>781953.11</v>
      </c>
      <c r="J43" s="11" t="n">
        <v>1</v>
      </c>
      <c r="K43" s="8" t="n">
        <v>0</v>
      </c>
      <c r="L43" s="8" t="n">
        <v>1</v>
      </c>
      <c r="M43" s="9" t="n">
        <v>781953.11</v>
      </c>
      <c r="N43" s="9" t="n">
        <v>0</v>
      </c>
      <c r="O43" s="9" t="n">
        <v>0</v>
      </c>
      <c r="P43" s="8" t="n">
        <v>1</v>
      </c>
      <c r="Q43" s="8" t="n">
        <v>1</v>
      </c>
    </row>
    <row r="44">
      <c r="A44" s="8" t="n">
        <v>320</v>
      </c>
      <c r="B44" s="8" t="inlineStr">
        <is>
          <t>TRANSFER</t>
        </is>
      </c>
      <c r="C44" s="9" t="n">
        <v>248409.56</v>
      </c>
      <c r="D44" s="8" t="inlineStr">
        <is>
          <t>C2096636104</t>
        </is>
      </c>
      <c r="E44" s="9" t="n">
        <v>248409.56</v>
      </c>
      <c r="F44" s="9" t="n">
        <v>0</v>
      </c>
      <c r="G44" s="8" t="inlineStr">
        <is>
          <t>C1589898085</t>
        </is>
      </c>
      <c r="H44" s="9" t="n">
        <v>0</v>
      </c>
      <c r="I44" s="9" t="n">
        <v>0</v>
      </c>
      <c r="J44" s="11" t="n">
        <v>1</v>
      </c>
      <c r="K44" s="8" t="n">
        <v>0</v>
      </c>
      <c r="L44" s="8" t="n">
        <v>1</v>
      </c>
      <c r="M44" s="9" t="n">
        <v>248409.56</v>
      </c>
      <c r="N44" s="9" t="n">
        <v>0</v>
      </c>
      <c r="O44" s="9" t="n">
        <v>248409.56</v>
      </c>
      <c r="P44" s="8" t="n">
        <v>1</v>
      </c>
      <c r="Q44" s="8" t="n">
        <v>1</v>
      </c>
    </row>
    <row r="45">
      <c r="A45" s="8" t="n">
        <v>210</v>
      </c>
      <c r="B45" s="8" t="inlineStr">
        <is>
          <t>CASH_OUT</t>
        </is>
      </c>
      <c r="C45" s="9" t="n">
        <v>1663895.14</v>
      </c>
      <c r="D45" s="8" t="inlineStr">
        <is>
          <t>C278631744</t>
        </is>
      </c>
      <c r="E45" s="9" t="n">
        <v>1663895.14</v>
      </c>
      <c r="F45" s="9" t="n">
        <v>0</v>
      </c>
      <c r="G45" s="8" t="inlineStr">
        <is>
          <t>C542333894</t>
        </is>
      </c>
      <c r="H45" s="9" t="n">
        <v>0</v>
      </c>
      <c r="I45" s="9" t="n">
        <v>1663895.14</v>
      </c>
      <c r="J45" s="11" t="n">
        <v>1</v>
      </c>
      <c r="K45" s="8" t="n">
        <v>0</v>
      </c>
      <c r="L45" s="8" t="n">
        <v>1</v>
      </c>
      <c r="M45" s="9" t="n">
        <v>1663895.14</v>
      </c>
      <c r="N45" s="9" t="n">
        <v>0</v>
      </c>
      <c r="O45" s="9" t="n">
        <v>0</v>
      </c>
      <c r="P45" s="8" t="n">
        <v>1</v>
      </c>
      <c r="Q45" s="8" t="n">
        <v>1</v>
      </c>
    </row>
    <row r="46">
      <c r="A46" s="8" t="n">
        <v>252</v>
      </c>
      <c r="B46" s="8" t="inlineStr">
        <is>
          <t>PAYMENT</t>
        </is>
      </c>
      <c r="C46" s="9" t="n">
        <v>44684.46</v>
      </c>
      <c r="D46" s="8" t="inlineStr">
        <is>
          <t>C428366110</t>
        </is>
      </c>
      <c r="E46" s="9" t="n">
        <v>309979</v>
      </c>
      <c r="F46" s="9" t="n">
        <v>265294.54</v>
      </c>
      <c r="G46" s="8" t="inlineStr">
        <is>
          <t>M278692788</t>
        </is>
      </c>
      <c r="H46" s="9" t="n">
        <v>0</v>
      </c>
      <c r="I46" s="9" t="n">
        <v>0</v>
      </c>
      <c r="J46" s="10" t="n">
        <v>0</v>
      </c>
      <c r="K46" s="8" t="n">
        <v>1</v>
      </c>
      <c r="L46" s="8" t="n">
        <v>0</v>
      </c>
      <c r="M46" s="9" t="n">
        <v>309979</v>
      </c>
      <c r="N46" s="9" t="n">
        <v>0</v>
      </c>
      <c r="O46" s="9" t="n">
        <v>44684.46</v>
      </c>
      <c r="P46" s="8" t="n">
        <v>0</v>
      </c>
      <c r="Q46" s="8" t="n">
        <v>1</v>
      </c>
    </row>
    <row r="47">
      <c r="A47" s="8" t="n">
        <v>179</v>
      </c>
      <c r="B47" s="8" t="inlineStr">
        <is>
          <t>TRANSFER</t>
        </is>
      </c>
      <c r="C47" s="9" t="n">
        <v>714428.1800000001</v>
      </c>
      <c r="D47" s="8" t="inlineStr">
        <is>
          <t>C1481440599</t>
        </is>
      </c>
      <c r="E47" s="9" t="n">
        <v>28720</v>
      </c>
      <c r="F47" s="9" t="n">
        <v>0</v>
      </c>
      <c r="G47" s="8" t="inlineStr">
        <is>
          <t>C1596146212</t>
        </is>
      </c>
      <c r="H47" s="9" t="n">
        <v>2014961.65</v>
      </c>
      <c r="I47" s="9" t="n">
        <v>2522669.81</v>
      </c>
      <c r="J47" s="10" t="n">
        <v>0</v>
      </c>
      <c r="K47" s="8" t="n">
        <v>0</v>
      </c>
      <c r="L47" s="8" t="n">
        <v>1</v>
      </c>
      <c r="M47" s="9" t="n">
        <v>1986241.65</v>
      </c>
      <c r="N47" s="9" t="n">
        <v>685708.1800000001</v>
      </c>
      <c r="O47" s="9" t="n">
        <v>206720.02</v>
      </c>
      <c r="P47" s="8" t="n">
        <v>1</v>
      </c>
      <c r="Q47" s="8" t="n">
        <v>0</v>
      </c>
    </row>
    <row r="48">
      <c r="A48" s="8" t="n">
        <v>151</v>
      </c>
      <c r="B48" s="8" t="inlineStr">
        <is>
          <t>CASH_OUT</t>
        </is>
      </c>
      <c r="C48" s="9" t="n">
        <v>147080.42</v>
      </c>
      <c r="D48" s="8" t="inlineStr">
        <is>
          <t>C249982146</t>
        </is>
      </c>
      <c r="E48" s="9" t="n">
        <v>147080.42</v>
      </c>
      <c r="F48" s="9" t="n">
        <v>0</v>
      </c>
      <c r="G48" s="8" t="inlineStr">
        <is>
          <t>C627570303</t>
        </is>
      </c>
      <c r="H48" s="9" t="n">
        <v>0</v>
      </c>
      <c r="I48" s="9" t="n">
        <v>147080.42</v>
      </c>
      <c r="J48" s="11" t="n">
        <v>1</v>
      </c>
      <c r="K48" s="8" t="n">
        <v>0</v>
      </c>
      <c r="L48" s="8" t="n">
        <v>1</v>
      </c>
      <c r="M48" s="9" t="n">
        <v>147080.42</v>
      </c>
      <c r="N48" s="9" t="n">
        <v>0</v>
      </c>
      <c r="O48" s="9" t="n">
        <v>0</v>
      </c>
      <c r="P48" s="8" t="n">
        <v>1</v>
      </c>
      <c r="Q48" s="8" t="n">
        <v>1</v>
      </c>
    </row>
    <row r="49">
      <c r="A49" s="8" t="n">
        <v>647</v>
      </c>
      <c r="B49" s="8" t="inlineStr">
        <is>
          <t>TRANSFER</t>
        </is>
      </c>
      <c r="C49" s="9" t="n">
        <v>964876.58</v>
      </c>
      <c r="D49" s="8" t="inlineStr">
        <is>
          <t>C1995588993</t>
        </is>
      </c>
      <c r="E49" s="9" t="n">
        <v>964876.58</v>
      </c>
      <c r="F49" s="9" t="n">
        <v>0</v>
      </c>
      <c r="G49" s="8" t="inlineStr">
        <is>
          <t>C1782972951</t>
        </is>
      </c>
      <c r="H49" s="9" t="n">
        <v>0</v>
      </c>
      <c r="I49" s="9" t="n">
        <v>0</v>
      </c>
      <c r="J49" s="11" t="n">
        <v>1</v>
      </c>
      <c r="K49" s="8" t="n">
        <v>0</v>
      </c>
      <c r="L49" s="8" t="n">
        <v>1</v>
      </c>
      <c r="M49" s="9" t="n">
        <v>964876.58</v>
      </c>
      <c r="N49" s="9" t="n">
        <v>0</v>
      </c>
      <c r="O49" s="9" t="n">
        <v>964876.58</v>
      </c>
      <c r="P49" s="8" t="n">
        <v>1</v>
      </c>
      <c r="Q49" s="8" t="n">
        <v>1</v>
      </c>
    </row>
    <row r="50">
      <c r="A50" s="8" t="n">
        <v>561</v>
      </c>
      <c r="B50" s="8" t="inlineStr">
        <is>
          <t>TRANSFER</t>
        </is>
      </c>
      <c r="C50" s="9" t="n">
        <v>2763025.35</v>
      </c>
      <c r="D50" s="8" t="inlineStr">
        <is>
          <t>C829335128</t>
        </is>
      </c>
      <c r="E50" s="9" t="n">
        <v>2763025.35</v>
      </c>
      <c r="F50" s="9" t="n">
        <v>0</v>
      </c>
      <c r="G50" s="8" t="inlineStr">
        <is>
          <t>C897120803</t>
        </is>
      </c>
      <c r="H50" s="9" t="n">
        <v>0</v>
      </c>
      <c r="I50" s="9" t="n">
        <v>0</v>
      </c>
      <c r="J50" s="11" t="n">
        <v>1</v>
      </c>
      <c r="K50" s="8" t="n">
        <v>0</v>
      </c>
      <c r="L50" s="8" t="n">
        <v>1</v>
      </c>
      <c r="M50" s="9" t="n">
        <v>2763025.35</v>
      </c>
      <c r="N50" s="9" t="n">
        <v>0</v>
      </c>
      <c r="O50" s="9" t="n">
        <v>2763025.35</v>
      </c>
      <c r="P50" s="8" t="n">
        <v>1</v>
      </c>
      <c r="Q50" s="8" t="n">
        <v>1</v>
      </c>
    </row>
    <row r="51">
      <c r="A51" s="8" t="n">
        <v>357</v>
      </c>
      <c r="B51" s="8" t="inlineStr">
        <is>
          <t>CASH_IN</t>
        </is>
      </c>
      <c r="C51" s="9" t="n">
        <v>214148.77</v>
      </c>
      <c r="D51" s="8" t="inlineStr">
        <is>
          <t>C1019778702</t>
        </is>
      </c>
      <c r="E51" s="9" t="n">
        <v>0</v>
      </c>
      <c r="F51" s="9" t="n">
        <v>214148.77</v>
      </c>
      <c r="G51" s="8" t="inlineStr">
        <is>
          <t>C1308489613</t>
        </is>
      </c>
      <c r="H51" s="9" t="n">
        <v>1259630.7</v>
      </c>
      <c r="I51" s="9" t="n">
        <v>1045481.94</v>
      </c>
      <c r="J51" s="10" t="n">
        <v>0</v>
      </c>
      <c r="K51" s="8" t="n">
        <v>0</v>
      </c>
      <c r="L51" s="8" t="n">
        <v>0</v>
      </c>
      <c r="M51" s="9" t="n">
        <v>1259630.7</v>
      </c>
      <c r="N51" s="9" t="n">
        <v>428297.54</v>
      </c>
      <c r="O51" s="9" t="n">
        <v>428297.53</v>
      </c>
      <c r="P51" s="8" t="n">
        <v>1</v>
      </c>
      <c r="Q51" s="8" t="n">
        <v>0</v>
      </c>
    </row>
    <row r="52">
      <c r="A52" s="8" t="n">
        <v>322</v>
      </c>
      <c r="B52" s="8" t="inlineStr">
        <is>
          <t>CASH_OUT</t>
        </is>
      </c>
      <c r="C52" s="9" t="n">
        <v>83618.97</v>
      </c>
      <c r="D52" s="8" t="inlineStr">
        <is>
          <t>C120035315</t>
        </is>
      </c>
      <c r="E52" s="9" t="n">
        <v>0</v>
      </c>
      <c r="F52" s="9" t="n">
        <v>0</v>
      </c>
      <c r="G52" s="8" t="inlineStr">
        <is>
          <t>C1793161668</t>
        </is>
      </c>
      <c r="H52" s="9" t="n">
        <v>30306378.84</v>
      </c>
      <c r="I52" s="9" t="n">
        <v>30389997.81</v>
      </c>
      <c r="J52" s="10" t="n">
        <v>0</v>
      </c>
      <c r="K52" s="8" t="n">
        <v>0</v>
      </c>
      <c r="L52" s="8" t="n">
        <v>1</v>
      </c>
      <c r="M52" s="9" t="n">
        <v>30306378.84</v>
      </c>
      <c r="N52" s="9" t="n">
        <v>83618.97</v>
      </c>
      <c r="O52" s="9" t="n">
        <v>0</v>
      </c>
      <c r="P52" s="8" t="n">
        <v>1</v>
      </c>
      <c r="Q52" s="8" t="n">
        <v>0</v>
      </c>
    </row>
    <row r="53">
      <c r="A53" s="8" t="n">
        <v>426</v>
      </c>
      <c r="B53" s="8" t="inlineStr">
        <is>
          <t>PAYMENT</t>
        </is>
      </c>
      <c r="C53" s="9" t="n">
        <v>4150.78</v>
      </c>
      <c r="D53" s="8" t="inlineStr">
        <is>
          <t>C2054886581</t>
        </is>
      </c>
      <c r="E53" s="9" t="n">
        <v>253151.08</v>
      </c>
      <c r="F53" s="9" t="n">
        <v>249000.3</v>
      </c>
      <c r="G53" s="8" t="inlineStr">
        <is>
          <t>M991424855</t>
        </is>
      </c>
      <c r="H53" s="9" t="n">
        <v>0</v>
      </c>
      <c r="I53" s="9" t="n">
        <v>0</v>
      </c>
      <c r="J53" s="10" t="n">
        <v>0</v>
      </c>
      <c r="K53" s="8" t="n">
        <v>1</v>
      </c>
      <c r="L53" s="8" t="n">
        <v>0</v>
      </c>
      <c r="M53" s="9" t="n">
        <v>253151.08</v>
      </c>
      <c r="N53" s="9" t="n">
        <v>0</v>
      </c>
      <c r="O53" s="9" t="n">
        <v>4150.78</v>
      </c>
      <c r="P53" s="8" t="n">
        <v>0</v>
      </c>
      <c r="Q53" s="8" t="n">
        <v>1</v>
      </c>
    </row>
    <row r="54">
      <c r="A54" s="8" t="n">
        <v>357</v>
      </c>
      <c r="B54" s="8" t="inlineStr">
        <is>
          <t>PAYMENT</t>
        </is>
      </c>
      <c r="C54" s="9" t="n">
        <v>1531.42</v>
      </c>
      <c r="D54" s="8" t="inlineStr">
        <is>
          <t>C1072321122</t>
        </is>
      </c>
      <c r="E54" s="9" t="n">
        <v>0</v>
      </c>
      <c r="F54" s="9" t="n">
        <v>0</v>
      </c>
      <c r="G54" s="8" t="inlineStr">
        <is>
          <t>M863504008</t>
        </is>
      </c>
      <c r="H54" s="9" t="n">
        <v>0</v>
      </c>
      <c r="I54" s="9" t="n">
        <v>0</v>
      </c>
      <c r="J54" s="10" t="n">
        <v>0</v>
      </c>
      <c r="K54" s="8" t="n">
        <v>1</v>
      </c>
      <c r="L54" s="8" t="n">
        <v>0</v>
      </c>
      <c r="M54" s="9" t="n">
        <v>0</v>
      </c>
      <c r="N54" s="9" t="n">
        <v>1531.42</v>
      </c>
      <c r="O54" s="9" t="n">
        <v>1531.42</v>
      </c>
      <c r="P54" s="8" t="n">
        <v>0</v>
      </c>
      <c r="Q54" s="8" t="n">
        <v>0</v>
      </c>
    </row>
    <row r="55">
      <c r="A55" s="8" t="n">
        <v>130</v>
      </c>
      <c r="B55" s="8" t="inlineStr">
        <is>
          <t>CASH_OUT</t>
        </is>
      </c>
      <c r="C55" s="9" t="n">
        <v>99776.21000000001</v>
      </c>
      <c r="D55" s="8" t="inlineStr">
        <is>
          <t>C1691833586</t>
        </is>
      </c>
      <c r="E55" s="9" t="n">
        <v>17729.11</v>
      </c>
      <c r="F55" s="9" t="n">
        <v>0</v>
      </c>
      <c r="G55" s="8" t="inlineStr">
        <is>
          <t>C914090576</t>
        </is>
      </c>
      <c r="H55" s="9" t="n">
        <v>115310</v>
      </c>
      <c r="I55" s="9" t="n">
        <v>31839617.36</v>
      </c>
      <c r="J55" s="10" t="n">
        <v>0</v>
      </c>
      <c r="K55" s="8" t="n">
        <v>0</v>
      </c>
      <c r="L55" s="8" t="n">
        <v>1</v>
      </c>
      <c r="M55" s="9" t="n">
        <v>97580.89</v>
      </c>
      <c r="N55" s="9" t="n">
        <v>82047.10000000001</v>
      </c>
      <c r="O55" s="9" t="n">
        <v>-31624531.15</v>
      </c>
      <c r="P55" s="8" t="n">
        <v>1</v>
      </c>
      <c r="Q55" s="8" t="n">
        <v>0</v>
      </c>
    </row>
    <row r="56">
      <c r="A56" s="8" t="n">
        <v>398</v>
      </c>
      <c r="B56" s="8" t="inlineStr">
        <is>
          <t>CASH_OUT</t>
        </is>
      </c>
      <c r="C56" s="9" t="n">
        <v>8020.7</v>
      </c>
      <c r="D56" s="8" t="inlineStr">
        <is>
          <t>C520113181</t>
        </is>
      </c>
      <c r="E56" s="9" t="n">
        <v>0</v>
      </c>
      <c r="F56" s="9" t="n">
        <v>0</v>
      </c>
      <c r="G56" s="8" t="inlineStr">
        <is>
          <t>C1518119248</t>
        </is>
      </c>
      <c r="H56" s="9" t="n">
        <v>2647802.61</v>
      </c>
      <c r="I56" s="9" t="n">
        <v>2655823.31</v>
      </c>
      <c r="J56" s="10" t="n">
        <v>0</v>
      </c>
      <c r="K56" s="8" t="n">
        <v>0</v>
      </c>
      <c r="L56" s="8" t="n">
        <v>1</v>
      </c>
      <c r="M56" s="9" t="n">
        <v>2647802.61</v>
      </c>
      <c r="N56" s="9" t="n">
        <v>8020.7</v>
      </c>
      <c r="O56" s="9" t="n">
        <v>0</v>
      </c>
      <c r="P56" s="8" t="n">
        <v>1</v>
      </c>
      <c r="Q56" s="8" t="n">
        <v>0</v>
      </c>
    </row>
    <row r="57">
      <c r="A57" s="8" t="n">
        <v>541</v>
      </c>
      <c r="B57" s="8" t="inlineStr">
        <is>
          <t>TRANSFER</t>
        </is>
      </c>
      <c r="C57" s="9" t="n">
        <v>3297243.38</v>
      </c>
      <c r="D57" s="8" t="inlineStr">
        <is>
          <t>C411433616</t>
        </is>
      </c>
      <c r="E57" s="9" t="n">
        <v>3297243.38</v>
      </c>
      <c r="F57" s="9" t="n">
        <v>0</v>
      </c>
      <c r="G57" s="8" t="inlineStr">
        <is>
          <t>C1948800216</t>
        </is>
      </c>
      <c r="H57" s="9" t="n">
        <v>0</v>
      </c>
      <c r="I57" s="9" t="n">
        <v>0</v>
      </c>
      <c r="J57" s="11" t="n">
        <v>1</v>
      </c>
      <c r="K57" s="8" t="n">
        <v>0</v>
      </c>
      <c r="L57" s="8" t="n">
        <v>1</v>
      </c>
      <c r="M57" s="9" t="n">
        <v>3297243.38</v>
      </c>
      <c r="N57" s="9" t="n">
        <v>0</v>
      </c>
      <c r="O57" s="9" t="n">
        <v>3297243.38</v>
      </c>
      <c r="P57" s="8" t="n">
        <v>1</v>
      </c>
      <c r="Q57" s="8" t="n">
        <v>1</v>
      </c>
    </row>
    <row r="58">
      <c r="A58" s="8" t="n">
        <v>1</v>
      </c>
      <c r="B58" s="8" t="inlineStr">
        <is>
          <t>PAYMENT</t>
        </is>
      </c>
      <c r="C58" s="9" t="n">
        <v>3004.57</v>
      </c>
      <c r="D58" s="8" t="inlineStr">
        <is>
          <t>C150079886</t>
        </is>
      </c>
      <c r="E58" s="9" t="n">
        <v>0</v>
      </c>
      <c r="F58" s="9" t="n">
        <v>0</v>
      </c>
      <c r="G58" s="8" t="inlineStr">
        <is>
          <t>M1818453711</t>
        </is>
      </c>
      <c r="H58" s="9" t="n">
        <v>0</v>
      </c>
      <c r="I58" s="9" t="n">
        <v>0</v>
      </c>
      <c r="J58" s="10" t="n">
        <v>0</v>
      </c>
      <c r="K58" s="8" t="n">
        <v>1</v>
      </c>
      <c r="L58" s="8" t="n">
        <v>0</v>
      </c>
      <c r="M58" s="9" t="n">
        <v>0</v>
      </c>
      <c r="N58" s="9" t="n">
        <v>3004.57</v>
      </c>
      <c r="O58" s="9" t="n">
        <v>3004.57</v>
      </c>
      <c r="P58" s="8" t="n">
        <v>0</v>
      </c>
      <c r="Q58" s="8" t="n">
        <v>0</v>
      </c>
    </row>
    <row r="59">
      <c r="A59" s="8" t="n">
        <v>229</v>
      </c>
      <c r="B59" s="8" t="inlineStr">
        <is>
          <t>CASH_IN</t>
        </is>
      </c>
      <c r="C59" s="9" t="n">
        <v>130215.51</v>
      </c>
      <c r="D59" s="8" t="inlineStr">
        <is>
          <t>C1948149434</t>
        </is>
      </c>
      <c r="E59" s="9" t="n">
        <v>1534350.12</v>
      </c>
      <c r="F59" s="9" t="n">
        <v>1664565.62</v>
      </c>
      <c r="G59" s="8" t="inlineStr">
        <is>
          <t>C1783495015</t>
        </is>
      </c>
      <c r="H59" s="9" t="n">
        <v>1058751.02</v>
      </c>
      <c r="I59" s="9" t="n">
        <v>928535.52</v>
      </c>
      <c r="J59" s="10" t="n">
        <v>0</v>
      </c>
      <c r="K59" s="8" t="n">
        <v>0</v>
      </c>
      <c r="L59" s="8" t="n">
        <v>0</v>
      </c>
      <c r="M59" s="9" t="n">
        <v>475599.1000000001</v>
      </c>
      <c r="N59" s="9" t="n">
        <v>260431.01</v>
      </c>
      <c r="O59" s="9" t="n">
        <v>260431.01</v>
      </c>
      <c r="P59" s="8" t="n">
        <v>1</v>
      </c>
      <c r="Q59" s="8" t="n">
        <v>0</v>
      </c>
    </row>
    <row r="60">
      <c r="A60" s="8" t="n">
        <v>206</v>
      </c>
      <c r="B60" s="8" t="inlineStr">
        <is>
          <t>CASH_OUT</t>
        </is>
      </c>
      <c r="C60" s="9" t="n">
        <v>227368.02</v>
      </c>
      <c r="D60" s="8" t="inlineStr">
        <is>
          <t>C955599896</t>
        </is>
      </c>
      <c r="E60" s="9" t="n">
        <v>390</v>
      </c>
      <c r="F60" s="9" t="n">
        <v>0</v>
      </c>
      <c r="G60" s="8" t="inlineStr">
        <is>
          <t>C90781481</t>
        </is>
      </c>
      <c r="H60" s="9" t="n">
        <v>136448.71</v>
      </c>
      <c r="I60" s="9" t="n">
        <v>363816.74</v>
      </c>
      <c r="J60" s="10" t="n">
        <v>0</v>
      </c>
      <c r="K60" s="8" t="n">
        <v>0</v>
      </c>
      <c r="L60" s="8" t="n">
        <v>1</v>
      </c>
      <c r="M60" s="9" t="n">
        <v>136058.71</v>
      </c>
      <c r="N60" s="9" t="n">
        <v>226978.02</v>
      </c>
      <c r="O60" s="9" t="n">
        <v>-0.01</v>
      </c>
      <c r="P60" s="8" t="n">
        <v>1</v>
      </c>
      <c r="Q60" s="8" t="n">
        <v>0</v>
      </c>
    </row>
    <row r="61">
      <c r="A61" s="8" t="n">
        <v>350</v>
      </c>
      <c r="B61" s="8" t="inlineStr">
        <is>
          <t>CASH_OUT</t>
        </is>
      </c>
      <c r="C61" s="9" t="n">
        <v>2728625.68</v>
      </c>
      <c r="D61" s="8" t="inlineStr">
        <is>
          <t>C67550882</t>
        </is>
      </c>
      <c r="E61" s="9" t="n">
        <v>2728625.68</v>
      </c>
      <c r="F61" s="9" t="n">
        <v>0</v>
      </c>
      <c r="G61" s="8" t="inlineStr">
        <is>
          <t>C58470057</t>
        </is>
      </c>
      <c r="H61" s="9" t="n">
        <v>8454424.24</v>
      </c>
      <c r="I61" s="9" t="n">
        <v>11183049.93</v>
      </c>
      <c r="J61" s="11" t="n">
        <v>1</v>
      </c>
      <c r="K61" s="8" t="n">
        <v>0</v>
      </c>
      <c r="L61" s="8" t="n">
        <v>1</v>
      </c>
      <c r="M61" s="9" t="n">
        <v>5725798.560000001</v>
      </c>
      <c r="N61" s="9" t="n">
        <v>0</v>
      </c>
      <c r="O61" s="9" t="n">
        <v>-0.01</v>
      </c>
      <c r="P61" s="8" t="n">
        <v>1</v>
      </c>
      <c r="Q61" s="8" t="n">
        <v>1</v>
      </c>
    </row>
    <row r="62">
      <c r="A62" s="8" t="n">
        <v>298</v>
      </c>
      <c r="B62" s="8" t="inlineStr">
        <is>
          <t>CASH_IN</t>
        </is>
      </c>
      <c r="C62" s="9" t="n">
        <v>210423.76</v>
      </c>
      <c r="D62" s="8" t="inlineStr">
        <is>
          <t>C389503797</t>
        </is>
      </c>
      <c r="E62" s="9" t="n">
        <v>8960804.189999999</v>
      </c>
      <c r="F62" s="9" t="n">
        <v>9171227.939999999</v>
      </c>
      <c r="G62" s="8" t="inlineStr">
        <is>
          <t>C699651796</t>
        </is>
      </c>
      <c r="H62" s="9" t="n">
        <v>1657184.49</v>
      </c>
      <c r="I62" s="9" t="n">
        <v>1446760.73</v>
      </c>
      <c r="J62" s="10" t="n">
        <v>0</v>
      </c>
      <c r="K62" s="8" t="n">
        <v>0</v>
      </c>
      <c r="L62" s="8" t="n">
        <v>0</v>
      </c>
      <c r="M62" s="9" t="n">
        <v>7303619.699999999</v>
      </c>
      <c r="N62" s="9" t="n">
        <v>420847.51</v>
      </c>
      <c r="O62" s="9" t="n">
        <v>420847.52</v>
      </c>
      <c r="P62" s="8" t="n">
        <v>1</v>
      </c>
      <c r="Q62" s="8" t="n">
        <v>0</v>
      </c>
    </row>
    <row r="63">
      <c r="A63" s="8" t="n">
        <v>347</v>
      </c>
      <c r="B63" s="8" t="inlineStr">
        <is>
          <t>CASH_OUT</t>
        </is>
      </c>
      <c r="C63" s="9" t="n">
        <v>87842.32000000001</v>
      </c>
      <c r="D63" s="8" t="inlineStr">
        <is>
          <t>C1562394349</t>
        </is>
      </c>
      <c r="E63" s="9" t="n">
        <v>0</v>
      </c>
      <c r="F63" s="9" t="n">
        <v>0</v>
      </c>
      <c r="G63" s="8" t="inlineStr">
        <is>
          <t>C878798859</t>
        </is>
      </c>
      <c r="H63" s="9" t="n">
        <v>2511509.93</v>
      </c>
      <c r="I63" s="9" t="n">
        <v>2599352.25</v>
      </c>
      <c r="J63" s="10" t="n">
        <v>0</v>
      </c>
      <c r="K63" s="8" t="n">
        <v>0</v>
      </c>
      <c r="L63" s="8" t="n">
        <v>1</v>
      </c>
      <c r="M63" s="9" t="n">
        <v>2511509.93</v>
      </c>
      <c r="N63" s="9" t="n">
        <v>87842.32000000001</v>
      </c>
      <c r="O63" s="9" t="n">
        <v>0</v>
      </c>
      <c r="P63" s="8" t="n">
        <v>1</v>
      </c>
      <c r="Q63" s="8" t="n">
        <v>0</v>
      </c>
    </row>
    <row r="64">
      <c r="A64" s="8" t="n">
        <v>669</v>
      </c>
      <c r="B64" s="8" t="inlineStr">
        <is>
          <t>TRANSFER</t>
        </is>
      </c>
      <c r="C64" s="9" t="n">
        <v>57658.26</v>
      </c>
      <c r="D64" s="8" t="inlineStr">
        <is>
          <t>C485976806</t>
        </is>
      </c>
      <c r="E64" s="9" t="n">
        <v>57658.26</v>
      </c>
      <c r="F64" s="9" t="n">
        <v>0</v>
      </c>
      <c r="G64" s="8" t="inlineStr">
        <is>
          <t>C399785222</t>
        </is>
      </c>
      <c r="H64" s="9" t="n">
        <v>0</v>
      </c>
      <c r="I64" s="9" t="n">
        <v>0</v>
      </c>
      <c r="J64" s="11" t="n">
        <v>1</v>
      </c>
      <c r="K64" s="8" t="n">
        <v>0</v>
      </c>
      <c r="L64" s="8" t="n">
        <v>1</v>
      </c>
      <c r="M64" s="9" t="n">
        <v>57658.26</v>
      </c>
      <c r="N64" s="9" t="n">
        <v>0</v>
      </c>
      <c r="O64" s="9" t="n">
        <v>57658.26</v>
      </c>
      <c r="P64" s="8" t="n">
        <v>1</v>
      </c>
      <c r="Q64" s="8" t="n">
        <v>1</v>
      </c>
    </row>
    <row r="65">
      <c r="A65" s="8" t="n">
        <v>202</v>
      </c>
      <c r="B65" s="8" t="inlineStr">
        <is>
          <t>PAYMENT</t>
        </is>
      </c>
      <c r="C65" s="9" t="n">
        <v>1913.52</v>
      </c>
      <c r="D65" s="8" t="inlineStr">
        <is>
          <t>C1401340311</t>
        </is>
      </c>
      <c r="E65" s="9" t="n">
        <v>0</v>
      </c>
      <c r="F65" s="9" t="n">
        <v>0</v>
      </c>
      <c r="G65" s="8" t="inlineStr">
        <is>
          <t>M2144427830</t>
        </is>
      </c>
      <c r="H65" s="9" t="n">
        <v>0</v>
      </c>
      <c r="I65" s="9" t="n">
        <v>0</v>
      </c>
      <c r="J65" s="10" t="n">
        <v>0</v>
      </c>
      <c r="K65" s="8" t="n">
        <v>1</v>
      </c>
      <c r="L65" s="8" t="n">
        <v>0</v>
      </c>
      <c r="M65" s="9" t="n">
        <v>0</v>
      </c>
      <c r="N65" s="9" t="n">
        <v>1913.52</v>
      </c>
      <c r="O65" s="9" t="n">
        <v>1913.52</v>
      </c>
      <c r="P65" s="8" t="n">
        <v>0</v>
      </c>
      <c r="Q65" s="8" t="n">
        <v>0</v>
      </c>
    </row>
    <row r="66">
      <c r="A66" s="8" t="n">
        <v>467</v>
      </c>
      <c r="B66" s="8" t="inlineStr">
        <is>
          <t>CASH_OUT</t>
        </is>
      </c>
      <c r="C66" s="9" t="n">
        <v>2108440.98</v>
      </c>
      <c r="D66" s="8" t="inlineStr">
        <is>
          <t>C858034086</t>
        </is>
      </c>
      <c r="E66" s="9" t="n">
        <v>2108440.98</v>
      </c>
      <c r="F66" s="9" t="n">
        <v>0</v>
      </c>
      <c r="G66" s="8" t="inlineStr">
        <is>
          <t>C233159904</t>
        </is>
      </c>
      <c r="H66" s="9" t="n">
        <v>0</v>
      </c>
      <c r="I66" s="9" t="n">
        <v>2108440.98</v>
      </c>
      <c r="J66" s="11" t="n">
        <v>1</v>
      </c>
      <c r="K66" s="8" t="n">
        <v>0</v>
      </c>
      <c r="L66" s="8" t="n">
        <v>1</v>
      </c>
      <c r="M66" s="9" t="n">
        <v>2108440.98</v>
      </c>
      <c r="N66" s="9" t="n">
        <v>0</v>
      </c>
      <c r="O66" s="9" t="n">
        <v>0</v>
      </c>
      <c r="P66" s="8" t="n">
        <v>1</v>
      </c>
      <c r="Q66" s="8" t="n">
        <v>1</v>
      </c>
    </row>
    <row r="67">
      <c r="A67" s="8" t="n">
        <v>250</v>
      </c>
      <c r="B67" s="8" t="inlineStr">
        <is>
          <t>PAYMENT</t>
        </is>
      </c>
      <c r="C67" s="9" t="n">
        <v>24320.27</v>
      </c>
      <c r="D67" s="8" t="inlineStr">
        <is>
          <t>C38843455</t>
        </is>
      </c>
      <c r="E67" s="9" t="n">
        <v>0</v>
      </c>
      <c r="F67" s="9" t="n">
        <v>0</v>
      </c>
      <c r="G67" s="8" t="inlineStr">
        <is>
          <t>M1368447378</t>
        </is>
      </c>
      <c r="H67" s="9" t="n">
        <v>0</v>
      </c>
      <c r="I67" s="9" t="n">
        <v>0</v>
      </c>
      <c r="J67" s="10" t="n">
        <v>0</v>
      </c>
      <c r="K67" s="8" t="n">
        <v>1</v>
      </c>
      <c r="L67" s="8" t="n">
        <v>0</v>
      </c>
      <c r="M67" s="9" t="n">
        <v>0</v>
      </c>
      <c r="N67" s="9" t="n">
        <v>24320.27</v>
      </c>
      <c r="O67" s="9" t="n">
        <v>24320.27</v>
      </c>
      <c r="P67" s="8" t="n">
        <v>0</v>
      </c>
      <c r="Q67" s="8" t="n">
        <v>0</v>
      </c>
    </row>
    <row r="68">
      <c r="A68" s="8" t="n">
        <v>256</v>
      </c>
      <c r="B68" s="8" t="inlineStr">
        <is>
          <t>CASH_OUT</t>
        </is>
      </c>
      <c r="C68" s="9" t="n">
        <v>206262.14</v>
      </c>
      <c r="D68" s="8" t="inlineStr">
        <is>
          <t>C1604693337</t>
        </is>
      </c>
      <c r="E68" s="9" t="n">
        <v>0</v>
      </c>
      <c r="F68" s="9" t="n">
        <v>0</v>
      </c>
      <c r="G68" s="8" t="inlineStr">
        <is>
          <t>C39702076</t>
        </is>
      </c>
      <c r="H68" s="9" t="n">
        <v>447487.38</v>
      </c>
      <c r="I68" s="9" t="n">
        <v>653749.53</v>
      </c>
      <c r="J68" s="10" t="n">
        <v>0</v>
      </c>
      <c r="K68" s="8" t="n">
        <v>0</v>
      </c>
      <c r="L68" s="8" t="n">
        <v>1</v>
      </c>
      <c r="M68" s="9" t="n">
        <v>447487.38</v>
      </c>
      <c r="N68" s="9" t="n">
        <v>206262.14</v>
      </c>
      <c r="O68" s="9" t="n">
        <v>-0.01</v>
      </c>
      <c r="P68" s="8" t="n">
        <v>1</v>
      </c>
      <c r="Q68" s="8" t="n">
        <v>0</v>
      </c>
    </row>
    <row r="69">
      <c r="A69" s="8" t="n">
        <v>159</v>
      </c>
      <c r="B69" s="8" t="inlineStr">
        <is>
          <t>CASH_IN</t>
        </is>
      </c>
      <c r="C69" s="9" t="n">
        <v>69349.3</v>
      </c>
      <c r="D69" s="8" t="inlineStr">
        <is>
          <t>C197929180</t>
        </is>
      </c>
      <c r="E69" s="9" t="n">
        <v>2577130.55</v>
      </c>
      <c r="F69" s="9" t="n">
        <v>2646479.85</v>
      </c>
      <c r="G69" s="8" t="inlineStr">
        <is>
          <t>C196302992</t>
        </is>
      </c>
      <c r="H69" s="9" t="n">
        <v>94267.74000000001</v>
      </c>
      <c r="I69" s="9" t="n">
        <v>24918.44</v>
      </c>
      <c r="J69" s="10" t="n">
        <v>0</v>
      </c>
      <c r="K69" s="8" t="n">
        <v>0</v>
      </c>
      <c r="L69" s="8" t="n">
        <v>0</v>
      </c>
      <c r="M69" s="9" t="n">
        <v>2482862.81</v>
      </c>
      <c r="N69" s="9" t="n">
        <v>138698.6</v>
      </c>
      <c r="O69" s="9" t="n">
        <v>138698.6</v>
      </c>
      <c r="P69" s="8" t="n">
        <v>1</v>
      </c>
      <c r="Q69" s="8" t="n">
        <v>0</v>
      </c>
    </row>
    <row r="70">
      <c r="A70" s="8" t="n">
        <v>188</v>
      </c>
      <c r="B70" s="8" t="inlineStr">
        <is>
          <t>CASH_OUT</t>
        </is>
      </c>
      <c r="C70" s="9" t="n">
        <v>96090.23</v>
      </c>
      <c r="D70" s="8" t="inlineStr">
        <is>
          <t>C2007642534</t>
        </is>
      </c>
      <c r="E70" s="9" t="n">
        <v>0</v>
      </c>
      <c r="F70" s="9" t="n">
        <v>0</v>
      </c>
      <c r="G70" s="8" t="inlineStr">
        <is>
          <t>C241266010</t>
        </is>
      </c>
      <c r="H70" s="9" t="n">
        <v>3834845.09</v>
      </c>
      <c r="I70" s="9" t="n">
        <v>3930935.31</v>
      </c>
      <c r="J70" s="10" t="n">
        <v>0</v>
      </c>
      <c r="K70" s="8" t="n">
        <v>0</v>
      </c>
      <c r="L70" s="8" t="n">
        <v>1</v>
      </c>
      <c r="M70" s="9" t="n">
        <v>3834845.09</v>
      </c>
      <c r="N70" s="9" t="n">
        <v>96090.23</v>
      </c>
      <c r="O70" s="9" t="n">
        <v>0.01</v>
      </c>
      <c r="P70" s="8" t="n">
        <v>1</v>
      </c>
      <c r="Q70" s="8" t="n">
        <v>0</v>
      </c>
    </row>
    <row r="71">
      <c r="A71" s="8" t="n">
        <v>325</v>
      </c>
      <c r="B71" s="8" t="inlineStr">
        <is>
          <t>TRANSFER</t>
        </is>
      </c>
      <c r="C71" s="9" t="n">
        <v>1445166.74</v>
      </c>
      <c r="D71" s="8" t="inlineStr">
        <is>
          <t>C757889087</t>
        </is>
      </c>
      <c r="E71" s="9" t="n">
        <v>1445166.74</v>
      </c>
      <c r="F71" s="9" t="n">
        <v>0</v>
      </c>
      <c r="G71" s="8" t="inlineStr">
        <is>
          <t>C688244166</t>
        </is>
      </c>
      <c r="H71" s="9" t="n">
        <v>0</v>
      </c>
      <c r="I71" s="9" t="n">
        <v>0</v>
      </c>
      <c r="J71" s="11" t="n">
        <v>1</v>
      </c>
      <c r="K71" s="8" t="n">
        <v>0</v>
      </c>
      <c r="L71" s="8" t="n">
        <v>1</v>
      </c>
      <c r="M71" s="9" t="n">
        <v>1445166.74</v>
      </c>
      <c r="N71" s="9" t="n">
        <v>0</v>
      </c>
      <c r="O71" s="9" t="n">
        <v>1445166.74</v>
      </c>
      <c r="P71" s="8" t="n">
        <v>1</v>
      </c>
      <c r="Q71" s="8" t="n">
        <v>1</v>
      </c>
    </row>
    <row r="72">
      <c r="A72" s="8" t="n">
        <v>19</v>
      </c>
      <c r="B72" s="8" t="inlineStr">
        <is>
          <t>CASH_IN</t>
        </is>
      </c>
      <c r="C72" s="9" t="n">
        <v>92140.34</v>
      </c>
      <c r="D72" s="8" t="inlineStr">
        <is>
          <t>C732406243</t>
        </is>
      </c>
      <c r="E72" s="9" t="n">
        <v>11856797.72</v>
      </c>
      <c r="F72" s="9" t="n">
        <v>11948938.06</v>
      </c>
      <c r="G72" s="8" t="inlineStr">
        <is>
          <t>C640681148</t>
        </is>
      </c>
      <c r="H72" s="9" t="n">
        <v>595439.28</v>
      </c>
      <c r="I72" s="9" t="n">
        <v>727222.6899999999</v>
      </c>
      <c r="J72" s="10" t="n">
        <v>0</v>
      </c>
      <c r="K72" s="8" t="n">
        <v>0</v>
      </c>
      <c r="L72" s="8" t="n">
        <v>0</v>
      </c>
      <c r="M72" s="9" t="n">
        <v>11261358.44</v>
      </c>
      <c r="N72" s="9" t="n">
        <v>184280.68</v>
      </c>
      <c r="O72" s="9" t="n">
        <v>-39643.07</v>
      </c>
      <c r="P72" s="8" t="n">
        <v>1</v>
      </c>
      <c r="Q72" s="8" t="n">
        <v>0</v>
      </c>
    </row>
    <row r="73">
      <c r="A73" s="8" t="n">
        <v>355</v>
      </c>
      <c r="B73" s="8" t="inlineStr">
        <is>
          <t>TRANSFER</t>
        </is>
      </c>
      <c r="C73" s="9" t="n">
        <v>1123218.64</v>
      </c>
      <c r="D73" s="8" t="inlineStr">
        <is>
          <t>C1870979272</t>
        </is>
      </c>
      <c r="E73" s="9" t="n">
        <v>103180.5</v>
      </c>
      <c r="F73" s="9" t="n">
        <v>0</v>
      </c>
      <c r="G73" s="8" t="inlineStr">
        <is>
          <t>C1983898276</t>
        </is>
      </c>
      <c r="H73" s="9" t="n">
        <v>2159675.37</v>
      </c>
      <c r="I73" s="9" t="n">
        <v>3282894.01</v>
      </c>
      <c r="J73" s="10" t="n">
        <v>0</v>
      </c>
      <c r="K73" s="8" t="n">
        <v>0</v>
      </c>
      <c r="L73" s="8" t="n">
        <v>1</v>
      </c>
      <c r="M73" s="9" t="n">
        <v>2056494.87</v>
      </c>
      <c r="N73" s="9" t="n">
        <v>1020038.14</v>
      </c>
      <c r="O73" s="9" t="n">
        <v>0</v>
      </c>
      <c r="P73" s="8" t="n">
        <v>1</v>
      </c>
      <c r="Q73" s="8" t="n">
        <v>0</v>
      </c>
    </row>
    <row r="74">
      <c r="A74" s="8" t="n">
        <v>351</v>
      </c>
      <c r="B74" s="8" t="inlineStr">
        <is>
          <t>CASH_OUT</t>
        </is>
      </c>
      <c r="C74" s="9" t="n">
        <v>118111.77</v>
      </c>
      <c r="D74" s="8" t="inlineStr">
        <is>
          <t>C702710728</t>
        </is>
      </c>
      <c r="E74" s="9" t="n">
        <v>118111.77</v>
      </c>
      <c r="F74" s="9" t="n">
        <v>0</v>
      </c>
      <c r="G74" s="8" t="inlineStr">
        <is>
          <t>C5500994</t>
        </is>
      </c>
      <c r="H74" s="9" t="n">
        <v>0</v>
      </c>
      <c r="I74" s="9" t="n">
        <v>118111.77</v>
      </c>
      <c r="J74" s="11" t="n">
        <v>1</v>
      </c>
      <c r="K74" s="8" t="n">
        <v>0</v>
      </c>
      <c r="L74" s="8" t="n">
        <v>1</v>
      </c>
      <c r="M74" s="9" t="n">
        <v>118111.77</v>
      </c>
      <c r="N74" s="9" t="n">
        <v>0</v>
      </c>
      <c r="O74" s="9" t="n">
        <v>0</v>
      </c>
      <c r="P74" s="8" t="n">
        <v>1</v>
      </c>
      <c r="Q74" s="8" t="n">
        <v>1</v>
      </c>
    </row>
    <row r="75">
      <c r="A75" s="8" t="n">
        <v>170</v>
      </c>
      <c r="B75" s="8" t="inlineStr">
        <is>
          <t>TRANSFER</t>
        </is>
      </c>
      <c r="C75" s="9" t="n">
        <v>147649.37</v>
      </c>
      <c r="D75" s="8" t="inlineStr">
        <is>
          <t>C220889804</t>
        </is>
      </c>
      <c r="E75" s="9" t="n">
        <v>147649.37</v>
      </c>
      <c r="F75" s="9" t="n">
        <v>0</v>
      </c>
      <c r="G75" s="8" t="inlineStr">
        <is>
          <t>C1303263986</t>
        </is>
      </c>
      <c r="H75" s="9" t="n">
        <v>0</v>
      </c>
      <c r="I75" s="9" t="n">
        <v>0</v>
      </c>
      <c r="J75" s="11" t="n">
        <v>1</v>
      </c>
      <c r="K75" s="8" t="n">
        <v>0</v>
      </c>
      <c r="L75" s="8" t="n">
        <v>1</v>
      </c>
      <c r="M75" s="9" t="n">
        <v>147649.37</v>
      </c>
      <c r="N75" s="9" t="n">
        <v>0</v>
      </c>
      <c r="O75" s="9" t="n">
        <v>147649.37</v>
      </c>
      <c r="P75" s="8" t="n">
        <v>1</v>
      </c>
      <c r="Q75" s="8" t="n">
        <v>1</v>
      </c>
    </row>
    <row r="76">
      <c r="A76" s="8" t="n">
        <v>229</v>
      </c>
      <c r="B76" s="8" t="inlineStr">
        <is>
          <t>PAYMENT</t>
        </is>
      </c>
      <c r="C76" s="9" t="n">
        <v>9201.629999999999</v>
      </c>
      <c r="D76" s="8" t="inlineStr">
        <is>
          <t>C1305448188</t>
        </is>
      </c>
      <c r="E76" s="9" t="n">
        <v>0</v>
      </c>
      <c r="F76" s="9" t="n">
        <v>0</v>
      </c>
      <c r="G76" s="8" t="inlineStr">
        <is>
          <t>M614960736</t>
        </is>
      </c>
      <c r="H76" s="9" t="n">
        <v>0</v>
      </c>
      <c r="I76" s="9" t="n">
        <v>0</v>
      </c>
      <c r="J76" s="10" t="n">
        <v>0</v>
      </c>
      <c r="K76" s="8" t="n">
        <v>1</v>
      </c>
      <c r="L76" s="8" t="n">
        <v>0</v>
      </c>
      <c r="M76" s="9" t="n">
        <v>0</v>
      </c>
      <c r="N76" s="9" t="n">
        <v>9201.629999999999</v>
      </c>
      <c r="O76" s="9" t="n">
        <v>9201.629999999999</v>
      </c>
      <c r="P76" s="8" t="n">
        <v>0</v>
      </c>
      <c r="Q76" s="8" t="n">
        <v>0</v>
      </c>
    </row>
    <row r="77">
      <c r="A77" s="8" t="n">
        <v>730</v>
      </c>
      <c r="B77" s="8" t="inlineStr">
        <is>
          <t>CASH_OUT</t>
        </is>
      </c>
      <c r="C77" s="9" t="n">
        <v>10000000</v>
      </c>
      <c r="D77" s="8" t="inlineStr">
        <is>
          <t>C1700232450</t>
        </is>
      </c>
      <c r="E77" s="9" t="n">
        <v>10000000</v>
      </c>
      <c r="F77" s="9" t="n">
        <v>0</v>
      </c>
      <c r="G77" s="8" t="inlineStr">
        <is>
          <t>C125311108</t>
        </is>
      </c>
      <c r="H77" s="9" t="n">
        <v>0</v>
      </c>
      <c r="I77" s="9" t="n">
        <v>10000000</v>
      </c>
      <c r="J77" s="11" t="n">
        <v>1</v>
      </c>
      <c r="K77" s="8" t="n">
        <v>0</v>
      </c>
      <c r="L77" s="8" t="n">
        <v>1</v>
      </c>
      <c r="M77" s="9" t="n">
        <v>10000000</v>
      </c>
      <c r="N77" s="9" t="n">
        <v>0</v>
      </c>
      <c r="O77" s="9" t="n">
        <v>0</v>
      </c>
      <c r="P77" s="8" t="n">
        <v>1</v>
      </c>
      <c r="Q77" s="8" t="n">
        <v>1</v>
      </c>
    </row>
    <row r="78">
      <c r="A78" s="8" t="n">
        <v>35</v>
      </c>
      <c r="B78" s="8" t="inlineStr">
        <is>
          <t>CASH_OUT</t>
        </is>
      </c>
      <c r="C78" s="9" t="n">
        <v>299413.72</v>
      </c>
      <c r="D78" s="8" t="inlineStr">
        <is>
          <t>C1496515040</t>
        </is>
      </c>
      <c r="E78" s="9" t="n">
        <v>210927</v>
      </c>
      <c r="F78" s="9" t="n">
        <v>0</v>
      </c>
      <c r="G78" s="8" t="inlineStr">
        <is>
          <t>C84502945</t>
        </is>
      </c>
      <c r="H78" s="9" t="n">
        <v>0</v>
      </c>
      <c r="I78" s="9" t="n">
        <v>299413.72</v>
      </c>
      <c r="J78" s="10" t="n">
        <v>0</v>
      </c>
      <c r="K78" s="8" t="n">
        <v>0</v>
      </c>
      <c r="L78" s="8" t="n">
        <v>1</v>
      </c>
      <c r="M78" s="9" t="n">
        <v>210927</v>
      </c>
      <c r="N78" s="9" t="n">
        <v>88486.72</v>
      </c>
      <c r="O78" s="9" t="n">
        <v>0</v>
      </c>
      <c r="P78" s="8" t="n">
        <v>1</v>
      </c>
      <c r="Q78" s="8" t="n">
        <v>0</v>
      </c>
    </row>
    <row r="79">
      <c r="A79" s="8" t="n">
        <v>394</v>
      </c>
      <c r="B79" s="8" t="inlineStr">
        <is>
          <t>PAYMENT</t>
        </is>
      </c>
      <c r="C79" s="9" t="n">
        <v>908.6900000000001</v>
      </c>
      <c r="D79" s="8" t="inlineStr">
        <is>
          <t>C59935735</t>
        </is>
      </c>
      <c r="E79" s="9" t="n">
        <v>0</v>
      </c>
      <c r="F79" s="9" t="n">
        <v>0</v>
      </c>
      <c r="G79" s="8" t="inlineStr">
        <is>
          <t>M1269436079</t>
        </is>
      </c>
      <c r="H79" s="9" t="n">
        <v>0</v>
      </c>
      <c r="I79" s="9" t="n">
        <v>0</v>
      </c>
      <c r="J79" s="10" t="n">
        <v>0</v>
      </c>
      <c r="K79" s="8" t="n">
        <v>1</v>
      </c>
      <c r="L79" s="8" t="n">
        <v>0</v>
      </c>
      <c r="M79" s="9" t="n">
        <v>0</v>
      </c>
      <c r="N79" s="9" t="n">
        <v>908.6900000000001</v>
      </c>
      <c r="O79" s="9" t="n">
        <v>908.6900000000001</v>
      </c>
      <c r="P79" s="8" t="n">
        <v>0</v>
      </c>
      <c r="Q79" s="8" t="n">
        <v>0</v>
      </c>
    </row>
    <row r="80">
      <c r="A80" s="8" t="n">
        <v>395</v>
      </c>
      <c r="B80" s="8" t="inlineStr">
        <is>
          <t>CASH_OUT</t>
        </is>
      </c>
      <c r="C80" s="9" t="n">
        <v>69552.77</v>
      </c>
      <c r="D80" s="8" t="inlineStr">
        <is>
          <t>C1593570891</t>
        </is>
      </c>
      <c r="E80" s="9" t="n">
        <v>11184</v>
      </c>
      <c r="F80" s="9" t="n">
        <v>0</v>
      </c>
      <c r="G80" s="8" t="inlineStr">
        <is>
          <t>C1382373683</t>
        </is>
      </c>
      <c r="H80" s="9" t="n">
        <v>0</v>
      </c>
      <c r="I80" s="9" t="n">
        <v>69552.77</v>
      </c>
      <c r="J80" s="10" t="n">
        <v>0</v>
      </c>
      <c r="K80" s="8" t="n">
        <v>0</v>
      </c>
      <c r="L80" s="8" t="n">
        <v>1</v>
      </c>
      <c r="M80" s="9" t="n">
        <v>11184</v>
      </c>
      <c r="N80" s="9" t="n">
        <v>58368.77</v>
      </c>
      <c r="O80" s="9" t="n">
        <v>0</v>
      </c>
      <c r="P80" s="8" t="n">
        <v>1</v>
      </c>
      <c r="Q80" s="8" t="n">
        <v>0</v>
      </c>
    </row>
    <row r="81">
      <c r="A81" s="8" t="n">
        <v>42</v>
      </c>
      <c r="B81" s="8" t="inlineStr">
        <is>
          <t>CASH_OUT</t>
        </is>
      </c>
      <c r="C81" s="9" t="n">
        <v>86646.89</v>
      </c>
      <c r="D81" s="8" t="inlineStr">
        <is>
          <t>C1739570413</t>
        </is>
      </c>
      <c r="E81" s="9" t="n">
        <v>0</v>
      </c>
      <c r="F81" s="9" t="n">
        <v>0</v>
      </c>
      <c r="G81" s="8" t="inlineStr">
        <is>
          <t>C652540949</t>
        </is>
      </c>
      <c r="H81" s="9" t="n">
        <v>132212.74</v>
      </c>
      <c r="I81" s="9" t="n">
        <v>218859.62</v>
      </c>
      <c r="J81" s="10" t="n">
        <v>0</v>
      </c>
      <c r="K81" s="8" t="n">
        <v>0</v>
      </c>
      <c r="L81" s="8" t="n">
        <v>1</v>
      </c>
      <c r="M81" s="9" t="n">
        <v>132212.74</v>
      </c>
      <c r="N81" s="9" t="n">
        <v>86646.89</v>
      </c>
      <c r="O81" s="9" t="n">
        <v>0.01</v>
      </c>
      <c r="P81" s="8" t="n">
        <v>1</v>
      </c>
      <c r="Q81" s="8" t="n">
        <v>0</v>
      </c>
    </row>
    <row r="82">
      <c r="A82" s="8" t="n">
        <v>16</v>
      </c>
      <c r="B82" s="8" t="inlineStr">
        <is>
          <t>PAYMENT</t>
        </is>
      </c>
      <c r="C82" s="9" t="n">
        <v>30967.94</v>
      </c>
      <c r="D82" s="8" t="inlineStr">
        <is>
          <t>C255134598</t>
        </is>
      </c>
      <c r="E82" s="9" t="n">
        <v>112337.45</v>
      </c>
      <c r="F82" s="9" t="n">
        <v>81369.50999999999</v>
      </c>
      <c r="G82" s="8" t="inlineStr">
        <is>
          <t>M1981877785</t>
        </is>
      </c>
      <c r="H82" s="9" t="n">
        <v>0</v>
      </c>
      <c r="I82" s="9" t="n">
        <v>0</v>
      </c>
      <c r="J82" s="10" t="n">
        <v>0</v>
      </c>
      <c r="K82" s="8" t="n">
        <v>1</v>
      </c>
      <c r="L82" s="8" t="n">
        <v>0</v>
      </c>
      <c r="M82" s="9" t="n">
        <v>112337.45</v>
      </c>
      <c r="N82" s="9" t="n">
        <v>0</v>
      </c>
      <c r="O82" s="9" t="n">
        <v>30967.94</v>
      </c>
      <c r="P82" s="8" t="n">
        <v>0</v>
      </c>
      <c r="Q82" s="8" t="n">
        <v>1</v>
      </c>
    </row>
    <row r="83">
      <c r="A83" s="8" t="n">
        <v>183</v>
      </c>
      <c r="B83" s="8" t="inlineStr">
        <is>
          <t>PAYMENT</t>
        </is>
      </c>
      <c r="C83" s="9" t="n">
        <v>10371.95</v>
      </c>
      <c r="D83" s="8" t="inlineStr">
        <is>
          <t>C476799441</t>
        </is>
      </c>
      <c r="E83" s="9" t="n">
        <v>79.69</v>
      </c>
      <c r="F83" s="9" t="n">
        <v>0</v>
      </c>
      <c r="G83" s="8" t="inlineStr">
        <is>
          <t>M1188988546</t>
        </is>
      </c>
      <c r="H83" s="9" t="n">
        <v>0</v>
      </c>
      <c r="I83" s="9" t="n">
        <v>0</v>
      </c>
      <c r="J83" s="10" t="n">
        <v>0</v>
      </c>
      <c r="K83" s="8" t="n">
        <v>1</v>
      </c>
      <c r="L83" s="8" t="n">
        <v>0</v>
      </c>
      <c r="M83" s="9" t="n">
        <v>79.69</v>
      </c>
      <c r="N83" s="9" t="n">
        <v>10292.26</v>
      </c>
      <c r="O83" s="9" t="n">
        <v>10371.95</v>
      </c>
      <c r="P83" s="8" t="n">
        <v>0</v>
      </c>
      <c r="Q83" s="8" t="n">
        <v>0</v>
      </c>
    </row>
    <row r="84">
      <c r="A84" s="8" t="n">
        <v>250</v>
      </c>
      <c r="B84" s="8" t="inlineStr">
        <is>
          <t>CASH_OUT</t>
        </is>
      </c>
      <c r="C84" s="9" t="n">
        <v>186552.69</v>
      </c>
      <c r="D84" s="8" t="inlineStr">
        <is>
          <t>C581505390</t>
        </is>
      </c>
      <c r="E84" s="9" t="n">
        <v>37617</v>
      </c>
      <c r="F84" s="9" t="n">
        <v>0</v>
      </c>
      <c r="G84" s="8" t="inlineStr">
        <is>
          <t>C1161159002</t>
        </is>
      </c>
      <c r="H84" s="9" t="n">
        <v>0</v>
      </c>
      <c r="I84" s="9" t="n">
        <v>186552.69</v>
      </c>
      <c r="J84" s="10" t="n">
        <v>0</v>
      </c>
      <c r="K84" s="8" t="n">
        <v>0</v>
      </c>
      <c r="L84" s="8" t="n">
        <v>1</v>
      </c>
      <c r="M84" s="9" t="n">
        <v>37617</v>
      </c>
      <c r="N84" s="9" t="n">
        <v>148935.69</v>
      </c>
      <c r="O84" s="9" t="n">
        <v>0</v>
      </c>
      <c r="P84" s="8" t="n">
        <v>1</v>
      </c>
      <c r="Q84" s="8" t="n">
        <v>0</v>
      </c>
    </row>
    <row r="85">
      <c r="A85" s="8" t="n">
        <v>188</v>
      </c>
      <c r="B85" s="8" t="inlineStr">
        <is>
          <t>CASH_IN</t>
        </is>
      </c>
      <c r="C85" s="9" t="n">
        <v>147554.47</v>
      </c>
      <c r="D85" s="8" t="inlineStr">
        <is>
          <t>C822361466</t>
        </is>
      </c>
      <c r="E85" s="9" t="n">
        <v>24015</v>
      </c>
      <c r="F85" s="9" t="n">
        <v>171569.47</v>
      </c>
      <c r="G85" s="8" t="inlineStr">
        <is>
          <t>C1829021615</t>
        </is>
      </c>
      <c r="H85" s="9" t="n">
        <v>3339.25</v>
      </c>
      <c r="I85" s="9" t="n">
        <v>0</v>
      </c>
      <c r="J85" s="10" t="n">
        <v>0</v>
      </c>
      <c r="K85" s="8" t="n">
        <v>0</v>
      </c>
      <c r="L85" s="8" t="n">
        <v>0</v>
      </c>
      <c r="M85" s="9" t="n">
        <v>20675.75</v>
      </c>
      <c r="N85" s="9" t="n">
        <v>295108.94</v>
      </c>
      <c r="O85" s="9" t="n">
        <v>150893.72</v>
      </c>
      <c r="P85" s="8" t="n">
        <v>1</v>
      </c>
      <c r="Q85" s="8" t="n">
        <v>0</v>
      </c>
    </row>
    <row r="86">
      <c r="A86" s="8" t="n">
        <v>522</v>
      </c>
      <c r="B86" s="8" t="inlineStr">
        <is>
          <t>TRANSFER</t>
        </is>
      </c>
      <c r="C86" s="9" t="n">
        <v>59250.11</v>
      </c>
      <c r="D86" s="8" t="inlineStr">
        <is>
          <t>C1845085414</t>
        </is>
      </c>
      <c r="E86" s="9" t="n">
        <v>59250.11</v>
      </c>
      <c r="F86" s="9" t="n">
        <v>0</v>
      </c>
      <c r="G86" s="8" t="inlineStr">
        <is>
          <t>C1517088370</t>
        </is>
      </c>
      <c r="H86" s="9" t="n">
        <v>0</v>
      </c>
      <c r="I86" s="9" t="n">
        <v>0</v>
      </c>
      <c r="J86" s="11" t="n">
        <v>1</v>
      </c>
      <c r="K86" s="8" t="n">
        <v>0</v>
      </c>
      <c r="L86" s="8" t="n">
        <v>1</v>
      </c>
      <c r="M86" s="9" t="n">
        <v>59250.11</v>
      </c>
      <c r="N86" s="9" t="n">
        <v>0</v>
      </c>
      <c r="O86" s="9" t="n">
        <v>59250.11</v>
      </c>
      <c r="P86" s="8" t="n">
        <v>1</v>
      </c>
      <c r="Q86" s="8" t="n">
        <v>1</v>
      </c>
    </row>
    <row r="87">
      <c r="A87" s="8" t="n">
        <v>401</v>
      </c>
      <c r="B87" s="8" t="inlineStr">
        <is>
          <t>CASH_OUT</t>
        </is>
      </c>
      <c r="C87" s="9" t="n">
        <v>130293.01</v>
      </c>
      <c r="D87" s="8" t="inlineStr">
        <is>
          <t>C1990977750</t>
        </is>
      </c>
      <c r="E87" s="9" t="n">
        <v>97983</v>
      </c>
      <c r="F87" s="9" t="n">
        <v>0</v>
      </c>
      <c r="G87" s="8" t="inlineStr">
        <is>
          <t>C790031841</t>
        </is>
      </c>
      <c r="H87" s="9" t="n">
        <v>127558.57</v>
      </c>
      <c r="I87" s="9" t="n">
        <v>257851.57</v>
      </c>
      <c r="J87" s="10" t="n">
        <v>0</v>
      </c>
      <c r="K87" s="8" t="n">
        <v>0</v>
      </c>
      <c r="L87" s="8" t="n">
        <v>1</v>
      </c>
      <c r="M87" s="9" t="n">
        <v>29575.57000000001</v>
      </c>
      <c r="N87" s="9" t="n">
        <v>32310.01</v>
      </c>
      <c r="O87" s="9" t="n">
        <v>0.01</v>
      </c>
      <c r="P87" s="8" t="n">
        <v>1</v>
      </c>
      <c r="Q87" s="8" t="n">
        <v>0</v>
      </c>
    </row>
    <row r="88">
      <c r="A88" s="8" t="n">
        <v>381</v>
      </c>
      <c r="B88" s="8" t="inlineStr">
        <is>
          <t>CASH_OUT</t>
        </is>
      </c>
      <c r="C88" s="9" t="n">
        <v>703882.14</v>
      </c>
      <c r="D88" s="8" t="inlineStr">
        <is>
          <t>C536229178</t>
        </is>
      </c>
      <c r="E88" s="9" t="n">
        <v>703882.14</v>
      </c>
      <c r="F88" s="9" t="n">
        <v>0</v>
      </c>
      <c r="G88" s="8" t="inlineStr">
        <is>
          <t>C1631425585</t>
        </is>
      </c>
      <c r="H88" s="9" t="n">
        <v>100650.86</v>
      </c>
      <c r="I88" s="9" t="n">
        <v>804533.01</v>
      </c>
      <c r="J88" s="11" t="n">
        <v>1</v>
      </c>
      <c r="K88" s="8" t="n">
        <v>0</v>
      </c>
      <c r="L88" s="8" t="n">
        <v>1</v>
      </c>
      <c r="M88" s="9" t="n">
        <v>603231.28</v>
      </c>
      <c r="N88" s="9" t="n">
        <v>0</v>
      </c>
      <c r="O88" s="9" t="n">
        <v>-0.01</v>
      </c>
      <c r="P88" s="8" t="n">
        <v>1</v>
      </c>
      <c r="Q88" s="8" t="n">
        <v>1</v>
      </c>
    </row>
    <row r="89">
      <c r="A89" s="8" t="n">
        <v>259</v>
      </c>
      <c r="B89" s="8" t="inlineStr">
        <is>
          <t>TRANSFER</t>
        </is>
      </c>
      <c r="C89" s="9" t="n">
        <v>248071.56</v>
      </c>
      <c r="D89" s="8" t="inlineStr">
        <is>
          <t>C1429503291</t>
        </is>
      </c>
      <c r="E89" s="9" t="n">
        <v>248071.56</v>
      </c>
      <c r="F89" s="9" t="n">
        <v>0</v>
      </c>
      <c r="G89" s="8" t="inlineStr">
        <is>
          <t>C1044014885</t>
        </is>
      </c>
      <c r="H89" s="9" t="n">
        <v>0</v>
      </c>
      <c r="I89" s="9" t="n">
        <v>0</v>
      </c>
      <c r="J89" s="11" t="n">
        <v>1</v>
      </c>
      <c r="K89" s="8" t="n">
        <v>0</v>
      </c>
      <c r="L89" s="8" t="n">
        <v>1</v>
      </c>
      <c r="M89" s="9" t="n">
        <v>248071.56</v>
      </c>
      <c r="N89" s="9" t="n">
        <v>0</v>
      </c>
      <c r="O89" s="9" t="n">
        <v>248071.56</v>
      </c>
      <c r="P89" s="8" t="n">
        <v>1</v>
      </c>
      <c r="Q89" s="8" t="n">
        <v>1</v>
      </c>
    </row>
    <row r="90">
      <c r="A90" s="8" t="n">
        <v>278</v>
      </c>
      <c r="B90" s="8" t="inlineStr">
        <is>
          <t>CASH_OUT</t>
        </is>
      </c>
      <c r="C90" s="9" t="n">
        <v>459341.02</v>
      </c>
      <c r="D90" s="8" t="inlineStr">
        <is>
          <t>C691669300</t>
        </is>
      </c>
      <c r="E90" s="9" t="n">
        <v>0</v>
      </c>
      <c r="F90" s="9" t="n">
        <v>0</v>
      </c>
      <c r="G90" s="8" t="inlineStr">
        <is>
          <t>C1046338731</t>
        </is>
      </c>
      <c r="H90" s="9" t="n">
        <v>5250087.83</v>
      </c>
      <c r="I90" s="9" t="n">
        <v>5709428.85</v>
      </c>
      <c r="J90" s="10" t="n">
        <v>0</v>
      </c>
      <c r="K90" s="8" t="n">
        <v>0</v>
      </c>
      <c r="L90" s="8" t="n">
        <v>1</v>
      </c>
      <c r="M90" s="9" t="n">
        <v>5250087.83</v>
      </c>
      <c r="N90" s="9" t="n">
        <v>459341.02</v>
      </c>
      <c r="O90" s="9" t="n">
        <v>0</v>
      </c>
      <c r="P90" s="8" t="n">
        <v>1</v>
      </c>
      <c r="Q90" s="8" t="n">
        <v>0</v>
      </c>
    </row>
    <row r="91">
      <c r="A91" s="8" t="n">
        <v>298</v>
      </c>
      <c r="B91" s="8" t="inlineStr">
        <is>
          <t>CASH_IN</t>
        </is>
      </c>
      <c r="C91" s="9" t="n">
        <v>406284.34</v>
      </c>
      <c r="D91" s="8" t="inlineStr">
        <is>
          <t>C1273207507</t>
        </is>
      </c>
      <c r="E91" s="9" t="n">
        <v>87935</v>
      </c>
      <c r="F91" s="9" t="n">
        <v>494219.34</v>
      </c>
      <c r="G91" s="8" t="inlineStr">
        <is>
          <t>C727827058</t>
        </is>
      </c>
      <c r="H91" s="9" t="n">
        <v>0</v>
      </c>
      <c r="I91" s="9" t="n">
        <v>0</v>
      </c>
      <c r="J91" s="10" t="n">
        <v>0</v>
      </c>
      <c r="K91" s="8" t="n">
        <v>0</v>
      </c>
      <c r="L91" s="8" t="n">
        <v>0</v>
      </c>
      <c r="M91" s="9" t="n">
        <v>87935</v>
      </c>
      <c r="N91" s="9" t="n">
        <v>812568.6800000001</v>
      </c>
      <c r="O91" s="9" t="n">
        <v>406284.34</v>
      </c>
      <c r="P91" s="8" t="n">
        <v>1</v>
      </c>
      <c r="Q91" s="8" t="n">
        <v>0</v>
      </c>
    </row>
    <row r="92">
      <c r="A92" s="8" t="n">
        <v>202</v>
      </c>
      <c r="B92" s="8" t="inlineStr">
        <is>
          <t>CASH_OUT</t>
        </is>
      </c>
      <c r="C92" s="9" t="n">
        <v>187371.29</v>
      </c>
      <c r="D92" s="8" t="inlineStr">
        <is>
          <t>C1422486631</t>
        </is>
      </c>
      <c r="E92" s="9" t="n">
        <v>15137</v>
      </c>
      <c r="F92" s="9" t="n">
        <v>0</v>
      </c>
      <c r="G92" s="8" t="inlineStr">
        <is>
          <t>C1153336807</t>
        </is>
      </c>
      <c r="H92" s="9" t="n">
        <v>1790998.54</v>
      </c>
      <c r="I92" s="9" t="n">
        <v>1978369.83</v>
      </c>
      <c r="J92" s="10" t="n">
        <v>0</v>
      </c>
      <c r="K92" s="8" t="n">
        <v>0</v>
      </c>
      <c r="L92" s="8" t="n">
        <v>1</v>
      </c>
      <c r="M92" s="9" t="n">
        <v>1775861.54</v>
      </c>
      <c r="N92" s="9" t="n">
        <v>172234.29</v>
      </c>
      <c r="O92" s="9" t="n">
        <v>0</v>
      </c>
      <c r="P92" s="8" t="n">
        <v>1</v>
      </c>
      <c r="Q92" s="8" t="n">
        <v>0</v>
      </c>
    </row>
    <row r="93">
      <c r="A93" s="8" t="n">
        <v>397</v>
      </c>
      <c r="B93" s="8" t="inlineStr">
        <is>
          <t>CASH_IN</t>
        </is>
      </c>
      <c r="C93" s="9" t="n">
        <v>147079.69</v>
      </c>
      <c r="D93" s="8" t="inlineStr">
        <is>
          <t>C1744161152</t>
        </is>
      </c>
      <c r="E93" s="9" t="n">
        <v>10892</v>
      </c>
      <c r="F93" s="9" t="n">
        <v>157971.69</v>
      </c>
      <c r="G93" s="8" t="inlineStr">
        <is>
          <t>C1493974607</t>
        </is>
      </c>
      <c r="H93" s="9" t="n">
        <v>4678.54</v>
      </c>
      <c r="I93" s="9" t="n">
        <v>0</v>
      </c>
      <c r="J93" s="10" t="n">
        <v>0</v>
      </c>
      <c r="K93" s="8" t="n">
        <v>0</v>
      </c>
      <c r="L93" s="8" t="n">
        <v>0</v>
      </c>
      <c r="M93" s="9" t="n">
        <v>6213.46</v>
      </c>
      <c r="N93" s="9" t="n">
        <v>294159.38</v>
      </c>
      <c r="O93" s="9" t="n">
        <v>151758.23</v>
      </c>
      <c r="P93" s="8" t="n">
        <v>1</v>
      </c>
      <c r="Q93" s="8" t="n">
        <v>0</v>
      </c>
    </row>
    <row r="94">
      <c r="A94" s="8" t="n">
        <v>232</v>
      </c>
      <c r="B94" s="8" t="inlineStr">
        <is>
          <t>PAYMENT</t>
        </is>
      </c>
      <c r="C94" s="9" t="n">
        <v>2563.81</v>
      </c>
      <c r="D94" s="8" t="inlineStr">
        <is>
          <t>C458924402</t>
        </is>
      </c>
      <c r="E94" s="9" t="n">
        <v>0</v>
      </c>
      <c r="F94" s="9" t="n">
        <v>0</v>
      </c>
      <c r="G94" s="8" t="inlineStr">
        <is>
          <t>M2067777171</t>
        </is>
      </c>
      <c r="H94" s="9" t="n">
        <v>0</v>
      </c>
      <c r="I94" s="9" t="n">
        <v>0</v>
      </c>
      <c r="J94" s="10" t="n">
        <v>0</v>
      </c>
      <c r="K94" s="8" t="n">
        <v>1</v>
      </c>
      <c r="L94" s="8" t="n">
        <v>0</v>
      </c>
      <c r="M94" s="9" t="n">
        <v>0</v>
      </c>
      <c r="N94" s="9" t="n">
        <v>2563.81</v>
      </c>
      <c r="O94" s="9" t="n">
        <v>2563.81</v>
      </c>
      <c r="P94" s="8" t="n">
        <v>0</v>
      </c>
      <c r="Q94" s="8" t="n">
        <v>0</v>
      </c>
    </row>
    <row r="95">
      <c r="A95" s="8" t="n">
        <v>600</v>
      </c>
      <c r="B95" s="8" t="inlineStr">
        <is>
          <t>TRANSFER</t>
        </is>
      </c>
      <c r="C95" s="9" t="n">
        <v>612229.86</v>
      </c>
      <c r="D95" s="8" t="inlineStr">
        <is>
          <t>C191516415</t>
        </is>
      </c>
      <c r="E95" s="9" t="n">
        <v>612229.86</v>
      </c>
      <c r="F95" s="9" t="n">
        <v>0</v>
      </c>
      <c r="G95" s="8" t="inlineStr">
        <is>
          <t>C278468625</t>
        </is>
      </c>
      <c r="H95" s="9" t="n">
        <v>0</v>
      </c>
      <c r="I95" s="9" t="n">
        <v>0</v>
      </c>
      <c r="J95" s="11" t="n">
        <v>1</v>
      </c>
      <c r="K95" s="8" t="n">
        <v>0</v>
      </c>
      <c r="L95" s="8" t="n">
        <v>1</v>
      </c>
      <c r="M95" s="9" t="n">
        <v>612229.86</v>
      </c>
      <c r="N95" s="9" t="n">
        <v>0</v>
      </c>
      <c r="O95" s="9" t="n">
        <v>612229.86</v>
      </c>
      <c r="P95" s="8" t="n">
        <v>1</v>
      </c>
      <c r="Q95" s="8" t="n">
        <v>1</v>
      </c>
    </row>
    <row r="96">
      <c r="A96" s="8" t="n">
        <v>299</v>
      </c>
      <c r="B96" s="8" t="inlineStr">
        <is>
          <t>TRANSFER</t>
        </is>
      </c>
      <c r="C96" s="9" t="n">
        <v>5166728.87</v>
      </c>
      <c r="D96" s="8" t="inlineStr">
        <is>
          <t>C811562034</t>
        </is>
      </c>
      <c r="E96" s="9" t="n">
        <v>5166728.87</v>
      </c>
      <c r="F96" s="9" t="n">
        <v>0</v>
      </c>
      <c r="G96" s="8" t="inlineStr">
        <is>
          <t>C1606899764</t>
        </is>
      </c>
      <c r="H96" s="9" t="n">
        <v>0</v>
      </c>
      <c r="I96" s="9" t="n">
        <v>0</v>
      </c>
      <c r="J96" s="11" t="n">
        <v>1</v>
      </c>
      <c r="K96" s="8" t="n">
        <v>0</v>
      </c>
      <c r="L96" s="8" t="n">
        <v>1</v>
      </c>
      <c r="M96" s="9" t="n">
        <v>5166728.87</v>
      </c>
      <c r="N96" s="9" t="n">
        <v>0</v>
      </c>
      <c r="O96" s="9" t="n">
        <v>5166728.87</v>
      </c>
      <c r="P96" s="8" t="n">
        <v>1</v>
      </c>
      <c r="Q96" s="8" t="n">
        <v>1</v>
      </c>
    </row>
    <row r="97">
      <c r="A97" s="8" t="n">
        <v>130</v>
      </c>
      <c r="B97" s="8" t="inlineStr">
        <is>
          <t>CASH_OUT</t>
        </is>
      </c>
      <c r="C97" s="9" t="n">
        <v>245905.14</v>
      </c>
      <c r="D97" s="8" t="inlineStr">
        <is>
          <t>C628453425</t>
        </is>
      </c>
      <c r="E97" s="9" t="n">
        <v>0</v>
      </c>
      <c r="F97" s="9" t="n">
        <v>0</v>
      </c>
      <c r="G97" s="8" t="inlineStr">
        <is>
          <t>C189661426</t>
        </is>
      </c>
      <c r="H97" s="9" t="n">
        <v>370483.55</v>
      </c>
      <c r="I97" s="9" t="n">
        <v>616388.6899999999</v>
      </c>
      <c r="J97" s="10" t="n">
        <v>0</v>
      </c>
      <c r="K97" s="8" t="n">
        <v>0</v>
      </c>
      <c r="L97" s="8" t="n">
        <v>1</v>
      </c>
      <c r="M97" s="9" t="n">
        <v>370483.55</v>
      </c>
      <c r="N97" s="9" t="n">
        <v>245905.14</v>
      </c>
      <c r="O97" s="9" t="n">
        <v>0</v>
      </c>
      <c r="P97" s="8" t="n">
        <v>1</v>
      </c>
      <c r="Q97" s="8" t="n">
        <v>0</v>
      </c>
    </row>
    <row r="98">
      <c r="A98" s="8" t="n">
        <v>37</v>
      </c>
      <c r="B98" s="8" t="inlineStr">
        <is>
          <t>CASH_OUT</t>
        </is>
      </c>
      <c r="C98" s="9" t="n">
        <v>18369.5</v>
      </c>
      <c r="D98" s="8" t="inlineStr">
        <is>
          <t>C1118062365</t>
        </is>
      </c>
      <c r="E98" s="9" t="n">
        <v>280089</v>
      </c>
      <c r="F98" s="9" t="n">
        <v>261719.5</v>
      </c>
      <c r="G98" s="8" t="inlineStr">
        <is>
          <t>C890630379</t>
        </is>
      </c>
      <c r="H98" s="9" t="n">
        <v>368307.4</v>
      </c>
      <c r="I98" s="9" t="n">
        <v>477592.44</v>
      </c>
      <c r="J98" s="10" t="n">
        <v>0</v>
      </c>
      <c r="K98" s="8" t="n">
        <v>0</v>
      </c>
      <c r="L98" s="8" t="n">
        <v>1</v>
      </c>
      <c r="M98" s="9" t="n">
        <v>88218.40000000002</v>
      </c>
      <c r="N98" s="9" t="n">
        <v>0</v>
      </c>
      <c r="O98" s="9" t="n">
        <v>-90915.53999999999</v>
      </c>
      <c r="P98" s="8" t="n">
        <v>1</v>
      </c>
      <c r="Q98" s="8" t="n">
        <v>1</v>
      </c>
    </row>
    <row r="99">
      <c r="A99" s="8" t="n">
        <v>300</v>
      </c>
      <c r="B99" s="8" t="inlineStr">
        <is>
          <t>PAYMENT</t>
        </is>
      </c>
      <c r="C99" s="9" t="n">
        <v>74916.14</v>
      </c>
      <c r="D99" s="8" t="inlineStr">
        <is>
          <t>C298632082</t>
        </is>
      </c>
      <c r="E99" s="9" t="n">
        <v>275220</v>
      </c>
      <c r="F99" s="9" t="n">
        <v>200303.86</v>
      </c>
      <c r="G99" s="8" t="inlineStr">
        <is>
          <t>M313307389</t>
        </is>
      </c>
      <c r="H99" s="9" t="n">
        <v>0</v>
      </c>
      <c r="I99" s="9" t="n">
        <v>0</v>
      </c>
      <c r="J99" s="10" t="n">
        <v>0</v>
      </c>
      <c r="K99" s="8" t="n">
        <v>1</v>
      </c>
      <c r="L99" s="8" t="n">
        <v>0</v>
      </c>
      <c r="M99" s="9" t="n">
        <v>275220</v>
      </c>
      <c r="N99" s="9" t="n">
        <v>0</v>
      </c>
      <c r="O99" s="9" t="n">
        <v>74916.14</v>
      </c>
      <c r="P99" s="8" t="n">
        <v>0</v>
      </c>
      <c r="Q99" s="8" t="n">
        <v>1</v>
      </c>
    </row>
    <row r="100">
      <c r="A100" s="8" t="n">
        <v>160</v>
      </c>
      <c r="B100" s="8" t="inlineStr">
        <is>
          <t>CASH_OUT</t>
        </is>
      </c>
      <c r="C100" s="9" t="n">
        <v>14634.55</v>
      </c>
      <c r="D100" s="8" t="inlineStr">
        <is>
          <t>C644860107</t>
        </is>
      </c>
      <c r="E100" s="9" t="n">
        <v>0</v>
      </c>
      <c r="F100" s="9" t="n">
        <v>0</v>
      </c>
      <c r="G100" s="8" t="inlineStr">
        <is>
          <t>C1693114343</t>
        </is>
      </c>
      <c r="H100" s="9" t="n">
        <v>297044.42</v>
      </c>
      <c r="I100" s="9" t="n">
        <v>311678.97</v>
      </c>
      <c r="J100" s="10" t="n">
        <v>0</v>
      </c>
      <c r="K100" s="8" t="n">
        <v>0</v>
      </c>
      <c r="L100" s="8" t="n">
        <v>1</v>
      </c>
      <c r="M100" s="9" t="n">
        <v>297044.42</v>
      </c>
      <c r="N100" s="9" t="n">
        <v>14634.55</v>
      </c>
      <c r="O100" s="9" t="n">
        <v>0</v>
      </c>
      <c r="P100" s="8" t="n">
        <v>1</v>
      </c>
      <c r="Q100" s="8" t="n">
        <v>0</v>
      </c>
    </row>
    <row r="101">
      <c r="A101" s="8" t="n">
        <v>308</v>
      </c>
      <c r="B101" s="8" t="inlineStr">
        <is>
          <t>CASH_IN</t>
        </is>
      </c>
      <c r="C101" s="9" t="n">
        <v>110224.09</v>
      </c>
      <c r="D101" s="8" t="inlineStr">
        <is>
          <t>C1173996345</t>
        </is>
      </c>
      <c r="E101" s="9" t="n">
        <v>35964</v>
      </c>
      <c r="F101" s="9" t="n">
        <v>146188.09</v>
      </c>
      <c r="G101" s="8" t="inlineStr">
        <is>
          <t>C2041539695</t>
        </is>
      </c>
      <c r="H101" s="9" t="n">
        <v>454413.59</v>
      </c>
      <c r="I101" s="9" t="n">
        <v>344189.5</v>
      </c>
      <c r="J101" s="10" t="n">
        <v>0</v>
      </c>
      <c r="K101" s="8" t="n">
        <v>0</v>
      </c>
      <c r="L101" s="8" t="n">
        <v>0</v>
      </c>
      <c r="M101" s="9" t="n">
        <v>418449.59</v>
      </c>
      <c r="N101" s="9" t="n">
        <v>220448.18</v>
      </c>
      <c r="O101" s="9" t="n">
        <v>220448.18</v>
      </c>
      <c r="P101" s="8" t="n">
        <v>1</v>
      </c>
      <c r="Q101" s="8" t="n">
        <v>0</v>
      </c>
    </row>
    <row r="102">
      <c r="A102" s="8" t="n">
        <v>206</v>
      </c>
      <c r="B102" s="8" t="inlineStr">
        <is>
          <t>CASH_IN</t>
        </is>
      </c>
      <c r="C102" s="9" t="n">
        <v>107671.52</v>
      </c>
      <c r="D102" s="8" t="inlineStr">
        <is>
          <t>C1811116893</t>
        </is>
      </c>
      <c r="E102" s="9" t="n">
        <v>20853</v>
      </c>
      <c r="F102" s="9" t="n">
        <v>128524.52</v>
      </c>
      <c r="G102" s="8" t="inlineStr">
        <is>
          <t>C98226272</t>
        </is>
      </c>
      <c r="H102" s="9" t="n">
        <v>3603031</v>
      </c>
      <c r="I102" s="9" t="n">
        <v>3495359.48</v>
      </c>
      <c r="J102" s="10" t="n">
        <v>0</v>
      </c>
      <c r="K102" s="8" t="n">
        <v>0</v>
      </c>
      <c r="L102" s="8" t="n">
        <v>0</v>
      </c>
      <c r="M102" s="9" t="n">
        <v>3582178</v>
      </c>
      <c r="N102" s="9" t="n">
        <v>215343.04</v>
      </c>
      <c r="O102" s="9" t="n">
        <v>215343.04</v>
      </c>
      <c r="P102" s="8" t="n">
        <v>1</v>
      </c>
      <c r="Q102" s="8" t="n">
        <v>0</v>
      </c>
    </row>
    <row r="103">
      <c r="A103" s="8" t="n">
        <v>130</v>
      </c>
      <c r="B103" s="8" t="inlineStr">
        <is>
          <t>CASH_IN</t>
        </is>
      </c>
      <c r="C103" s="9" t="n">
        <v>122446.77</v>
      </c>
      <c r="D103" s="8" t="inlineStr">
        <is>
          <t>C1037680795</t>
        </is>
      </c>
      <c r="E103" s="9" t="n">
        <v>20918</v>
      </c>
      <c r="F103" s="9" t="n">
        <v>143364.77</v>
      </c>
      <c r="G103" s="8" t="inlineStr">
        <is>
          <t>C443044241</t>
        </is>
      </c>
      <c r="H103" s="9" t="n">
        <v>0</v>
      </c>
      <c r="I103" s="9" t="n">
        <v>0</v>
      </c>
      <c r="J103" s="10" t="n">
        <v>0</v>
      </c>
      <c r="K103" s="8" t="n">
        <v>0</v>
      </c>
      <c r="L103" s="8" t="n">
        <v>0</v>
      </c>
      <c r="M103" s="9" t="n">
        <v>20918</v>
      </c>
      <c r="N103" s="9" t="n">
        <v>244893.54</v>
      </c>
      <c r="O103" s="9" t="n">
        <v>122446.77</v>
      </c>
      <c r="P103" s="8" t="n">
        <v>1</v>
      </c>
      <c r="Q103" s="8" t="n">
        <v>0</v>
      </c>
    </row>
    <row r="104">
      <c r="A104" s="8" t="n">
        <v>377</v>
      </c>
      <c r="B104" s="8" t="inlineStr">
        <is>
          <t>PAYMENT</t>
        </is>
      </c>
      <c r="C104" s="9" t="n">
        <v>21550.42</v>
      </c>
      <c r="D104" s="8" t="inlineStr">
        <is>
          <t>C920146913</t>
        </is>
      </c>
      <c r="E104" s="9" t="n">
        <v>0</v>
      </c>
      <c r="F104" s="9" t="n">
        <v>0</v>
      </c>
      <c r="G104" s="8" t="inlineStr">
        <is>
          <t>M1048906316</t>
        </is>
      </c>
      <c r="H104" s="9" t="n">
        <v>0</v>
      </c>
      <c r="I104" s="9" t="n">
        <v>0</v>
      </c>
      <c r="J104" s="10" t="n">
        <v>0</v>
      </c>
      <c r="K104" s="8" t="n">
        <v>1</v>
      </c>
      <c r="L104" s="8" t="n">
        <v>0</v>
      </c>
      <c r="M104" s="9" t="n">
        <v>0</v>
      </c>
      <c r="N104" s="9" t="n">
        <v>21550.42</v>
      </c>
      <c r="O104" s="9" t="n">
        <v>21550.42</v>
      </c>
      <c r="P104" s="8" t="n">
        <v>0</v>
      </c>
      <c r="Q104" s="8" t="n">
        <v>0</v>
      </c>
    </row>
    <row r="105">
      <c r="A105" s="8" t="n">
        <v>259</v>
      </c>
      <c r="B105" s="8" t="inlineStr">
        <is>
          <t>CASH_IN</t>
        </is>
      </c>
      <c r="C105" s="9" t="n">
        <v>16296.92</v>
      </c>
      <c r="D105" s="8" t="inlineStr">
        <is>
          <t>C1389760812</t>
        </is>
      </c>
      <c r="E105" s="9" t="n">
        <v>936757.95</v>
      </c>
      <c r="F105" s="9" t="n">
        <v>953054.87</v>
      </c>
      <c r="G105" s="8" t="inlineStr">
        <is>
          <t>C278138839</t>
        </is>
      </c>
      <c r="H105" s="9" t="n">
        <v>390273.48</v>
      </c>
      <c r="I105" s="9" t="n">
        <v>373976.56</v>
      </c>
      <c r="J105" s="10" t="n">
        <v>0</v>
      </c>
      <c r="K105" s="8" t="n">
        <v>0</v>
      </c>
      <c r="L105" s="8" t="n">
        <v>0</v>
      </c>
      <c r="M105" s="9" t="n">
        <v>546484.47</v>
      </c>
      <c r="N105" s="9" t="n">
        <v>32593.84</v>
      </c>
      <c r="O105" s="9" t="n">
        <v>32593.84</v>
      </c>
      <c r="P105" s="8" t="n">
        <v>1</v>
      </c>
      <c r="Q105" s="8" t="n">
        <v>0</v>
      </c>
    </row>
    <row r="106">
      <c r="A106" s="8" t="n">
        <v>236</v>
      </c>
      <c r="B106" s="8" t="inlineStr">
        <is>
          <t>CASH_OUT</t>
        </is>
      </c>
      <c r="C106" s="9" t="n">
        <v>188473.73</v>
      </c>
      <c r="D106" s="8" t="inlineStr">
        <is>
          <t>C1803773779</t>
        </is>
      </c>
      <c r="E106" s="9" t="n">
        <v>0</v>
      </c>
      <c r="F106" s="9" t="n">
        <v>0</v>
      </c>
      <c r="G106" s="8" t="inlineStr">
        <is>
          <t>C759357488</t>
        </is>
      </c>
      <c r="H106" s="9" t="n">
        <v>10323212.18</v>
      </c>
      <c r="I106" s="9" t="n">
        <v>10511685.91</v>
      </c>
      <c r="J106" s="10" t="n">
        <v>0</v>
      </c>
      <c r="K106" s="8" t="n">
        <v>0</v>
      </c>
      <c r="L106" s="8" t="n">
        <v>1</v>
      </c>
      <c r="M106" s="9" t="n">
        <v>10323212.18</v>
      </c>
      <c r="N106" s="9" t="n">
        <v>188473.73</v>
      </c>
      <c r="O106" s="9" t="n">
        <v>0</v>
      </c>
      <c r="P106" s="8" t="n">
        <v>1</v>
      </c>
      <c r="Q106" s="8" t="n">
        <v>0</v>
      </c>
    </row>
    <row r="107">
      <c r="A107" s="8" t="n">
        <v>713</v>
      </c>
      <c r="B107" s="8" t="inlineStr">
        <is>
          <t>TRANSFER</t>
        </is>
      </c>
      <c r="C107" s="9" t="n">
        <v>4130371.73</v>
      </c>
      <c r="D107" s="8" t="inlineStr">
        <is>
          <t>C589050166</t>
        </is>
      </c>
      <c r="E107" s="9" t="n">
        <v>4130371.73</v>
      </c>
      <c r="F107" s="9" t="n">
        <v>0</v>
      </c>
      <c r="G107" s="8" t="inlineStr">
        <is>
          <t>C2115142048</t>
        </is>
      </c>
      <c r="H107" s="9" t="n">
        <v>0</v>
      </c>
      <c r="I107" s="9" t="n">
        <v>0</v>
      </c>
      <c r="J107" s="11" t="n">
        <v>1</v>
      </c>
      <c r="K107" s="8" t="n">
        <v>0</v>
      </c>
      <c r="L107" s="8" t="n">
        <v>1</v>
      </c>
      <c r="M107" s="9" t="n">
        <v>4130371.73</v>
      </c>
      <c r="N107" s="9" t="n">
        <v>0</v>
      </c>
      <c r="O107" s="9" t="n">
        <v>4130371.73</v>
      </c>
      <c r="P107" s="8" t="n">
        <v>1</v>
      </c>
      <c r="Q107" s="8" t="n">
        <v>1</v>
      </c>
    </row>
    <row r="108">
      <c r="A108" s="8" t="n">
        <v>499</v>
      </c>
      <c r="B108" s="8" t="inlineStr">
        <is>
          <t>TRANSFER</t>
        </is>
      </c>
      <c r="C108" s="9" t="n">
        <v>488243.65</v>
      </c>
      <c r="D108" s="8" t="inlineStr">
        <is>
          <t>C2117568077</t>
        </is>
      </c>
      <c r="E108" s="9" t="n">
        <v>488243.65</v>
      </c>
      <c r="F108" s="9" t="n">
        <v>0</v>
      </c>
      <c r="G108" s="8" t="inlineStr">
        <is>
          <t>C1238599279</t>
        </is>
      </c>
      <c r="H108" s="9" t="n">
        <v>0</v>
      </c>
      <c r="I108" s="9" t="n">
        <v>0</v>
      </c>
      <c r="J108" s="11" t="n">
        <v>1</v>
      </c>
      <c r="K108" s="8" t="n">
        <v>0</v>
      </c>
      <c r="L108" s="8" t="n">
        <v>1</v>
      </c>
      <c r="M108" s="9" t="n">
        <v>488243.65</v>
      </c>
      <c r="N108" s="9" t="n">
        <v>0</v>
      </c>
      <c r="O108" s="9" t="n">
        <v>488243.65</v>
      </c>
      <c r="P108" s="8" t="n">
        <v>1</v>
      </c>
      <c r="Q108" s="8" t="n">
        <v>1</v>
      </c>
    </row>
    <row r="109">
      <c r="A109" s="8" t="n">
        <v>205</v>
      </c>
      <c r="B109" s="8" t="inlineStr">
        <is>
          <t>CASH_IN</t>
        </is>
      </c>
      <c r="C109" s="9" t="n">
        <v>7650.6</v>
      </c>
      <c r="D109" s="8" t="inlineStr">
        <is>
          <t>C1466699934</t>
        </is>
      </c>
      <c r="E109" s="9" t="n">
        <v>59706</v>
      </c>
      <c r="F109" s="9" t="n">
        <v>67356.60000000001</v>
      </c>
      <c r="G109" s="8" t="inlineStr">
        <is>
          <t>C331276682</t>
        </is>
      </c>
      <c r="H109" s="9" t="n">
        <v>3510522.89</v>
      </c>
      <c r="I109" s="9" t="n">
        <v>3502872.29</v>
      </c>
      <c r="J109" s="10" t="n">
        <v>0</v>
      </c>
      <c r="K109" s="8" t="n">
        <v>0</v>
      </c>
      <c r="L109" s="8" t="n">
        <v>0</v>
      </c>
      <c r="M109" s="9" t="n">
        <v>3450816.89</v>
      </c>
      <c r="N109" s="9" t="n">
        <v>15301.2</v>
      </c>
      <c r="O109" s="9" t="n">
        <v>15301.2</v>
      </c>
      <c r="P109" s="8" t="n">
        <v>1</v>
      </c>
      <c r="Q109" s="8" t="n">
        <v>0</v>
      </c>
    </row>
    <row r="110">
      <c r="A110" s="8" t="n">
        <v>185</v>
      </c>
      <c r="B110" s="8" t="inlineStr">
        <is>
          <t>CASH_OUT</t>
        </is>
      </c>
      <c r="C110" s="9" t="n">
        <v>28808.76</v>
      </c>
      <c r="D110" s="8" t="inlineStr">
        <is>
          <t>C867203023</t>
        </is>
      </c>
      <c r="E110" s="9" t="n">
        <v>0</v>
      </c>
      <c r="F110" s="9" t="n">
        <v>0</v>
      </c>
      <c r="G110" s="8" t="inlineStr">
        <is>
          <t>C688440459</t>
        </is>
      </c>
      <c r="H110" s="9" t="n">
        <v>44969.02</v>
      </c>
      <c r="I110" s="9" t="n">
        <v>73777.78</v>
      </c>
      <c r="J110" s="10" t="n">
        <v>0</v>
      </c>
      <c r="K110" s="8" t="n">
        <v>0</v>
      </c>
      <c r="L110" s="8" t="n">
        <v>1</v>
      </c>
      <c r="M110" s="9" t="n">
        <v>44969.02</v>
      </c>
      <c r="N110" s="9" t="n">
        <v>28808.76</v>
      </c>
      <c r="O110" s="9" t="n">
        <v>0</v>
      </c>
      <c r="P110" s="8" t="n">
        <v>1</v>
      </c>
      <c r="Q110" s="8" t="n">
        <v>0</v>
      </c>
    </row>
    <row r="111">
      <c r="A111" s="8" t="n">
        <v>695</v>
      </c>
      <c r="B111" s="8" t="inlineStr">
        <is>
          <t>TRANSFER</t>
        </is>
      </c>
      <c r="C111" s="9" t="n">
        <v>1305754.09</v>
      </c>
      <c r="D111" s="8" t="inlineStr">
        <is>
          <t>C1383489618</t>
        </is>
      </c>
      <c r="E111" s="9" t="n">
        <v>1305754.09</v>
      </c>
      <c r="F111" s="9" t="n">
        <v>0</v>
      </c>
      <c r="G111" s="8" t="inlineStr">
        <is>
          <t>C1527197718</t>
        </is>
      </c>
      <c r="H111" s="9" t="n">
        <v>0</v>
      </c>
      <c r="I111" s="9" t="n">
        <v>0</v>
      </c>
      <c r="J111" s="11" t="n">
        <v>1</v>
      </c>
      <c r="K111" s="8" t="n">
        <v>0</v>
      </c>
      <c r="L111" s="8" t="n">
        <v>1</v>
      </c>
      <c r="M111" s="9" t="n">
        <v>1305754.09</v>
      </c>
      <c r="N111" s="9" t="n">
        <v>0</v>
      </c>
      <c r="O111" s="9" t="n">
        <v>1305754.09</v>
      </c>
      <c r="P111" s="8" t="n">
        <v>1</v>
      </c>
      <c r="Q111" s="8" t="n">
        <v>1</v>
      </c>
    </row>
    <row r="112">
      <c r="A112" s="8" t="n">
        <v>280</v>
      </c>
      <c r="B112" s="8" t="inlineStr">
        <is>
          <t>CASH_OUT</t>
        </is>
      </c>
      <c r="C112" s="9" t="n">
        <v>177023.02</v>
      </c>
      <c r="D112" s="8" t="inlineStr">
        <is>
          <t>C672193931</t>
        </is>
      </c>
      <c r="E112" s="9" t="n">
        <v>0</v>
      </c>
      <c r="F112" s="9" t="n">
        <v>0</v>
      </c>
      <c r="G112" s="8" t="inlineStr">
        <is>
          <t>C1838178274</t>
        </is>
      </c>
      <c r="H112" s="9" t="n">
        <v>701771.15</v>
      </c>
      <c r="I112" s="9" t="n">
        <v>878794.17</v>
      </c>
      <c r="J112" s="10" t="n">
        <v>0</v>
      </c>
      <c r="K112" s="8" t="n">
        <v>0</v>
      </c>
      <c r="L112" s="8" t="n">
        <v>1</v>
      </c>
      <c r="M112" s="9" t="n">
        <v>701771.15</v>
      </c>
      <c r="N112" s="9" t="n">
        <v>177023.02</v>
      </c>
      <c r="O112" s="9" t="n">
        <v>0</v>
      </c>
      <c r="P112" s="8" t="n">
        <v>1</v>
      </c>
      <c r="Q112" s="8" t="n">
        <v>0</v>
      </c>
    </row>
    <row r="113">
      <c r="A113" s="8" t="n">
        <v>282</v>
      </c>
      <c r="B113" s="8" t="inlineStr">
        <is>
          <t>CASH_IN</t>
        </is>
      </c>
      <c r="C113" s="9" t="n">
        <v>104080.99</v>
      </c>
      <c r="D113" s="8" t="inlineStr">
        <is>
          <t>C2049997589</t>
        </is>
      </c>
      <c r="E113" s="9" t="n">
        <v>21061017.2</v>
      </c>
      <c r="F113" s="9" t="n">
        <v>21165098.19</v>
      </c>
      <c r="G113" s="8" t="inlineStr">
        <is>
          <t>C2077616626</t>
        </is>
      </c>
      <c r="H113" s="9" t="n">
        <v>825505.3100000001</v>
      </c>
      <c r="I113" s="9" t="n">
        <v>721424.3199999999</v>
      </c>
      <c r="J113" s="10" t="n">
        <v>0</v>
      </c>
      <c r="K113" s="8" t="n">
        <v>0</v>
      </c>
      <c r="L113" s="8" t="n">
        <v>0</v>
      </c>
      <c r="M113" s="9" t="n">
        <v>20235511.89</v>
      </c>
      <c r="N113" s="9" t="n">
        <v>208161.98</v>
      </c>
      <c r="O113" s="9" t="n">
        <v>208161.98</v>
      </c>
      <c r="P113" s="8" t="n">
        <v>1</v>
      </c>
      <c r="Q113" s="8" t="n">
        <v>0</v>
      </c>
    </row>
    <row r="114">
      <c r="A114" s="8" t="n">
        <v>378</v>
      </c>
      <c r="B114" s="8" t="inlineStr">
        <is>
          <t>PAYMENT</t>
        </is>
      </c>
      <c r="C114" s="9" t="n">
        <v>9662.049999999999</v>
      </c>
      <c r="D114" s="8" t="inlineStr">
        <is>
          <t>C1393330314</t>
        </is>
      </c>
      <c r="E114" s="9" t="n">
        <v>11094.6</v>
      </c>
      <c r="F114" s="9" t="n">
        <v>1432.55</v>
      </c>
      <c r="G114" s="8" t="inlineStr">
        <is>
          <t>M2012676735</t>
        </is>
      </c>
      <c r="H114" s="9" t="n">
        <v>0</v>
      </c>
      <c r="I114" s="9" t="n">
        <v>0</v>
      </c>
      <c r="J114" s="10" t="n">
        <v>0</v>
      </c>
      <c r="K114" s="8" t="n">
        <v>1</v>
      </c>
      <c r="L114" s="8" t="n">
        <v>0</v>
      </c>
      <c r="M114" s="9" t="n">
        <v>11094.6</v>
      </c>
      <c r="N114" s="9" t="n">
        <v>-0</v>
      </c>
      <c r="O114" s="9" t="n">
        <v>9662.049999999999</v>
      </c>
      <c r="P114" s="8" t="n">
        <v>0</v>
      </c>
      <c r="Q114" s="8" t="n">
        <v>1</v>
      </c>
    </row>
    <row r="115">
      <c r="A115" s="8" t="n">
        <v>227</v>
      </c>
      <c r="B115" s="8" t="inlineStr">
        <is>
          <t>CASH_OUT</t>
        </is>
      </c>
      <c r="C115" s="9" t="n">
        <v>98087.23</v>
      </c>
      <c r="D115" s="8" t="inlineStr">
        <is>
          <t>C1054119151</t>
        </is>
      </c>
      <c r="E115" s="9" t="n">
        <v>89</v>
      </c>
      <c r="F115" s="9" t="n">
        <v>0</v>
      </c>
      <c r="G115" s="8" t="inlineStr">
        <is>
          <t>C210915814</t>
        </is>
      </c>
      <c r="H115" s="9" t="n">
        <v>7839575.66</v>
      </c>
      <c r="I115" s="9" t="n">
        <v>7937662.89</v>
      </c>
      <c r="J115" s="10" t="n">
        <v>0</v>
      </c>
      <c r="K115" s="8" t="n">
        <v>0</v>
      </c>
      <c r="L115" s="8" t="n">
        <v>1</v>
      </c>
      <c r="M115" s="9" t="n">
        <v>7839486.66</v>
      </c>
      <c r="N115" s="9" t="n">
        <v>97998.23</v>
      </c>
      <c r="O115" s="9" t="n">
        <v>0</v>
      </c>
      <c r="P115" s="8" t="n">
        <v>1</v>
      </c>
      <c r="Q115" s="8" t="n">
        <v>0</v>
      </c>
    </row>
    <row r="116">
      <c r="A116" s="8" t="n">
        <v>20</v>
      </c>
      <c r="B116" s="8" t="inlineStr">
        <is>
          <t>CASH_IN</t>
        </is>
      </c>
      <c r="C116" s="9" t="n">
        <v>29440.38</v>
      </c>
      <c r="D116" s="8" t="inlineStr">
        <is>
          <t>C879373054</t>
        </is>
      </c>
      <c r="E116" s="9" t="n">
        <v>445816.34</v>
      </c>
      <c r="F116" s="9" t="n">
        <v>475256.72</v>
      </c>
      <c r="G116" s="8" t="inlineStr">
        <is>
          <t>C1189179252</t>
        </is>
      </c>
      <c r="H116" s="9" t="n">
        <v>2116544.44</v>
      </c>
      <c r="I116" s="9" t="n">
        <v>2087104.06</v>
      </c>
      <c r="J116" s="10" t="n">
        <v>0</v>
      </c>
      <c r="K116" s="8" t="n">
        <v>0</v>
      </c>
      <c r="L116" s="8" t="n">
        <v>0</v>
      </c>
      <c r="M116" s="9" t="n">
        <v>1670728.1</v>
      </c>
      <c r="N116" s="9" t="n">
        <v>58880.76</v>
      </c>
      <c r="O116" s="9" t="n">
        <v>58880.76</v>
      </c>
      <c r="P116" s="8" t="n">
        <v>1</v>
      </c>
      <c r="Q116" s="8" t="n">
        <v>0</v>
      </c>
    </row>
    <row r="117">
      <c r="A117" s="8" t="n">
        <v>13</v>
      </c>
      <c r="B117" s="8" t="inlineStr">
        <is>
          <t>CASH_IN</t>
        </is>
      </c>
      <c r="C117" s="9" t="n">
        <v>410601.52</v>
      </c>
      <c r="D117" s="8" t="inlineStr">
        <is>
          <t>C1483221637</t>
        </is>
      </c>
      <c r="E117" s="9" t="n">
        <v>89688</v>
      </c>
      <c r="F117" s="9" t="n">
        <v>500289.52</v>
      </c>
      <c r="G117" s="8" t="inlineStr">
        <is>
          <t>C427346199</t>
        </is>
      </c>
      <c r="H117" s="9" t="n">
        <v>0</v>
      </c>
      <c r="I117" s="9" t="n">
        <v>0</v>
      </c>
      <c r="J117" s="10" t="n">
        <v>0</v>
      </c>
      <c r="K117" s="8" t="n">
        <v>0</v>
      </c>
      <c r="L117" s="8" t="n">
        <v>0</v>
      </c>
      <c r="M117" s="9" t="n">
        <v>89688</v>
      </c>
      <c r="N117" s="9" t="n">
        <v>821203.04</v>
      </c>
      <c r="O117" s="9" t="n">
        <v>410601.52</v>
      </c>
      <c r="P117" s="8" t="n">
        <v>1</v>
      </c>
      <c r="Q117" s="8" t="n">
        <v>0</v>
      </c>
    </row>
    <row r="118">
      <c r="A118" s="8" t="n">
        <v>460</v>
      </c>
      <c r="B118" s="8" t="inlineStr">
        <is>
          <t>CASH_OUT</t>
        </is>
      </c>
      <c r="C118" s="9" t="n">
        <v>58058.98</v>
      </c>
      <c r="D118" s="8" t="inlineStr">
        <is>
          <t>C625520344</t>
        </is>
      </c>
      <c r="E118" s="9" t="n">
        <v>58058.98</v>
      </c>
      <c r="F118" s="9" t="n">
        <v>0</v>
      </c>
      <c r="G118" s="8" t="inlineStr">
        <is>
          <t>C1699367271</t>
        </is>
      </c>
      <c r="H118" s="9" t="n">
        <v>822974.58</v>
      </c>
      <c r="I118" s="9" t="n">
        <v>881033.5600000001</v>
      </c>
      <c r="J118" s="11" t="n">
        <v>1</v>
      </c>
      <c r="K118" s="8" t="n">
        <v>0</v>
      </c>
      <c r="L118" s="8" t="n">
        <v>1</v>
      </c>
      <c r="M118" s="9" t="n">
        <v>764915.6</v>
      </c>
      <c r="N118" s="9" t="n">
        <v>0</v>
      </c>
      <c r="O118" s="9" t="n">
        <v>-0</v>
      </c>
      <c r="P118" s="8" t="n">
        <v>1</v>
      </c>
      <c r="Q118" s="8" t="n">
        <v>1</v>
      </c>
    </row>
    <row r="119">
      <c r="A119" s="8" t="n">
        <v>352</v>
      </c>
      <c r="B119" s="8" t="inlineStr">
        <is>
          <t>PAYMENT</t>
        </is>
      </c>
      <c r="C119" s="9" t="n">
        <v>41093.69</v>
      </c>
      <c r="D119" s="8" t="inlineStr">
        <is>
          <t>C101605285</t>
        </is>
      </c>
      <c r="E119" s="9" t="n">
        <v>62827</v>
      </c>
      <c r="F119" s="9" t="n">
        <v>21733.31</v>
      </c>
      <c r="G119" s="8" t="inlineStr">
        <is>
          <t>M1874238065</t>
        </is>
      </c>
      <c r="H119" s="9" t="n">
        <v>0</v>
      </c>
      <c r="I119" s="9" t="n">
        <v>0</v>
      </c>
      <c r="J119" s="10" t="n">
        <v>0</v>
      </c>
      <c r="K119" s="8" t="n">
        <v>1</v>
      </c>
      <c r="L119" s="8" t="n">
        <v>0</v>
      </c>
      <c r="M119" s="9" t="n">
        <v>62827</v>
      </c>
      <c r="N119" s="9" t="n">
        <v>0</v>
      </c>
      <c r="O119" s="9" t="n">
        <v>41093.69</v>
      </c>
      <c r="P119" s="8" t="n">
        <v>0</v>
      </c>
      <c r="Q119" s="8" t="n">
        <v>1</v>
      </c>
    </row>
    <row r="120">
      <c r="A120" s="8" t="n">
        <v>482</v>
      </c>
      <c r="B120" s="8" t="inlineStr">
        <is>
          <t>TRANSFER</t>
        </is>
      </c>
      <c r="C120" s="9" t="n">
        <v>732198.35</v>
      </c>
      <c r="D120" s="8" t="inlineStr">
        <is>
          <t>C1898408959</t>
        </is>
      </c>
      <c r="E120" s="9" t="n">
        <v>732198.35</v>
      </c>
      <c r="F120" s="9" t="n">
        <v>0</v>
      </c>
      <c r="G120" s="8" t="inlineStr">
        <is>
          <t>C38559733</t>
        </is>
      </c>
      <c r="H120" s="9" t="n">
        <v>0</v>
      </c>
      <c r="I120" s="9" t="n">
        <v>0</v>
      </c>
      <c r="J120" s="11" t="n">
        <v>1</v>
      </c>
      <c r="K120" s="8" t="n">
        <v>0</v>
      </c>
      <c r="L120" s="8" t="n">
        <v>1</v>
      </c>
      <c r="M120" s="9" t="n">
        <v>732198.35</v>
      </c>
      <c r="N120" s="9" t="n">
        <v>0</v>
      </c>
      <c r="O120" s="9" t="n">
        <v>732198.35</v>
      </c>
      <c r="P120" s="8" t="n">
        <v>1</v>
      </c>
      <c r="Q120" s="8" t="n">
        <v>1</v>
      </c>
    </row>
    <row r="121">
      <c r="A121" s="8" t="n">
        <v>212</v>
      </c>
      <c r="B121" s="8" t="inlineStr">
        <is>
          <t>CASH_OUT</t>
        </is>
      </c>
      <c r="C121" s="9" t="n">
        <v>362988.52</v>
      </c>
      <c r="D121" s="8" t="inlineStr">
        <is>
          <t>C739877872</t>
        </is>
      </c>
      <c r="E121" s="9" t="n">
        <v>362988.52</v>
      </c>
      <c r="F121" s="9" t="n">
        <v>0</v>
      </c>
      <c r="G121" s="8" t="inlineStr">
        <is>
          <t>C1957802478</t>
        </is>
      </c>
      <c r="H121" s="9" t="n">
        <v>2158316.76</v>
      </c>
      <c r="I121" s="9" t="n">
        <v>2521305.27</v>
      </c>
      <c r="J121" s="11" t="n">
        <v>1</v>
      </c>
      <c r="K121" s="8" t="n">
        <v>0</v>
      </c>
      <c r="L121" s="8" t="n">
        <v>1</v>
      </c>
      <c r="M121" s="9" t="n">
        <v>1795328.24</v>
      </c>
      <c r="N121" s="9" t="n">
        <v>0</v>
      </c>
      <c r="O121" s="9" t="n">
        <v>0.01</v>
      </c>
      <c r="P121" s="8" t="n">
        <v>1</v>
      </c>
      <c r="Q121" s="8" t="n">
        <v>1</v>
      </c>
    </row>
    <row r="122">
      <c r="A122" s="8" t="n">
        <v>206</v>
      </c>
      <c r="B122" s="8" t="inlineStr">
        <is>
          <t>PAYMENT</t>
        </is>
      </c>
      <c r="C122" s="9" t="n">
        <v>1565.64</v>
      </c>
      <c r="D122" s="8" t="inlineStr">
        <is>
          <t>C1714134128</t>
        </is>
      </c>
      <c r="E122" s="9" t="n">
        <v>16351.24</v>
      </c>
      <c r="F122" s="9" t="n">
        <v>14785.59</v>
      </c>
      <c r="G122" s="8" t="inlineStr">
        <is>
          <t>M1733917208</t>
        </is>
      </c>
      <c r="H122" s="9" t="n">
        <v>0</v>
      </c>
      <c r="I122" s="9" t="n">
        <v>0</v>
      </c>
      <c r="J122" s="10" t="n">
        <v>0</v>
      </c>
      <c r="K122" s="8" t="n">
        <v>1</v>
      </c>
      <c r="L122" s="8" t="n">
        <v>0</v>
      </c>
      <c r="M122" s="9" t="n">
        <v>16351.24</v>
      </c>
      <c r="N122" s="9" t="n">
        <v>-0.01</v>
      </c>
      <c r="O122" s="9" t="n">
        <v>1565.64</v>
      </c>
      <c r="P122" s="8" t="n">
        <v>0</v>
      </c>
      <c r="Q122" s="8" t="n">
        <v>1</v>
      </c>
    </row>
    <row r="123">
      <c r="A123" s="8" t="n">
        <v>12</v>
      </c>
      <c r="B123" s="8" t="inlineStr">
        <is>
          <t>CASH_OUT</t>
        </is>
      </c>
      <c r="C123" s="9" t="n">
        <v>11284.25</v>
      </c>
      <c r="D123" s="8" t="inlineStr">
        <is>
          <t>C1599396990</t>
        </is>
      </c>
      <c r="E123" s="9" t="n">
        <v>0</v>
      </c>
      <c r="F123" s="9" t="n">
        <v>0</v>
      </c>
      <c r="G123" s="8" t="inlineStr">
        <is>
          <t>C613154714</t>
        </is>
      </c>
      <c r="H123" s="9" t="n">
        <v>29383</v>
      </c>
      <c r="I123" s="9" t="n">
        <v>829670.66</v>
      </c>
      <c r="J123" s="10" t="n">
        <v>0</v>
      </c>
      <c r="K123" s="8" t="n">
        <v>0</v>
      </c>
      <c r="L123" s="8" t="n">
        <v>1</v>
      </c>
      <c r="M123" s="9" t="n">
        <v>29383</v>
      </c>
      <c r="N123" s="9" t="n">
        <v>11284.25</v>
      </c>
      <c r="O123" s="9" t="n">
        <v>-789003.41</v>
      </c>
      <c r="P123" s="8" t="n">
        <v>1</v>
      </c>
      <c r="Q123" s="8" t="n">
        <v>0</v>
      </c>
    </row>
    <row r="124">
      <c r="A124" s="8" t="n">
        <v>397</v>
      </c>
      <c r="B124" s="8" t="inlineStr">
        <is>
          <t>CASH_IN</t>
        </is>
      </c>
      <c r="C124" s="9" t="n">
        <v>302487.17</v>
      </c>
      <c r="D124" s="8" t="inlineStr">
        <is>
          <t>C998405255</t>
        </is>
      </c>
      <c r="E124" s="9" t="n">
        <v>6353104.27</v>
      </c>
      <c r="F124" s="9" t="n">
        <v>6655591.44</v>
      </c>
      <c r="G124" s="8" t="inlineStr">
        <is>
          <t>C1259235834</t>
        </is>
      </c>
      <c r="H124" s="9" t="n">
        <v>1143877.83</v>
      </c>
      <c r="I124" s="9" t="n">
        <v>841390.67</v>
      </c>
      <c r="J124" s="10" t="n">
        <v>0</v>
      </c>
      <c r="K124" s="8" t="n">
        <v>0</v>
      </c>
      <c r="L124" s="8" t="n">
        <v>0</v>
      </c>
      <c r="M124" s="9" t="n">
        <v>5209226.44</v>
      </c>
      <c r="N124" s="9" t="n">
        <v>604974.34</v>
      </c>
      <c r="O124" s="9" t="n">
        <v>604974.33</v>
      </c>
      <c r="P124" s="8" t="n">
        <v>1</v>
      </c>
      <c r="Q124" s="8" t="n">
        <v>0</v>
      </c>
    </row>
    <row r="125">
      <c r="A125" s="8" t="n">
        <v>332</v>
      </c>
      <c r="B125" s="8" t="inlineStr">
        <is>
          <t>CASH_OUT</t>
        </is>
      </c>
      <c r="C125" s="9" t="n">
        <v>127564.01</v>
      </c>
      <c r="D125" s="8" t="inlineStr">
        <is>
          <t>C1802205730</t>
        </is>
      </c>
      <c r="E125" s="9" t="n">
        <v>0</v>
      </c>
      <c r="F125" s="9" t="n">
        <v>0</v>
      </c>
      <c r="G125" s="8" t="inlineStr">
        <is>
          <t>C1913313243</t>
        </is>
      </c>
      <c r="H125" s="9" t="n">
        <v>3180050.13</v>
      </c>
      <c r="I125" s="9" t="n">
        <v>3307614.14</v>
      </c>
      <c r="J125" s="10" t="n">
        <v>0</v>
      </c>
      <c r="K125" s="8" t="n">
        <v>0</v>
      </c>
      <c r="L125" s="8" t="n">
        <v>1</v>
      </c>
      <c r="M125" s="9" t="n">
        <v>3180050.13</v>
      </c>
      <c r="N125" s="9" t="n">
        <v>127564.01</v>
      </c>
      <c r="O125" s="9" t="n">
        <v>-0</v>
      </c>
      <c r="P125" s="8" t="n">
        <v>1</v>
      </c>
      <c r="Q125" s="8" t="n">
        <v>0</v>
      </c>
    </row>
    <row r="126">
      <c r="A126" s="8" t="n">
        <v>358</v>
      </c>
      <c r="B126" s="8" t="inlineStr">
        <is>
          <t>CASH_IN</t>
        </is>
      </c>
      <c r="C126" s="9" t="n">
        <v>154357.21</v>
      </c>
      <c r="D126" s="8" t="inlineStr">
        <is>
          <t>C1791315961</t>
        </is>
      </c>
      <c r="E126" s="9" t="n">
        <v>399459.94</v>
      </c>
      <c r="F126" s="9" t="n">
        <v>553817.15</v>
      </c>
      <c r="G126" s="8" t="inlineStr">
        <is>
          <t>C318179364</t>
        </is>
      </c>
      <c r="H126" s="9" t="n">
        <v>5357425.02</v>
      </c>
      <c r="I126" s="9" t="n">
        <v>5203067.81</v>
      </c>
      <c r="J126" s="10" t="n">
        <v>0</v>
      </c>
      <c r="K126" s="8" t="n">
        <v>0</v>
      </c>
      <c r="L126" s="8" t="n">
        <v>0</v>
      </c>
      <c r="M126" s="9" t="n">
        <v>4957965.079999999</v>
      </c>
      <c r="N126" s="9" t="n">
        <v>308714.42</v>
      </c>
      <c r="O126" s="9" t="n">
        <v>308714.42</v>
      </c>
      <c r="P126" s="8" t="n">
        <v>1</v>
      </c>
      <c r="Q126" s="8" t="n">
        <v>0</v>
      </c>
    </row>
    <row r="127">
      <c r="A127" s="8" t="n">
        <v>7</v>
      </c>
      <c r="B127" s="8" t="inlineStr">
        <is>
          <t>PAYMENT</t>
        </is>
      </c>
      <c r="C127" s="9" t="n">
        <v>8406.67</v>
      </c>
      <c r="D127" s="8" t="inlineStr">
        <is>
          <t>C2012087675</t>
        </is>
      </c>
      <c r="E127" s="9" t="n">
        <v>9263</v>
      </c>
      <c r="F127" s="9" t="n">
        <v>856.33</v>
      </c>
      <c r="G127" s="8" t="inlineStr">
        <is>
          <t>M1256815829</t>
        </is>
      </c>
      <c r="H127" s="9" t="n">
        <v>0</v>
      </c>
      <c r="I127" s="9" t="n">
        <v>0</v>
      </c>
      <c r="J127" s="10" t="n">
        <v>0</v>
      </c>
      <c r="K127" s="8" t="n">
        <v>1</v>
      </c>
      <c r="L127" s="8" t="n">
        <v>0</v>
      </c>
      <c r="M127" s="9" t="n">
        <v>9263</v>
      </c>
      <c r="N127" s="9" t="n">
        <v>0</v>
      </c>
      <c r="O127" s="9" t="n">
        <v>8406.67</v>
      </c>
      <c r="P127" s="8" t="n">
        <v>0</v>
      </c>
      <c r="Q127" s="8" t="n">
        <v>1</v>
      </c>
    </row>
    <row r="128">
      <c r="A128" s="8" t="n">
        <v>263</v>
      </c>
      <c r="B128" s="8" t="inlineStr">
        <is>
          <t>CASH_IN</t>
        </is>
      </c>
      <c r="C128" s="9" t="n">
        <v>14319.86</v>
      </c>
      <c r="D128" s="8" t="inlineStr">
        <is>
          <t>C15282076</t>
        </is>
      </c>
      <c r="E128" s="9" t="n">
        <v>20661</v>
      </c>
      <c r="F128" s="9" t="n">
        <v>34980.86</v>
      </c>
      <c r="G128" s="8" t="inlineStr">
        <is>
          <t>C1050364398</t>
        </is>
      </c>
      <c r="H128" s="9" t="n">
        <v>0</v>
      </c>
      <c r="I128" s="9" t="n">
        <v>0</v>
      </c>
      <c r="J128" s="10" t="n">
        <v>0</v>
      </c>
      <c r="K128" s="8" t="n">
        <v>0</v>
      </c>
      <c r="L128" s="8" t="n">
        <v>0</v>
      </c>
      <c r="M128" s="9" t="n">
        <v>20661</v>
      </c>
      <c r="N128" s="9" t="n">
        <v>28639.72</v>
      </c>
      <c r="O128" s="9" t="n">
        <v>14319.86</v>
      </c>
      <c r="P128" s="8" t="n">
        <v>1</v>
      </c>
      <c r="Q128" s="8" t="n">
        <v>0</v>
      </c>
    </row>
    <row r="129">
      <c r="A129" s="8" t="n">
        <v>321</v>
      </c>
      <c r="B129" s="8" t="inlineStr">
        <is>
          <t>CASH_OUT</t>
        </is>
      </c>
      <c r="C129" s="9" t="n">
        <v>59628.24</v>
      </c>
      <c r="D129" s="8" t="inlineStr">
        <is>
          <t>C1826008632</t>
        </is>
      </c>
      <c r="E129" s="9" t="n">
        <v>59628.24</v>
      </c>
      <c r="F129" s="9" t="n">
        <v>0</v>
      </c>
      <c r="G129" s="8" t="inlineStr">
        <is>
          <t>C1992468113</t>
        </is>
      </c>
      <c r="H129" s="9" t="n">
        <v>686111.28</v>
      </c>
      <c r="I129" s="9" t="n">
        <v>745739.53</v>
      </c>
      <c r="J129" s="11" t="n">
        <v>1</v>
      </c>
      <c r="K129" s="8" t="n">
        <v>0</v>
      </c>
      <c r="L129" s="8" t="n">
        <v>1</v>
      </c>
      <c r="M129" s="9" t="n">
        <v>626483.04</v>
      </c>
      <c r="N129" s="9" t="n">
        <v>0</v>
      </c>
      <c r="O129" s="9" t="n">
        <v>-0.01</v>
      </c>
      <c r="P129" s="8" t="n">
        <v>1</v>
      </c>
      <c r="Q129" s="8" t="n">
        <v>1</v>
      </c>
    </row>
    <row r="130">
      <c r="A130" s="8" t="n">
        <v>380</v>
      </c>
      <c r="B130" s="8" t="inlineStr">
        <is>
          <t>CASH_IN</t>
        </is>
      </c>
      <c r="C130" s="9" t="n">
        <v>386910.41</v>
      </c>
      <c r="D130" s="8" t="inlineStr">
        <is>
          <t>C1798155382</t>
        </is>
      </c>
      <c r="E130" s="9" t="n">
        <v>6597012.45</v>
      </c>
      <c r="F130" s="9" t="n">
        <v>6983922.86</v>
      </c>
      <c r="G130" s="8" t="inlineStr">
        <is>
          <t>C1684459829</t>
        </is>
      </c>
      <c r="H130" s="9" t="n">
        <v>590694.03</v>
      </c>
      <c r="I130" s="9" t="n">
        <v>203783.62</v>
      </c>
      <c r="J130" s="10" t="n">
        <v>0</v>
      </c>
      <c r="K130" s="8" t="n">
        <v>0</v>
      </c>
      <c r="L130" s="8" t="n">
        <v>0</v>
      </c>
      <c r="M130" s="9" t="n">
        <v>6006318.42</v>
      </c>
      <c r="N130" s="9" t="n">
        <v>773820.8199999999</v>
      </c>
      <c r="O130" s="9" t="n">
        <v>773820.8199999999</v>
      </c>
      <c r="P130" s="8" t="n">
        <v>1</v>
      </c>
      <c r="Q130" s="8" t="n">
        <v>0</v>
      </c>
    </row>
    <row r="131">
      <c r="A131" s="8" t="n">
        <v>329</v>
      </c>
      <c r="B131" s="8" t="inlineStr">
        <is>
          <t>CASH_OUT</t>
        </is>
      </c>
      <c r="C131" s="9" t="n">
        <v>84312.28999999999</v>
      </c>
      <c r="D131" s="8" t="inlineStr">
        <is>
          <t>C1963429607</t>
        </is>
      </c>
      <c r="E131" s="9" t="n">
        <v>84312.28999999999</v>
      </c>
      <c r="F131" s="9" t="n">
        <v>0</v>
      </c>
      <c r="G131" s="8" t="inlineStr">
        <is>
          <t>C1947737398</t>
        </is>
      </c>
      <c r="H131" s="9" t="n">
        <v>121545.95</v>
      </c>
      <c r="I131" s="9" t="n">
        <v>205858.24</v>
      </c>
      <c r="J131" s="11" t="n">
        <v>1</v>
      </c>
      <c r="K131" s="8" t="n">
        <v>0</v>
      </c>
      <c r="L131" s="8" t="n">
        <v>1</v>
      </c>
      <c r="M131" s="9" t="n">
        <v>37233.66</v>
      </c>
      <c r="N131" s="9" t="n">
        <v>0</v>
      </c>
      <c r="O131" s="9" t="n">
        <v>0</v>
      </c>
      <c r="P131" s="8" t="n">
        <v>1</v>
      </c>
      <c r="Q131" s="8" t="n">
        <v>1</v>
      </c>
    </row>
    <row r="132">
      <c r="A132" s="8" t="n">
        <v>307</v>
      </c>
      <c r="B132" s="8" t="inlineStr">
        <is>
          <t>PAYMENT</t>
        </is>
      </c>
      <c r="C132" s="9" t="n">
        <v>25192.92</v>
      </c>
      <c r="D132" s="8" t="inlineStr">
        <is>
          <t>C1564184156</t>
        </is>
      </c>
      <c r="E132" s="9" t="n">
        <v>35890</v>
      </c>
      <c r="F132" s="9" t="n">
        <v>10697.08</v>
      </c>
      <c r="G132" s="8" t="inlineStr">
        <is>
          <t>M446319035</t>
        </is>
      </c>
      <c r="H132" s="9" t="n">
        <v>0</v>
      </c>
      <c r="I132" s="9" t="n">
        <v>0</v>
      </c>
      <c r="J132" s="10" t="n">
        <v>0</v>
      </c>
      <c r="K132" s="8" t="n">
        <v>1</v>
      </c>
      <c r="L132" s="8" t="n">
        <v>0</v>
      </c>
      <c r="M132" s="9" t="n">
        <v>35890</v>
      </c>
      <c r="N132" s="9" t="n">
        <v>0</v>
      </c>
      <c r="O132" s="9" t="n">
        <v>25192.92</v>
      </c>
      <c r="P132" s="8" t="n">
        <v>0</v>
      </c>
      <c r="Q132" s="8" t="n">
        <v>1</v>
      </c>
    </row>
    <row r="133">
      <c r="A133" s="8" t="n">
        <v>39</v>
      </c>
      <c r="B133" s="8" t="inlineStr">
        <is>
          <t>PAYMENT</t>
        </is>
      </c>
      <c r="C133" s="9" t="n">
        <v>9185.5</v>
      </c>
      <c r="D133" s="8" t="inlineStr">
        <is>
          <t>C1850641138</t>
        </is>
      </c>
      <c r="E133" s="9" t="n">
        <v>0</v>
      </c>
      <c r="F133" s="9" t="n">
        <v>0</v>
      </c>
      <c r="G133" s="8" t="inlineStr">
        <is>
          <t>M1306049591</t>
        </is>
      </c>
      <c r="H133" s="9" t="n">
        <v>0</v>
      </c>
      <c r="I133" s="9" t="n">
        <v>0</v>
      </c>
      <c r="J133" s="10" t="n">
        <v>0</v>
      </c>
      <c r="K133" s="8" t="n">
        <v>1</v>
      </c>
      <c r="L133" s="8" t="n">
        <v>0</v>
      </c>
      <c r="M133" s="9" t="n">
        <v>0</v>
      </c>
      <c r="N133" s="9" t="n">
        <v>9185.5</v>
      </c>
      <c r="O133" s="9" t="n">
        <v>9185.5</v>
      </c>
      <c r="P133" s="8" t="n">
        <v>0</v>
      </c>
      <c r="Q133" s="8" t="n">
        <v>0</v>
      </c>
    </row>
    <row r="134">
      <c r="A134" s="8" t="n">
        <v>323</v>
      </c>
      <c r="B134" s="8" t="inlineStr">
        <is>
          <t>CASH_IN</t>
        </is>
      </c>
      <c r="C134" s="9" t="n">
        <v>49527.99</v>
      </c>
      <c r="D134" s="8" t="inlineStr">
        <is>
          <t>C193627389</t>
        </is>
      </c>
      <c r="E134" s="9" t="n">
        <v>1795262.06</v>
      </c>
      <c r="F134" s="9" t="n">
        <v>1844790.05</v>
      </c>
      <c r="G134" s="8" t="inlineStr">
        <is>
          <t>C1701860507</t>
        </is>
      </c>
      <c r="H134" s="9" t="n">
        <v>1153660.8</v>
      </c>
      <c r="I134" s="9" t="n">
        <v>1104132.82</v>
      </c>
      <c r="J134" s="10" t="n">
        <v>0</v>
      </c>
      <c r="K134" s="8" t="n">
        <v>0</v>
      </c>
      <c r="L134" s="8" t="n">
        <v>0</v>
      </c>
      <c r="M134" s="9" t="n">
        <v>641601.26</v>
      </c>
      <c r="N134" s="9" t="n">
        <v>99055.98</v>
      </c>
      <c r="O134" s="9" t="n">
        <v>99055.97</v>
      </c>
      <c r="P134" s="8" t="n">
        <v>1</v>
      </c>
      <c r="Q134" s="8" t="n">
        <v>0</v>
      </c>
    </row>
    <row r="135">
      <c r="A135" s="8" t="n">
        <v>160</v>
      </c>
      <c r="B135" s="8" t="inlineStr">
        <is>
          <t>CASH_IN</t>
        </is>
      </c>
      <c r="C135" s="9" t="n">
        <v>90668.57000000001</v>
      </c>
      <c r="D135" s="8" t="inlineStr">
        <is>
          <t>C1671556990</t>
        </is>
      </c>
      <c r="E135" s="9" t="n">
        <v>69879</v>
      </c>
      <c r="F135" s="9" t="n">
        <v>160547.57</v>
      </c>
      <c r="G135" s="8" t="inlineStr">
        <is>
          <t>C1619402333</t>
        </is>
      </c>
      <c r="H135" s="9" t="n">
        <v>18642367.5</v>
      </c>
      <c r="I135" s="9" t="n">
        <v>18551698.93</v>
      </c>
      <c r="J135" s="10" t="n">
        <v>0</v>
      </c>
      <c r="K135" s="8" t="n">
        <v>0</v>
      </c>
      <c r="L135" s="8" t="n">
        <v>0</v>
      </c>
      <c r="M135" s="9" t="n">
        <v>18572488.5</v>
      </c>
      <c r="N135" s="9" t="n">
        <v>181337.14</v>
      </c>
      <c r="O135" s="9" t="n">
        <v>181337.14</v>
      </c>
      <c r="P135" s="8" t="n">
        <v>1</v>
      </c>
      <c r="Q135" s="8" t="n">
        <v>0</v>
      </c>
    </row>
    <row r="136">
      <c r="A136" s="8" t="n">
        <v>371</v>
      </c>
      <c r="B136" s="8" t="inlineStr">
        <is>
          <t>CASH_IN</t>
        </is>
      </c>
      <c r="C136" s="9" t="n">
        <v>148806.1</v>
      </c>
      <c r="D136" s="8" t="inlineStr">
        <is>
          <t>C429490487</t>
        </is>
      </c>
      <c r="E136" s="9" t="n">
        <v>1474002.29</v>
      </c>
      <c r="F136" s="9" t="n">
        <v>1622808.38</v>
      </c>
      <c r="G136" s="8" t="inlineStr">
        <is>
          <t>C881121415</t>
        </is>
      </c>
      <c r="H136" s="9" t="n">
        <v>6706288.14</v>
      </c>
      <c r="I136" s="9" t="n">
        <v>6557482.04</v>
      </c>
      <c r="J136" s="10" t="n">
        <v>0</v>
      </c>
      <c r="K136" s="8" t="n">
        <v>0</v>
      </c>
      <c r="L136" s="8" t="n">
        <v>0</v>
      </c>
      <c r="M136" s="9" t="n">
        <v>5232285.85</v>
      </c>
      <c r="N136" s="9" t="n">
        <v>297612.19</v>
      </c>
      <c r="O136" s="9" t="n">
        <v>297612.2</v>
      </c>
      <c r="P136" s="8" t="n">
        <v>1</v>
      </c>
      <c r="Q136" s="8" t="n">
        <v>0</v>
      </c>
    </row>
    <row r="137">
      <c r="A137" s="8" t="n">
        <v>199</v>
      </c>
      <c r="B137" s="8" t="inlineStr">
        <is>
          <t>TRANSFER</t>
        </is>
      </c>
      <c r="C137" s="9" t="n">
        <v>80885.48</v>
      </c>
      <c r="D137" s="8" t="inlineStr">
        <is>
          <t>C1191502221</t>
        </is>
      </c>
      <c r="E137" s="9" t="n">
        <v>80885.48</v>
      </c>
      <c r="F137" s="9" t="n">
        <v>0</v>
      </c>
      <c r="G137" s="8" t="inlineStr">
        <is>
          <t>C1529468994</t>
        </is>
      </c>
      <c r="H137" s="9" t="n">
        <v>0</v>
      </c>
      <c r="I137" s="9" t="n">
        <v>0</v>
      </c>
      <c r="J137" s="11" t="n">
        <v>1</v>
      </c>
      <c r="K137" s="8" t="n">
        <v>0</v>
      </c>
      <c r="L137" s="8" t="n">
        <v>1</v>
      </c>
      <c r="M137" s="9" t="n">
        <v>80885.48</v>
      </c>
      <c r="N137" s="9" t="n">
        <v>0</v>
      </c>
      <c r="O137" s="9" t="n">
        <v>80885.48</v>
      </c>
      <c r="P137" s="8" t="n">
        <v>1</v>
      </c>
      <c r="Q137" s="8" t="n">
        <v>1</v>
      </c>
    </row>
    <row r="138">
      <c r="A138" s="8" t="n">
        <v>570</v>
      </c>
      <c r="B138" s="8" t="inlineStr">
        <is>
          <t>PAYMENT</t>
        </is>
      </c>
      <c r="C138" s="9" t="n">
        <v>8205.110000000001</v>
      </c>
      <c r="D138" s="8" t="inlineStr">
        <is>
          <t>C1307029746</t>
        </is>
      </c>
      <c r="E138" s="9" t="n">
        <v>5719</v>
      </c>
      <c r="F138" s="9" t="n">
        <v>0</v>
      </c>
      <c r="G138" s="8" t="inlineStr">
        <is>
          <t>M1577962956</t>
        </is>
      </c>
      <c r="H138" s="9" t="n">
        <v>0</v>
      </c>
      <c r="I138" s="9" t="n">
        <v>0</v>
      </c>
      <c r="J138" s="10" t="n">
        <v>0</v>
      </c>
      <c r="K138" s="8" t="n">
        <v>1</v>
      </c>
      <c r="L138" s="8" t="n">
        <v>0</v>
      </c>
      <c r="M138" s="9" t="n">
        <v>5719</v>
      </c>
      <c r="N138" s="9" t="n">
        <v>2486.11</v>
      </c>
      <c r="O138" s="9" t="n">
        <v>8205.110000000001</v>
      </c>
      <c r="P138" s="8" t="n">
        <v>0</v>
      </c>
      <c r="Q138" s="8" t="n">
        <v>0</v>
      </c>
    </row>
    <row r="139">
      <c r="A139" s="8" t="n">
        <v>136</v>
      </c>
      <c r="B139" s="8" t="inlineStr">
        <is>
          <t>CASH_IN</t>
        </is>
      </c>
      <c r="C139" s="9" t="n">
        <v>256127.11</v>
      </c>
      <c r="D139" s="8" t="inlineStr">
        <is>
          <t>C1596319654</t>
        </is>
      </c>
      <c r="E139" s="9" t="n">
        <v>5522348.32</v>
      </c>
      <c r="F139" s="9" t="n">
        <v>5778475.43</v>
      </c>
      <c r="G139" s="8" t="inlineStr">
        <is>
          <t>C109198669</t>
        </is>
      </c>
      <c r="H139" s="9" t="n">
        <v>2648921.52</v>
      </c>
      <c r="I139" s="9" t="n">
        <v>2392794.4</v>
      </c>
      <c r="J139" s="10" t="n">
        <v>0</v>
      </c>
      <c r="K139" s="8" t="n">
        <v>0</v>
      </c>
      <c r="L139" s="8" t="n">
        <v>0</v>
      </c>
      <c r="M139" s="9" t="n">
        <v>2873426.8</v>
      </c>
      <c r="N139" s="9" t="n">
        <v>512254.22</v>
      </c>
      <c r="O139" s="9" t="n">
        <v>512254.23</v>
      </c>
      <c r="P139" s="8" t="n">
        <v>1</v>
      </c>
      <c r="Q139" s="8" t="n">
        <v>0</v>
      </c>
    </row>
    <row r="140">
      <c r="A140" s="8" t="n">
        <v>640</v>
      </c>
      <c r="B140" s="8" t="inlineStr">
        <is>
          <t>TRANSFER</t>
        </is>
      </c>
      <c r="C140" s="9" t="n">
        <v>49871.73</v>
      </c>
      <c r="D140" s="8" t="inlineStr">
        <is>
          <t>C1236485428</t>
        </is>
      </c>
      <c r="E140" s="9" t="n">
        <v>49871.73</v>
      </c>
      <c r="F140" s="9" t="n">
        <v>0</v>
      </c>
      <c r="G140" s="8" t="inlineStr">
        <is>
          <t>C1412551637</t>
        </is>
      </c>
      <c r="H140" s="9" t="n">
        <v>0</v>
      </c>
      <c r="I140" s="9" t="n">
        <v>0</v>
      </c>
      <c r="J140" s="11" t="n">
        <v>1</v>
      </c>
      <c r="K140" s="8" t="n">
        <v>0</v>
      </c>
      <c r="L140" s="8" t="n">
        <v>1</v>
      </c>
      <c r="M140" s="9" t="n">
        <v>49871.73</v>
      </c>
      <c r="N140" s="9" t="n">
        <v>0</v>
      </c>
      <c r="O140" s="9" t="n">
        <v>49871.73</v>
      </c>
      <c r="P140" s="8" t="n">
        <v>1</v>
      </c>
      <c r="Q140" s="8" t="n">
        <v>1</v>
      </c>
    </row>
    <row r="141">
      <c r="A141" s="8" t="n">
        <v>129</v>
      </c>
      <c r="B141" s="8" t="inlineStr">
        <is>
          <t>TRANSFER</t>
        </is>
      </c>
      <c r="C141" s="9" t="n">
        <v>617668.37</v>
      </c>
      <c r="D141" s="8" t="inlineStr">
        <is>
          <t>C511096622</t>
        </is>
      </c>
      <c r="E141" s="9" t="n">
        <v>617668.37</v>
      </c>
      <c r="F141" s="9" t="n">
        <v>0</v>
      </c>
      <c r="G141" s="8" t="inlineStr">
        <is>
          <t>C1787080738</t>
        </is>
      </c>
      <c r="H141" s="9" t="n">
        <v>0</v>
      </c>
      <c r="I141" s="9" t="n">
        <v>0</v>
      </c>
      <c r="J141" s="11" t="n">
        <v>1</v>
      </c>
      <c r="K141" s="8" t="n">
        <v>0</v>
      </c>
      <c r="L141" s="8" t="n">
        <v>1</v>
      </c>
      <c r="M141" s="9" t="n">
        <v>617668.37</v>
      </c>
      <c r="N141" s="9" t="n">
        <v>0</v>
      </c>
      <c r="O141" s="9" t="n">
        <v>617668.37</v>
      </c>
      <c r="P141" s="8" t="n">
        <v>1</v>
      </c>
      <c r="Q141" s="8" t="n">
        <v>1</v>
      </c>
    </row>
    <row r="142">
      <c r="A142" s="8" t="n">
        <v>160</v>
      </c>
      <c r="B142" s="8" t="inlineStr">
        <is>
          <t>CASH_OUT</t>
        </is>
      </c>
      <c r="C142" s="9" t="n">
        <v>411134.37</v>
      </c>
      <c r="D142" s="8" t="inlineStr">
        <is>
          <t>C1095107801</t>
        </is>
      </c>
      <c r="E142" s="9" t="n">
        <v>0</v>
      </c>
      <c r="F142" s="9" t="n">
        <v>0</v>
      </c>
      <c r="G142" s="8" t="inlineStr">
        <is>
          <t>C399448561</t>
        </is>
      </c>
      <c r="H142" s="9" t="n">
        <v>4731390.53</v>
      </c>
      <c r="I142" s="9" t="n">
        <v>5142524.9</v>
      </c>
      <c r="J142" s="10" t="n">
        <v>0</v>
      </c>
      <c r="K142" s="8" t="n">
        <v>0</v>
      </c>
      <c r="L142" s="8" t="n">
        <v>1</v>
      </c>
      <c r="M142" s="9" t="n">
        <v>4731390.53</v>
      </c>
      <c r="N142" s="9" t="n">
        <v>411134.37</v>
      </c>
      <c r="O142" s="9" t="n">
        <v>0</v>
      </c>
      <c r="P142" s="8" t="n">
        <v>1</v>
      </c>
      <c r="Q142" s="8" t="n">
        <v>0</v>
      </c>
    </row>
    <row r="143">
      <c r="A143" s="8" t="n">
        <v>125</v>
      </c>
      <c r="B143" s="8" t="inlineStr">
        <is>
          <t>CASH_OUT</t>
        </is>
      </c>
      <c r="C143" s="9" t="n">
        <v>222097.11</v>
      </c>
      <c r="D143" s="8" t="inlineStr">
        <is>
          <t>C1167153094</t>
        </is>
      </c>
      <c r="E143" s="9" t="n">
        <v>222097.11</v>
      </c>
      <c r="F143" s="9" t="n">
        <v>0</v>
      </c>
      <c r="G143" s="8" t="inlineStr">
        <is>
          <t>C744862329</t>
        </is>
      </c>
      <c r="H143" s="9" t="n">
        <v>383533.13</v>
      </c>
      <c r="I143" s="9" t="n">
        <v>605630.23</v>
      </c>
      <c r="J143" s="11" t="n">
        <v>1</v>
      </c>
      <c r="K143" s="8" t="n">
        <v>0</v>
      </c>
      <c r="L143" s="8" t="n">
        <v>1</v>
      </c>
      <c r="M143" s="9" t="n">
        <v>161436.02</v>
      </c>
      <c r="N143" s="9" t="n">
        <v>0</v>
      </c>
      <c r="O143" s="9" t="n">
        <v>0.01</v>
      </c>
      <c r="P143" s="8" t="n">
        <v>1</v>
      </c>
      <c r="Q143" s="8" t="n">
        <v>1</v>
      </c>
    </row>
    <row r="144">
      <c r="A144" s="8" t="n">
        <v>203</v>
      </c>
      <c r="B144" s="8" t="inlineStr">
        <is>
          <t>PAYMENT</t>
        </is>
      </c>
      <c r="C144" s="9" t="n">
        <v>3282.66</v>
      </c>
      <c r="D144" s="8" t="inlineStr">
        <is>
          <t>C85909084</t>
        </is>
      </c>
      <c r="E144" s="9" t="n">
        <v>585567.84</v>
      </c>
      <c r="F144" s="9" t="n">
        <v>582285.17</v>
      </c>
      <c r="G144" s="8" t="inlineStr">
        <is>
          <t>M362273695</t>
        </is>
      </c>
      <c r="H144" s="9" t="n">
        <v>0</v>
      </c>
      <c r="I144" s="9" t="n">
        <v>0</v>
      </c>
      <c r="J144" s="10" t="n">
        <v>0</v>
      </c>
      <c r="K144" s="8" t="n">
        <v>1</v>
      </c>
      <c r="L144" s="8" t="n">
        <v>0</v>
      </c>
      <c r="M144" s="9" t="n">
        <v>585567.84</v>
      </c>
      <c r="N144" s="9" t="n">
        <v>-0.01</v>
      </c>
      <c r="O144" s="9" t="n">
        <v>3282.66</v>
      </c>
      <c r="P144" s="8" t="n">
        <v>0</v>
      </c>
      <c r="Q144" s="8" t="n">
        <v>1</v>
      </c>
    </row>
    <row r="145">
      <c r="A145" s="8" t="n">
        <v>251</v>
      </c>
      <c r="B145" s="8" t="inlineStr">
        <is>
          <t>CASH_IN</t>
        </is>
      </c>
      <c r="C145" s="9" t="n">
        <v>426353.1</v>
      </c>
      <c r="D145" s="8" t="inlineStr">
        <is>
          <t>C1925637479</t>
        </is>
      </c>
      <c r="E145" s="9" t="n">
        <v>107</v>
      </c>
      <c r="F145" s="9" t="n">
        <v>426460.1</v>
      </c>
      <c r="G145" s="8" t="inlineStr">
        <is>
          <t>C1350904200</t>
        </is>
      </c>
      <c r="H145" s="9" t="n">
        <v>330108.7</v>
      </c>
      <c r="I145" s="9" t="n">
        <v>0</v>
      </c>
      <c r="J145" s="10" t="n">
        <v>0</v>
      </c>
      <c r="K145" s="8" t="n">
        <v>0</v>
      </c>
      <c r="L145" s="8" t="n">
        <v>0</v>
      </c>
      <c r="M145" s="9" t="n">
        <v>330001.7</v>
      </c>
      <c r="N145" s="9" t="n">
        <v>852706.2</v>
      </c>
      <c r="O145" s="9" t="n">
        <v>756461.8</v>
      </c>
      <c r="P145" s="8" t="n">
        <v>1</v>
      </c>
      <c r="Q145" s="8" t="n">
        <v>0</v>
      </c>
    </row>
    <row r="146">
      <c r="A146" s="8" t="n">
        <v>347</v>
      </c>
      <c r="B146" s="8" t="inlineStr">
        <is>
          <t>CASH_OUT</t>
        </is>
      </c>
      <c r="C146" s="9" t="n">
        <v>195165.94</v>
      </c>
      <c r="D146" s="8" t="inlineStr">
        <is>
          <t>C1964219518</t>
        </is>
      </c>
      <c r="E146" s="9" t="n">
        <v>1373</v>
      </c>
      <c r="F146" s="9" t="n">
        <v>0</v>
      </c>
      <c r="G146" s="8" t="inlineStr">
        <is>
          <t>C1469059150</t>
        </is>
      </c>
      <c r="H146" s="9" t="n">
        <v>0</v>
      </c>
      <c r="I146" s="9" t="n">
        <v>195165.94</v>
      </c>
      <c r="J146" s="10" t="n">
        <v>0</v>
      </c>
      <c r="K146" s="8" t="n">
        <v>0</v>
      </c>
      <c r="L146" s="8" t="n">
        <v>1</v>
      </c>
      <c r="M146" s="9" t="n">
        <v>1373</v>
      </c>
      <c r="N146" s="9" t="n">
        <v>193792.94</v>
      </c>
      <c r="O146" s="9" t="n">
        <v>0</v>
      </c>
      <c r="P146" s="8" t="n">
        <v>1</v>
      </c>
      <c r="Q146" s="8" t="n">
        <v>0</v>
      </c>
    </row>
    <row r="147">
      <c r="A147" s="8" t="n">
        <v>17</v>
      </c>
      <c r="B147" s="8" t="inlineStr">
        <is>
          <t>CASH_OUT</t>
        </is>
      </c>
      <c r="C147" s="9" t="n">
        <v>59241.57</v>
      </c>
      <c r="D147" s="8" t="inlineStr">
        <is>
          <t>C1363322638</t>
        </is>
      </c>
      <c r="E147" s="9" t="n">
        <v>5178.83</v>
      </c>
      <c r="F147" s="9" t="n">
        <v>0</v>
      </c>
      <c r="G147" s="8" t="inlineStr">
        <is>
          <t>C1108587705</t>
        </is>
      </c>
      <c r="H147" s="9" t="n">
        <v>991123.88</v>
      </c>
      <c r="I147" s="9" t="n">
        <v>1050365.45</v>
      </c>
      <c r="J147" s="10" t="n">
        <v>0</v>
      </c>
      <c r="K147" s="8" t="n">
        <v>0</v>
      </c>
      <c r="L147" s="8" t="n">
        <v>1</v>
      </c>
      <c r="M147" s="9" t="n">
        <v>985945.05</v>
      </c>
      <c r="N147" s="9" t="n">
        <v>54062.74</v>
      </c>
      <c r="O147" s="9" t="n">
        <v>0</v>
      </c>
      <c r="P147" s="8" t="n">
        <v>1</v>
      </c>
      <c r="Q147" s="8" t="n">
        <v>0</v>
      </c>
    </row>
    <row r="148">
      <c r="A148" s="8" t="n">
        <v>164</v>
      </c>
      <c r="B148" s="8" t="inlineStr">
        <is>
          <t>CASH_OUT</t>
        </is>
      </c>
      <c r="C148" s="9" t="n">
        <v>25953.24</v>
      </c>
      <c r="D148" s="8" t="inlineStr">
        <is>
          <t>C895783952</t>
        </is>
      </c>
      <c r="E148" s="9" t="n">
        <v>0</v>
      </c>
      <c r="F148" s="9" t="n">
        <v>0</v>
      </c>
      <c r="G148" s="8" t="inlineStr">
        <is>
          <t>C240422971</t>
        </is>
      </c>
      <c r="H148" s="9" t="n">
        <v>918756.59</v>
      </c>
      <c r="I148" s="9" t="n">
        <v>944709.83</v>
      </c>
      <c r="J148" s="10" t="n">
        <v>0</v>
      </c>
      <c r="K148" s="8" t="n">
        <v>0</v>
      </c>
      <c r="L148" s="8" t="n">
        <v>1</v>
      </c>
      <c r="M148" s="9" t="n">
        <v>918756.59</v>
      </c>
      <c r="N148" s="9" t="n">
        <v>25953.24</v>
      </c>
      <c r="O148" s="9" t="n">
        <v>0</v>
      </c>
      <c r="P148" s="8" t="n">
        <v>1</v>
      </c>
      <c r="Q148" s="8" t="n">
        <v>0</v>
      </c>
    </row>
    <row r="149">
      <c r="A149" s="8" t="n">
        <v>251</v>
      </c>
      <c r="B149" s="8" t="inlineStr">
        <is>
          <t>CASH_OUT</t>
        </is>
      </c>
      <c r="C149" s="9" t="n">
        <v>753193.0600000001</v>
      </c>
      <c r="D149" s="8" t="inlineStr">
        <is>
          <t>C684495429</t>
        </is>
      </c>
      <c r="E149" s="9" t="n">
        <v>158425</v>
      </c>
      <c r="F149" s="9" t="n">
        <v>0</v>
      </c>
      <c r="G149" s="8" t="inlineStr">
        <is>
          <t>C1998332597</t>
        </is>
      </c>
      <c r="H149" s="9" t="n">
        <v>0</v>
      </c>
      <c r="I149" s="9" t="n">
        <v>753193.0600000001</v>
      </c>
      <c r="J149" s="10" t="n">
        <v>0</v>
      </c>
      <c r="K149" s="8" t="n">
        <v>0</v>
      </c>
      <c r="L149" s="8" t="n">
        <v>1</v>
      </c>
      <c r="M149" s="9" t="n">
        <v>158425</v>
      </c>
      <c r="N149" s="9" t="n">
        <v>594768.0600000001</v>
      </c>
      <c r="O149" s="9" t="n">
        <v>0</v>
      </c>
      <c r="P149" s="8" t="n">
        <v>1</v>
      </c>
      <c r="Q149" s="8" t="n">
        <v>0</v>
      </c>
    </row>
    <row r="150">
      <c r="A150" s="8" t="n">
        <v>324</v>
      </c>
      <c r="B150" s="8" t="inlineStr">
        <is>
          <t>CASH_OUT</t>
        </is>
      </c>
      <c r="C150" s="9" t="n">
        <v>43172.31</v>
      </c>
      <c r="D150" s="8" t="inlineStr">
        <is>
          <t>C980384959</t>
        </is>
      </c>
      <c r="E150" s="9" t="n">
        <v>19843</v>
      </c>
      <c r="F150" s="9" t="n">
        <v>0</v>
      </c>
      <c r="G150" s="8" t="inlineStr">
        <is>
          <t>C1104041201</t>
        </is>
      </c>
      <c r="H150" s="9" t="n">
        <v>1373108.51</v>
      </c>
      <c r="I150" s="9" t="n">
        <v>1416280.82</v>
      </c>
      <c r="J150" s="10" t="n">
        <v>0</v>
      </c>
      <c r="K150" s="8" t="n">
        <v>0</v>
      </c>
      <c r="L150" s="8" t="n">
        <v>1</v>
      </c>
      <c r="M150" s="9" t="n">
        <v>1353265.51</v>
      </c>
      <c r="N150" s="9" t="n">
        <v>23329.31</v>
      </c>
      <c r="O150" s="9" t="n">
        <v>0</v>
      </c>
      <c r="P150" s="8" t="n">
        <v>1</v>
      </c>
      <c r="Q150" s="8" t="n">
        <v>0</v>
      </c>
    </row>
    <row r="151">
      <c r="A151" s="8" t="n">
        <v>351</v>
      </c>
      <c r="B151" s="8" t="inlineStr">
        <is>
          <t>CASH_OUT</t>
        </is>
      </c>
      <c r="C151" s="9" t="n">
        <v>230612.44</v>
      </c>
      <c r="D151" s="8" t="inlineStr">
        <is>
          <t>C1877571369</t>
        </is>
      </c>
      <c r="E151" s="9" t="n">
        <v>20414</v>
      </c>
      <c r="F151" s="9" t="n">
        <v>0</v>
      </c>
      <c r="G151" s="8" t="inlineStr">
        <is>
          <t>C1746668387</t>
        </is>
      </c>
      <c r="H151" s="9" t="n">
        <v>367552.32</v>
      </c>
      <c r="I151" s="9" t="n">
        <v>598164.76</v>
      </c>
      <c r="J151" s="10" t="n">
        <v>0</v>
      </c>
      <c r="K151" s="8" t="n">
        <v>0</v>
      </c>
      <c r="L151" s="8" t="n">
        <v>1</v>
      </c>
      <c r="M151" s="9" t="n">
        <v>347138.32</v>
      </c>
      <c r="N151" s="9" t="n">
        <v>210198.44</v>
      </c>
      <c r="O151" s="9" t="n">
        <v>0</v>
      </c>
      <c r="P151" s="8" t="n">
        <v>1</v>
      </c>
      <c r="Q151" s="8" t="n">
        <v>0</v>
      </c>
    </row>
    <row r="152">
      <c r="A152" s="8" t="n">
        <v>657</v>
      </c>
      <c r="B152" s="8" t="inlineStr">
        <is>
          <t>TRANSFER</t>
        </is>
      </c>
      <c r="C152" s="9" t="n">
        <v>2333929.91</v>
      </c>
      <c r="D152" s="8" t="inlineStr">
        <is>
          <t>C178173239</t>
        </is>
      </c>
      <c r="E152" s="9" t="n">
        <v>2333929.91</v>
      </c>
      <c r="F152" s="9" t="n">
        <v>0</v>
      </c>
      <c r="G152" s="8" t="inlineStr">
        <is>
          <t>C271271665</t>
        </is>
      </c>
      <c r="H152" s="9" t="n">
        <v>0</v>
      </c>
      <c r="I152" s="9" t="n">
        <v>0</v>
      </c>
      <c r="J152" s="11" t="n">
        <v>1</v>
      </c>
      <c r="K152" s="8" t="n">
        <v>0</v>
      </c>
      <c r="L152" s="8" t="n">
        <v>1</v>
      </c>
      <c r="M152" s="9" t="n">
        <v>2333929.91</v>
      </c>
      <c r="N152" s="9" t="n">
        <v>0</v>
      </c>
      <c r="O152" s="9" t="n">
        <v>2333929.91</v>
      </c>
      <c r="P152" s="8" t="n">
        <v>1</v>
      </c>
      <c r="Q152" s="8" t="n">
        <v>1</v>
      </c>
    </row>
    <row r="153">
      <c r="A153" s="8" t="n">
        <v>226</v>
      </c>
      <c r="B153" s="8" t="inlineStr">
        <is>
          <t>TRANSFER</t>
        </is>
      </c>
      <c r="C153" s="9" t="n">
        <v>169473.59</v>
      </c>
      <c r="D153" s="8" t="inlineStr">
        <is>
          <t>C1095667842</t>
        </is>
      </c>
      <c r="E153" s="9" t="n">
        <v>0</v>
      </c>
      <c r="F153" s="9" t="n">
        <v>0</v>
      </c>
      <c r="G153" s="8" t="inlineStr">
        <is>
          <t>C1716074103</t>
        </is>
      </c>
      <c r="H153" s="9" t="n">
        <v>563483.6800000001</v>
      </c>
      <c r="I153" s="9" t="n">
        <v>732957.27</v>
      </c>
      <c r="J153" s="10" t="n">
        <v>0</v>
      </c>
      <c r="K153" s="8" t="n">
        <v>0</v>
      </c>
      <c r="L153" s="8" t="n">
        <v>1</v>
      </c>
      <c r="M153" s="9" t="n">
        <v>563483.6800000001</v>
      </c>
      <c r="N153" s="9" t="n">
        <v>169473.59</v>
      </c>
      <c r="O153" s="9" t="n">
        <v>0</v>
      </c>
      <c r="P153" s="8" t="n">
        <v>1</v>
      </c>
      <c r="Q153" s="8" t="n">
        <v>0</v>
      </c>
    </row>
    <row r="154">
      <c r="A154" s="8" t="n">
        <v>227</v>
      </c>
      <c r="B154" s="8" t="inlineStr">
        <is>
          <t>CASH_OUT</t>
        </is>
      </c>
      <c r="C154" s="9" t="n">
        <v>210.92</v>
      </c>
      <c r="D154" s="8" t="inlineStr">
        <is>
          <t>C332921972</t>
        </is>
      </c>
      <c r="E154" s="9" t="n">
        <v>210.92</v>
      </c>
      <c r="F154" s="9" t="n">
        <v>0</v>
      </c>
      <c r="G154" s="8" t="inlineStr">
        <is>
          <t>C814473635</t>
        </is>
      </c>
      <c r="H154" s="9" t="n">
        <v>3437310.4</v>
      </c>
      <c r="I154" s="9" t="n">
        <v>3437521.31</v>
      </c>
      <c r="J154" s="11" t="n">
        <v>1</v>
      </c>
      <c r="K154" s="8" t="n">
        <v>0</v>
      </c>
      <c r="L154" s="8" t="n">
        <v>1</v>
      </c>
      <c r="M154" s="9" t="n">
        <v>3437099.48</v>
      </c>
      <c r="N154" s="9" t="n">
        <v>0</v>
      </c>
      <c r="O154" s="9" t="n">
        <v>0.01</v>
      </c>
      <c r="P154" s="8" t="n">
        <v>1</v>
      </c>
      <c r="Q154" s="8" t="n">
        <v>1</v>
      </c>
    </row>
    <row r="155">
      <c r="A155" s="8" t="n">
        <v>410</v>
      </c>
      <c r="B155" s="8" t="inlineStr">
        <is>
          <t>CASH_OUT</t>
        </is>
      </c>
      <c r="C155" s="9" t="n">
        <v>2406332.79</v>
      </c>
      <c r="D155" s="8" t="inlineStr">
        <is>
          <t>C2090299993</t>
        </is>
      </c>
      <c r="E155" s="9" t="n">
        <v>2406332.79</v>
      </c>
      <c r="F155" s="9" t="n">
        <v>0</v>
      </c>
      <c r="G155" s="8" t="inlineStr">
        <is>
          <t>C1327141186</t>
        </is>
      </c>
      <c r="H155" s="9" t="n">
        <v>7523033.41</v>
      </c>
      <c r="I155" s="9" t="n">
        <v>9929366.199999999</v>
      </c>
      <c r="J155" s="11" t="n">
        <v>1</v>
      </c>
      <c r="K155" s="8" t="n">
        <v>0</v>
      </c>
      <c r="L155" s="8" t="n">
        <v>1</v>
      </c>
      <c r="M155" s="9" t="n">
        <v>5116700.62</v>
      </c>
      <c r="N155" s="9" t="n">
        <v>0</v>
      </c>
      <c r="O155" s="9" t="n">
        <v>0</v>
      </c>
      <c r="P155" s="8" t="n">
        <v>1</v>
      </c>
      <c r="Q155" s="8" t="n">
        <v>1</v>
      </c>
    </row>
    <row r="156">
      <c r="A156" s="8" t="n">
        <v>571</v>
      </c>
      <c r="B156" s="8" t="inlineStr">
        <is>
          <t>CASH_OUT</t>
        </is>
      </c>
      <c r="C156" s="9" t="n">
        <v>272637.22</v>
      </c>
      <c r="D156" s="8" t="inlineStr">
        <is>
          <t>C1856352651</t>
        </is>
      </c>
      <c r="E156" s="9" t="n">
        <v>272637.22</v>
      </c>
      <c r="F156" s="9" t="n">
        <v>0</v>
      </c>
      <c r="G156" s="8" t="inlineStr">
        <is>
          <t>C1424624531</t>
        </is>
      </c>
      <c r="H156" s="9" t="n">
        <v>1236830.95</v>
      </c>
      <c r="I156" s="9" t="n">
        <v>1509468.17</v>
      </c>
      <c r="J156" s="11" t="n">
        <v>1</v>
      </c>
      <c r="K156" s="8" t="n">
        <v>0</v>
      </c>
      <c r="L156" s="8" t="n">
        <v>1</v>
      </c>
      <c r="M156" s="9" t="n">
        <v>964193.73</v>
      </c>
      <c r="N156" s="9" t="n">
        <v>0</v>
      </c>
      <c r="O156" s="9" t="n">
        <v>0</v>
      </c>
      <c r="P156" s="8" t="n">
        <v>1</v>
      </c>
      <c r="Q156" s="8" t="n">
        <v>1</v>
      </c>
    </row>
    <row r="157">
      <c r="A157" s="8" t="n">
        <v>349</v>
      </c>
      <c r="B157" s="8" t="inlineStr">
        <is>
          <t>CASH_OUT</t>
        </is>
      </c>
      <c r="C157" s="9" t="n">
        <v>73649.28</v>
      </c>
      <c r="D157" s="8" t="inlineStr">
        <is>
          <t>C479976001</t>
        </is>
      </c>
      <c r="E157" s="9" t="n">
        <v>0</v>
      </c>
      <c r="F157" s="9" t="n">
        <v>0</v>
      </c>
      <c r="G157" s="8" t="inlineStr">
        <is>
          <t>C430400849</t>
        </is>
      </c>
      <c r="H157" s="9" t="n">
        <v>296632.82</v>
      </c>
      <c r="I157" s="9" t="n">
        <v>527035.71</v>
      </c>
      <c r="J157" s="10" t="n">
        <v>0</v>
      </c>
      <c r="K157" s="8" t="n">
        <v>0</v>
      </c>
      <c r="L157" s="8" t="n">
        <v>1</v>
      </c>
      <c r="M157" s="9" t="n">
        <v>296632.82</v>
      </c>
      <c r="N157" s="9" t="n">
        <v>73649.28</v>
      </c>
      <c r="O157" s="9" t="n">
        <v>-156753.61</v>
      </c>
      <c r="P157" s="8" t="n">
        <v>1</v>
      </c>
      <c r="Q157" s="8" t="n">
        <v>0</v>
      </c>
    </row>
    <row r="158">
      <c r="A158" s="8" t="n">
        <v>43</v>
      </c>
      <c r="B158" s="8" t="inlineStr">
        <is>
          <t>PAYMENT</t>
        </is>
      </c>
      <c r="C158" s="9" t="n">
        <v>5164.95</v>
      </c>
      <c r="D158" s="8" t="inlineStr">
        <is>
          <t>C29130306</t>
        </is>
      </c>
      <c r="E158" s="9" t="n">
        <v>10795</v>
      </c>
      <c r="F158" s="9" t="n">
        <v>5630.05</v>
      </c>
      <c r="G158" s="8" t="inlineStr">
        <is>
          <t>M1998481819</t>
        </is>
      </c>
      <c r="H158" s="9" t="n">
        <v>0</v>
      </c>
      <c r="I158" s="9" t="n">
        <v>0</v>
      </c>
      <c r="J158" s="10" t="n">
        <v>0</v>
      </c>
      <c r="K158" s="8" t="n">
        <v>1</v>
      </c>
      <c r="L158" s="8" t="n">
        <v>0</v>
      </c>
      <c r="M158" s="9" t="n">
        <v>10795</v>
      </c>
      <c r="N158" s="9" t="n">
        <v>0</v>
      </c>
      <c r="O158" s="9" t="n">
        <v>5164.95</v>
      </c>
      <c r="P158" s="8" t="n">
        <v>0</v>
      </c>
      <c r="Q158" s="8" t="n">
        <v>1</v>
      </c>
    </row>
    <row r="159">
      <c r="A159" s="8" t="n">
        <v>705</v>
      </c>
      <c r="B159" s="8" t="inlineStr">
        <is>
          <t>CASH_OUT</t>
        </is>
      </c>
      <c r="C159" s="9" t="n">
        <v>399738.3</v>
      </c>
      <c r="D159" s="8" t="inlineStr">
        <is>
          <t>C1992146440</t>
        </is>
      </c>
      <c r="E159" s="9" t="n">
        <v>15686</v>
      </c>
      <c r="F159" s="9" t="n">
        <v>0</v>
      </c>
      <c r="G159" s="8" t="inlineStr">
        <is>
          <t>C1509858731</t>
        </is>
      </c>
      <c r="H159" s="9" t="n">
        <v>208522.19</v>
      </c>
      <c r="I159" s="9" t="n">
        <v>608260.49</v>
      </c>
      <c r="J159" s="10" t="n">
        <v>0</v>
      </c>
      <c r="K159" s="8" t="n">
        <v>0</v>
      </c>
      <c r="L159" s="8" t="n">
        <v>1</v>
      </c>
      <c r="M159" s="9" t="n">
        <v>192836.19</v>
      </c>
      <c r="N159" s="9" t="n">
        <v>384052.3</v>
      </c>
      <c r="O159" s="9" t="n">
        <v>0</v>
      </c>
      <c r="P159" s="8" t="n">
        <v>1</v>
      </c>
      <c r="Q159" s="8" t="n">
        <v>0</v>
      </c>
    </row>
    <row r="160">
      <c r="A160" s="8" t="n">
        <v>299</v>
      </c>
      <c r="B160" s="8" t="inlineStr">
        <is>
          <t>PAYMENT</t>
        </is>
      </c>
      <c r="C160" s="9" t="n">
        <v>76894.32000000001</v>
      </c>
      <c r="D160" s="8" t="inlineStr">
        <is>
          <t>C421391010</t>
        </is>
      </c>
      <c r="E160" s="9" t="n">
        <v>8651</v>
      </c>
      <c r="F160" s="9" t="n">
        <v>0</v>
      </c>
      <c r="G160" s="8" t="inlineStr">
        <is>
          <t>M1023346479</t>
        </is>
      </c>
      <c r="H160" s="9" t="n">
        <v>0</v>
      </c>
      <c r="I160" s="9" t="n">
        <v>0</v>
      </c>
      <c r="J160" s="10" t="n">
        <v>0</v>
      </c>
      <c r="K160" s="8" t="n">
        <v>1</v>
      </c>
      <c r="L160" s="8" t="n">
        <v>0</v>
      </c>
      <c r="M160" s="9" t="n">
        <v>8651</v>
      </c>
      <c r="N160" s="9" t="n">
        <v>68243.32000000001</v>
      </c>
      <c r="O160" s="9" t="n">
        <v>76894.32000000001</v>
      </c>
      <c r="P160" s="8" t="n">
        <v>0</v>
      </c>
      <c r="Q160" s="8" t="n">
        <v>0</v>
      </c>
    </row>
    <row r="161">
      <c r="A161" s="8" t="n">
        <v>280</v>
      </c>
      <c r="B161" s="8" t="inlineStr">
        <is>
          <t>CASH_OUT</t>
        </is>
      </c>
      <c r="C161" s="9" t="n">
        <v>194561.33</v>
      </c>
      <c r="D161" s="8" t="inlineStr">
        <is>
          <t>C28040963</t>
        </is>
      </c>
      <c r="E161" s="9" t="n">
        <v>12078.1</v>
      </c>
      <c r="F161" s="9" t="n">
        <v>0</v>
      </c>
      <c r="G161" s="8" t="inlineStr">
        <is>
          <t>C869067123</t>
        </is>
      </c>
      <c r="H161" s="9" t="n">
        <v>494714.64</v>
      </c>
      <c r="I161" s="9" t="n">
        <v>689275.98</v>
      </c>
      <c r="J161" s="10" t="n">
        <v>0</v>
      </c>
      <c r="K161" s="8" t="n">
        <v>0</v>
      </c>
      <c r="L161" s="8" t="n">
        <v>1</v>
      </c>
      <c r="M161" s="9" t="n">
        <v>482636.54</v>
      </c>
      <c r="N161" s="9" t="n">
        <v>182483.23</v>
      </c>
      <c r="O161" s="9" t="n">
        <v>-0.01</v>
      </c>
      <c r="P161" s="8" t="n">
        <v>1</v>
      </c>
      <c r="Q161" s="8" t="n">
        <v>0</v>
      </c>
    </row>
    <row r="162">
      <c r="A162" s="8" t="n">
        <v>307</v>
      </c>
      <c r="B162" s="8" t="inlineStr">
        <is>
          <t>PAYMENT</t>
        </is>
      </c>
      <c r="C162" s="9" t="n">
        <v>10025.13</v>
      </c>
      <c r="D162" s="8" t="inlineStr">
        <is>
          <t>C1658972971</t>
        </is>
      </c>
      <c r="E162" s="9" t="n">
        <v>85656</v>
      </c>
      <c r="F162" s="9" t="n">
        <v>75630.87</v>
      </c>
      <c r="G162" s="8" t="inlineStr">
        <is>
          <t>M628721029</t>
        </is>
      </c>
      <c r="H162" s="9" t="n">
        <v>0</v>
      </c>
      <c r="I162" s="9" t="n">
        <v>0</v>
      </c>
      <c r="J162" s="10" t="n">
        <v>0</v>
      </c>
      <c r="K162" s="8" t="n">
        <v>1</v>
      </c>
      <c r="L162" s="8" t="n">
        <v>0</v>
      </c>
      <c r="M162" s="9" t="n">
        <v>85656</v>
      </c>
      <c r="N162" s="9" t="n">
        <v>0</v>
      </c>
      <c r="O162" s="9" t="n">
        <v>10025.13</v>
      </c>
      <c r="P162" s="8" t="n">
        <v>0</v>
      </c>
      <c r="Q162" s="8" t="n">
        <v>1</v>
      </c>
    </row>
    <row r="163">
      <c r="A163" s="8" t="n">
        <v>13</v>
      </c>
      <c r="B163" s="8" t="inlineStr">
        <is>
          <t>CASH_IN</t>
        </is>
      </c>
      <c r="C163" s="9" t="n">
        <v>151392.6</v>
      </c>
      <c r="D163" s="8" t="inlineStr">
        <is>
          <t>C218204620</t>
        </is>
      </c>
      <c r="E163" s="9" t="n">
        <v>1925344.53</v>
      </c>
      <c r="F163" s="9" t="n">
        <v>2076737.13</v>
      </c>
      <c r="G163" s="8" t="inlineStr">
        <is>
          <t>C1491676195</t>
        </is>
      </c>
      <c r="H163" s="9" t="n">
        <v>2797594.27</v>
      </c>
      <c r="I163" s="9" t="n">
        <v>2646201.67</v>
      </c>
      <c r="J163" s="10" t="n">
        <v>0</v>
      </c>
      <c r="K163" s="8" t="n">
        <v>0</v>
      </c>
      <c r="L163" s="8" t="n">
        <v>0</v>
      </c>
      <c r="M163" s="9" t="n">
        <v>872249.74</v>
      </c>
      <c r="N163" s="9" t="n">
        <v>302785.2</v>
      </c>
      <c r="O163" s="9" t="n">
        <v>302785.2</v>
      </c>
      <c r="P163" s="8" t="n">
        <v>1</v>
      </c>
      <c r="Q163" s="8" t="n">
        <v>0</v>
      </c>
    </row>
    <row r="164">
      <c r="A164" s="8" t="n">
        <v>55</v>
      </c>
      <c r="B164" s="8" t="inlineStr">
        <is>
          <t>TRANSFER</t>
        </is>
      </c>
      <c r="C164" s="9" t="n">
        <v>760625.76</v>
      </c>
      <c r="D164" s="8" t="inlineStr">
        <is>
          <t>C1611123412</t>
        </is>
      </c>
      <c r="E164" s="9" t="n">
        <v>760625.76</v>
      </c>
      <c r="F164" s="9" t="n">
        <v>0</v>
      </c>
      <c r="G164" s="8" t="inlineStr">
        <is>
          <t>C1796277088</t>
        </is>
      </c>
      <c r="H164" s="9" t="n">
        <v>0</v>
      </c>
      <c r="I164" s="9" t="n">
        <v>0</v>
      </c>
      <c r="J164" s="11" t="n">
        <v>1</v>
      </c>
      <c r="K164" s="8" t="n">
        <v>0</v>
      </c>
      <c r="L164" s="8" t="n">
        <v>1</v>
      </c>
      <c r="M164" s="9" t="n">
        <v>760625.76</v>
      </c>
      <c r="N164" s="9" t="n">
        <v>0</v>
      </c>
      <c r="O164" s="9" t="n">
        <v>760625.76</v>
      </c>
      <c r="P164" s="8" t="n">
        <v>1</v>
      </c>
      <c r="Q164" s="8" t="n">
        <v>1</v>
      </c>
    </row>
    <row r="165">
      <c r="A165" s="8" t="n">
        <v>46</v>
      </c>
      <c r="B165" s="8" t="inlineStr">
        <is>
          <t>CASH_OUT</t>
        </is>
      </c>
      <c r="C165" s="9" t="n">
        <v>41745.32</v>
      </c>
      <c r="D165" s="8" t="inlineStr">
        <is>
          <t>C1286421365</t>
        </is>
      </c>
      <c r="E165" s="9" t="n">
        <v>0</v>
      </c>
      <c r="F165" s="9" t="n">
        <v>0</v>
      </c>
      <c r="G165" s="8" t="inlineStr">
        <is>
          <t>C1445385477</t>
        </is>
      </c>
      <c r="H165" s="9" t="n">
        <v>1334729.94</v>
      </c>
      <c r="I165" s="9" t="n">
        <v>1376475.25</v>
      </c>
      <c r="J165" s="10" t="n">
        <v>0</v>
      </c>
      <c r="K165" s="8" t="n">
        <v>0</v>
      </c>
      <c r="L165" s="8" t="n">
        <v>1</v>
      </c>
      <c r="M165" s="9" t="n">
        <v>1334729.94</v>
      </c>
      <c r="N165" s="9" t="n">
        <v>41745.32</v>
      </c>
      <c r="O165" s="9" t="n">
        <v>0.01</v>
      </c>
      <c r="P165" s="8" t="n">
        <v>1</v>
      </c>
      <c r="Q165" s="8" t="n">
        <v>0</v>
      </c>
    </row>
    <row r="166">
      <c r="A166" s="8" t="n">
        <v>279</v>
      </c>
      <c r="B166" s="8" t="inlineStr">
        <is>
          <t>CASH_OUT</t>
        </is>
      </c>
      <c r="C166" s="9" t="n">
        <v>345533.89</v>
      </c>
      <c r="D166" s="8" t="inlineStr">
        <is>
          <t>C370789557</t>
        </is>
      </c>
      <c r="E166" s="9" t="n">
        <v>345533.89</v>
      </c>
      <c r="F166" s="9" t="n">
        <v>0</v>
      </c>
      <c r="G166" s="8" t="inlineStr">
        <is>
          <t>C148096714</t>
        </is>
      </c>
      <c r="H166" s="9" t="n">
        <v>501951.83</v>
      </c>
      <c r="I166" s="9" t="n">
        <v>847485.72</v>
      </c>
      <c r="J166" s="11" t="n">
        <v>1</v>
      </c>
      <c r="K166" s="8" t="n">
        <v>0</v>
      </c>
      <c r="L166" s="8" t="n">
        <v>1</v>
      </c>
      <c r="M166" s="9" t="n">
        <v>156417.94</v>
      </c>
      <c r="N166" s="9" t="n">
        <v>0</v>
      </c>
      <c r="O166" s="9" t="n">
        <v>0</v>
      </c>
      <c r="P166" s="8" t="n">
        <v>1</v>
      </c>
      <c r="Q166" s="8" t="n">
        <v>1</v>
      </c>
    </row>
    <row r="167">
      <c r="A167" s="8" t="n">
        <v>299</v>
      </c>
      <c r="B167" s="8" t="inlineStr">
        <is>
          <t>PAYMENT</t>
        </is>
      </c>
      <c r="C167" s="9" t="n">
        <v>1074.98</v>
      </c>
      <c r="D167" s="8" t="inlineStr">
        <is>
          <t>C613354694</t>
        </is>
      </c>
      <c r="E167" s="9" t="n">
        <v>0</v>
      </c>
      <c r="F167" s="9" t="n">
        <v>0</v>
      </c>
      <c r="G167" s="8" t="inlineStr">
        <is>
          <t>M1034102624</t>
        </is>
      </c>
      <c r="H167" s="9" t="n">
        <v>0</v>
      </c>
      <c r="I167" s="9" t="n">
        <v>0</v>
      </c>
      <c r="J167" s="10" t="n">
        <v>0</v>
      </c>
      <c r="K167" s="8" t="n">
        <v>1</v>
      </c>
      <c r="L167" s="8" t="n">
        <v>0</v>
      </c>
      <c r="M167" s="9" t="n">
        <v>0</v>
      </c>
      <c r="N167" s="9" t="n">
        <v>1074.98</v>
      </c>
      <c r="O167" s="9" t="n">
        <v>1074.98</v>
      </c>
      <c r="P167" s="8" t="n">
        <v>0</v>
      </c>
      <c r="Q167" s="8" t="n">
        <v>0</v>
      </c>
    </row>
    <row r="168">
      <c r="A168" s="8" t="n">
        <v>228</v>
      </c>
      <c r="B168" s="8" t="inlineStr">
        <is>
          <t>CASH_IN</t>
        </is>
      </c>
      <c r="C168" s="9" t="n">
        <v>215040.48</v>
      </c>
      <c r="D168" s="8" t="inlineStr">
        <is>
          <t>C742807288</t>
        </is>
      </c>
      <c r="E168" s="9" t="n">
        <v>3960892.84</v>
      </c>
      <c r="F168" s="9" t="n">
        <v>4175933.32</v>
      </c>
      <c r="G168" s="8" t="inlineStr">
        <is>
          <t>C48799059</t>
        </is>
      </c>
      <c r="H168" s="9" t="n">
        <v>1356559.78</v>
      </c>
      <c r="I168" s="9" t="n">
        <v>1141519.31</v>
      </c>
      <c r="J168" s="10" t="n">
        <v>0</v>
      </c>
      <c r="K168" s="8" t="n">
        <v>0</v>
      </c>
      <c r="L168" s="8" t="n">
        <v>0</v>
      </c>
      <c r="M168" s="9" t="n">
        <v>2604333.06</v>
      </c>
      <c r="N168" s="9" t="n">
        <v>430080.96</v>
      </c>
      <c r="O168" s="9" t="n">
        <v>430080.95</v>
      </c>
      <c r="P168" s="8" t="n">
        <v>1</v>
      </c>
      <c r="Q168" s="8" t="n">
        <v>0</v>
      </c>
    </row>
    <row r="169">
      <c r="A169" s="8" t="n">
        <v>281</v>
      </c>
      <c r="B169" s="8" t="inlineStr">
        <is>
          <t>CASH_IN</t>
        </is>
      </c>
      <c r="C169" s="9" t="n">
        <v>35670.28</v>
      </c>
      <c r="D169" s="8" t="inlineStr">
        <is>
          <t>C1206904883</t>
        </is>
      </c>
      <c r="E169" s="9" t="n">
        <v>11060</v>
      </c>
      <c r="F169" s="9" t="n">
        <v>46730.28</v>
      </c>
      <c r="G169" s="8" t="inlineStr">
        <is>
          <t>C1637002960</t>
        </is>
      </c>
      <c r="H169" s="9" t="n">
        <v>2559507.38</v>
      </c>
      <c r="I169" s="9" t="n">
        <v>2523837.09</v>
      </c>
      <c r="J169" s="10" t="n">
        <v>0</v>
      </c>
      <c r="K169" s="8" t="n">
        <v>0</v>
      </c>
      <c r="L169" s="8" t="n">
        <v>0</v>
      </c>
      <c r="M169" s="9" t="n">
        <v>2548447.38</v>
      </c>
      <c r="N169" s="9" t="n">
        <v>71340.56</v>
      </c>
      <c r="O169" s="9" t="n">
        <v>71340.57000000001</v>
      </c>
      <c r="P169" s="8" t="n">
        <v>1</v>
      </c>
      <c r="Q169" s="8" t="n">
        <v>0</v>
      </c>
    </row>
    <row r="170">
      <c r="A170" s="8" t="n">
        <v>334</v>
      </c>
      <c r="B170" s="8" t="inlineStr">
        <is>
          <t>CASH_IN</t>
        </is>
      </c>
      <c r="C170" s="9" t="n">
        <v>116389.9</v>
      </c>
      <c r="D170" s="8" t="inlineStr">
        <is>
          <t>C1253061955</t>
        </is>
      </c>
      <c r="E170" s="9" t="n">
        <v>304</v>
      </c>
      <c r="F170" s="9" t="n">
        <v>116693.9</v>
      </c>
      <c r="G170" s="8" t="inlineStr">
        <is>
          <t>C170073561</t>
        </is>
      </c>
      <c r="H170" s="9" t="n">
        <v>0</v>
      </c>
      <c r="I170" s="9" t="n">
        <v>0</v>
      </c>
      <c r="J170" s="10" t="n">
        <v>0</v>
      </c>
      <c r="K170" s="8" t="n">
        <v>0</v>
      </c>
      <c r="L170" s="8" t="n">
        <v>0</v>
      </c>
      <c r="M170" s="9" t="n">
        <v>304</v>
      </c>
      <c r="N170" s="9" t="n">
        <v>232779.8</v>
      </c>
      <c r="O170" s="9" t="n">
        <v>116389.9</v>
      </c>
      <c r="P170" s="8" t="n">
        <v>1</v>
      </c>
      <c r="Q170" s="8" t="n">
        <v>0</v>
      </c>
    </row>
    <row r="171">
      <c r="A171" s="8" t="n">
        <v>201</v>
      </c>
      <c r="B171" s="8" t="inlineStr">
        <is>
          <t>CASH_IN</t>
        </is>
      </c>
      <c r="C171" s="9" t="n">
        <v>121235.77</v>
      </c>
      <c r="D171" s="8" t="inlineStr">
        <is>
          <t>C647882962</t>
        </is>
      </c>
      <c r="E171" s="9" t="n">
        <v>5465227.29</v>
      </c>
      <c r="F171" s="9" t="n">
        <v>5586463.06</v>
      </c>
      <c r="G171" s="8" t="inlineStr">
        <is>
          <t>C435552076</t>
        </is>
      </c>
      <c r="H171" s="9" t="n">
        <v>407448.66</v>
      </c>
      <c r="I171" s="9" t="n">
        <v>286212.89</v>
      </c>
      <c r="J171" s="10" t="n">
        <v>0</v>
      </c>
      <c r="K171" s="8" t="n">
        <v>0</v>
      </c>
      <c r="L171" s="8" t="n">
        <v>0</v>
      </c>
      <c r="M171" s="9" t="n">
        <v>5057778.63</v>
      </c>
      <c r="N171" s="9" t="n">
        <v>242471.54</v>
      </c>
      <c r="O171" s="9" t="n">
        <v>242471.54</v>
      </c>
      <c r="P171" s="8" t="n">
        <v>1</v>
      </c>
      <c r="Q171" s="8" t="n">
        <v>0</v>
      </c>
    </row>
    <row r="172">
      <c r="A172" s="8" t="n">
        <v>331</v>
      </c>
      <c r="B172" s="8" t="inlineStr">
        <is>
          <t>PAYMENT</t>
        </is>
      </c>
      <c r="C172" s="9" t="n">
        <v>1468.19</v>
      </c>
      <c r="D172" s="8" t="inlineStr">
        <is>
          <t>C1110358944</t>
        </is>
      </c>
      <c r="E172" s="9" t="n">
        <v>0</v>
      </c>
      <c r="F172" s="9" t="n">
        <v>0</v>
      </c>
      <c r="G172" s="8" t="inlineStr">
        <is>
          <t>M25285770</t>
        </is>
      </c>
      <c r="H172" s="9" t="n">
        <v>0</v>
      </c>
      <c r="I172" s="9" t="n">
        <v>0</v>
      </c>
      <c r="J172" s="10" t="n">
        <v>0</v>
      </c>
      <c r="K172" s="8" t="n">
        <v>1</v>
      </c>
      <c r="L172" s="8" t="n">
        <v>0</v>
      </c>
      <c r="M172" s="9" t="n">
        <v>0</v>
      </c>
      <c r="N172" s="9" t="n">
        <v>1468.19</v>
      </c>
      <c r="O172" s="9" t="n">
        <v>1468.19</v>
      </c>
      <c r="P172" s="8" t="n">
        <v>0</v>
      </c>
      <c r="Q172" s="8" t="n">
        <v>0</v>
      </c>
    </row>
    <row r="173">
      <c r="A173" s="8" t="n">
        <v>181</v>
      </c>
      <c r="B173" s="8" t="inlineStr">
        <is>
          <t>CASH_IN</t>
        </is>
      </c>
      <c r="C173" s="9" t="n">
        <v>186118.04</v>
      </c>
      <c r="D173" s="8" t="inlineStr">
        <is>
          <t>C118611108</t>
        </is>
      </c>
      <c r="E173" s="9" t="n">
        <v>1119644.72</v>
      </c>
      <c r="F173" s="9" t="n">
        <v>1305762.75</v>
      </c>
      <c r="G173" s="8" t="inlineStr">
        <is>
          <t>C1847273691</t>
        </is>
      </c>
      <c r="H173" s="9" t="n">
        <v>2398272.08</v>
      </c>
      <c r="I173" s="9" t="n">
        <v>2212154.04</v>
      </c>
      <c r="J173" s="10" t="n">
        <v>0</v>
      </c>
      <c r="K173" s="8" t="n">
        <v>0</v>
      </c>
      <c r="L173" s="8" t="n">
        <v>0</v>
      </c>
      <c r="M173" s="9" t="n">
        <v>1278627.36</v>
      </c>
      <c r="N173" s="9" t="n">
        <v>372236.07</v>
      </c>
      <c r="O173" s="9" t="n">
        <v>372236.08</v>
      </c>
      <c r="P173" s="8" t="n">
        <v>1</v>
      </c>
      <c r="Q173" s="8" t="n">
        <v>0</v>
      </c>
    </row>
    <row r="174">
      <c r="A174" s="8" t="n">
        <v>157</v>
      </c>
      <c r="B174" s="8" t="inlineStr">
        <is>
          <t>CASH_IN</t>
        </is>
      </c>
      <c r="C174" s="9" t="n">
        <v>256428.21</v>
      </c>
      <c r="D174" s="8" t="inlineStr">
        <is>
          <t>C149481215</t>
        </is>
      </c>
      <c r="E174" s="9" t="n">
        <v>8980083.91</v>
      </c>
      <c r="F174" s="9" t="n">
        <v>9236512.119999999</v>
      </c>
      <c r="G174" s="8" t="inlineStr">
        <is>
          <t>C1630867239</t>
        </is>
      </c>
      <c r="H174" s="9" t="n">
        <v>611388.78</v>
      </c>
      <c r="I174" s="9" t="n">
        <v>354960.58</v>
      </c>
      <c r="J174" s="10" t="n">
        <v>0</v>
      </c>
      <c r="K174" s="8" t="n">
        <v>0</v>
      </c>
      <c r="L174" s="8" t="n">
        <v>0</v>
      </c>
      <c r="M174" s="9" t="n">
        <v>8368695.13</v>
      </c>
      <c r="N174" s="9" t="n">
        <v>512856.42</v>
      </c>
      <c r="O174" s="9" t="n">
        <v>512856.41</v>
      </c>
      <c r="P174" s="8" t="n">
        <v>1</v>
      </c>
      <c r="Q174" s="8" t="n">
        <v>0</v>
      </c>
    </row>
    <row r="175">
      <c r="A175" s="8" t="n">
        <v>40</v>
      </c>
      <c r="B175" s="8" t="inlineStr">
        <is>
          <t>CASH_IN</t>
        </is>
      </c>
      <c r="C175" s="9" t="n">
        <v>124897.91</v>
      </c>
      <c r="D175" s="8" t="inlineStr">
        <is>
          <t>C354527888</t>
        </is>
      </c>
      <c r="E175" s="9" t="n">
        <v>1439781.48</v>
      </c>
      <c r="F175" s="9" t="n">
        <v>1564679.39</v>
      </c>
      <c r="G175" s="8" t="inlineStr">
        <is>
          <t>C285739175</t>
        </is>
      </c>
      <c r="H175" s="9" t="n">
        <v>1686592.96</v>
      </c>
      <c r="I175" s="9" t="n">
        <v>1561695.06</v>
      </c>
      <c r="J175" s="10" t="n">
        <v>0</v>
      </c>
      <c r="K175" s="8" t="n">
        <v>0</v>
      </c>
      <c r="L175" s="8" t="n">
        <v>0</v>
      </c>
      <c r="M175" s="9" t="n">
        <v>246811.48</v>
      </c>
      <c r="N175" s="9" t="n">
        <v>249795.82</v>
      </c>
      <c r="O175" s="9" t="n">
        <v>249795.81</v>
      </c>
      <c r="P175" s="8" t="n">
        <v>1</v>
      </c>
      <c r="Q175" s="8" t="n">
        <v>0</v>
      </c>
    </row>
    <row r="176">
      <c r="A176" s="8" t="n">
        <v>333</v>
      </c>
      <c r="B176" s="8" t="inlineStr">
        <is>
          <t>CASH_IN</t>
        </is>
      </c>
      <c r="C176" s="9" t="n">
        <v>30018.04</v>
      </c>
      <c r="D176" s="8" t="inlineStr">
        <is>
          <t>C1402298082</t>
        </is>
      </c>
      <c r="E176" s="9" t="n">
        <v>196582.12</v>
      </c>
      <c r="F176" s="9" t="n">
        <v>226600.16</v>
      </c>
      <c r="G176" s="8" t="inlineStr">
        <is>
          <t>C48457464</t>
        </is>
      </c>
      <c r="H176" s="9" t="n">
        <v>3613392</v>
      </c>
      <c r="I176" s="9" t="n">
        <v>3583373.96</v>
      </c>
      <c r="J176" s="10" t="n">
        <v>0</v>
      </c>
      <c r="K176" s="8" t="n">
        <v>0</v>
      </c>
      <c r="L176" s="8" t="n">
        <v>0</v>
      </c>
      <c r="M176" s="9" t="n">
        <v>3416809.88</v>
      </c>
      <c r="N176" s="9" t="n">
        <v>60036.08</v>
      </c>
      <c r="O176" s="9" t="n">
        <v>60036.08</v>
      </c>
      <c r="P176" s="8" t="n">
        <v>1</v>
      </c>
      <c r="Q176" s="8" t="n">
        <v>0</v>
      </c>
    </row>
    <row r="177">
      <c r="A177" s="8" t="n">
        <v>724</v>
      </c>
      <c r="B177" s="8" t="inlineStr">
        <is>
          <t>TRANSFER</t>
        </is>
      </c>
      <c r="C177" s="9" t="n">
        <v>89845.28999999999</v>
      </c>
      <c r="D177" s="8" t="inlineStr">
        <is>
          <t>C795915077</t>
        </is>
      </c>
      <c r="E177" s="9" t="n">
        <v>89845.28999999999</v>
      </c>
      <c r="F177" s="9" t="n">
        <v>0</v>
      </c>
      <c r="G177" s="8" t="inlineStr">
        <is>
          <t>C101606324</t>
        </is>
      </c>
      <c r="H177" s="9" t="n">
        <v>0</v>
      </c>
      <c r="I177" s="9" t="n">
        <v>0</v>
      </c>
      <c r="J177" s="11" t="n">
        <v>1</v>
      </c>
      <c r="K177" s="8" t="n">
        <v>0</v>
      </c>
      <c r="L177" s="8" t="n">
        <v>1</v>
      </c>
      <c r="M177" s="9" t="n">
        <v>89845.28999999999</v>
      </c>
      <c r="N177" s="9" t="n">
        <v>0</v>
      </c>
      <c r="O177" s="9" t="n">
        <v>89845.28999999999</v>
      </c>
      <c r="P177" s="8" t="n">
        <v>1</v>
      </c>
      <c r="Q177" s="8" t="n">
        <v>1</v>
      </c>
    </row>
    <row r="178">
      <c r="A178" s="8" t="n">
        <v>197</v>
      </c>
      <c r="B178" s="8" t="inlineStr">
        <is>
          <t>TRANSFER</t>
        </is>
      </c>
      <c r="C178" s="9" t="n">
        <v>1961426.59</v>
      </c>
      <c r="D178" s="8" t="inlineStr">
        <is>
          <t>C311903861</t>
        </is>
      </c>
      <c r="E178" s="9" t="n">
        <v>1961426.59</v>
      </c>
      <c r="F178" s="9" t="n">
        <v>0</v>
      </c>
      <c r="G178" s="8" t="inlineStr">
        <is>
          <t>C316708626</t>
        </is>
      </c>
      <c r="H178" s="9" t="n">
        <v>0</v>
      </c>
      <c r="I178" s="9" t="n">
        <v>0</v>
      </c>
      <c r="J178" s="11" t="n">
        <v>1</v>
      </c>
      <c r="K178" s="8" t="n">
        <v>0</v>
      </c>
      <c r="L178" s="8" t="n">
        <v>1</v>
      </c>
      <c r="M178" s="9" t="n">
        <v>1961426.59</v>
      </c>
      <c r="N178" s="9" t="n">
        <v>0</v>
      </c>
      <c r="O178" s="9" t="n">
        <v>1961426.59</v>
      </c>
      <c r="P178" s="8" t="n">
        <v>1</v>
      </c>
      <c r="Q178" s="8" t="n">
        <v>1</v>
      </c>
    </row>
    <row r="179">
      <c r="A179" s="8" t="n">
        <v>311</v>
      </c>
      <c r="B179" s="8" t="inlineStr">
        <is>
          <t>TRANSFER</t>
        </is>
      </c>
      <c r="C179" s="9" t="n">
        <v>225301.45</v>
      </c>
      <c r="D179" s="8" t="inlineStr">
        <is>
          <t>C500485629</t>
        </is>
      </c>
      <c r="E179" s="9" t="n">
        <v>225301.45</v>
      </c>
      <c r="F179" s="9" t="n">
        <v>0</v>
      </c>
      <c r="G179" s="8" t="inlineStr">
        <is>
          <t>C822023370</t>
        </is>
      </c>
      <c r="H179" s="9" t="n">
        <v>0</v>
      </c>
      <c r="I179" s="9" t="n">
        <v>0</v>
      </c>
      <c r="J179" s="11" t="n">
        <v>1</v>
      </c>
      <c r="K179" s="8" t="n">
        <v>0</v>
      </c>
      <c r="L179" s="8" t="n">
        <v>1</v>
      </c>
      <c r="M179" s="9" t="n">
        <v>225301.45</v>
      </c>
      <c r="N179" s="9" t="n">
        <v>0</v>
      </c>
      <c r="O179" s="9" t="n">
        <v>225301.45</v>
      </c>
      <c r="P179" s="8" t="n">
        <v>1</v>
      </c>
      <c r="Q179" s="8" t="n">
        <v>1</v>
      </c>
    </row>
    <row r="180">
      <c r="A180" s="8" t="n">
        <v>177</v>
      </c>
      <c r="B180" s="8" t="inlineStr">
        <is>
          <t>CASH_OUT</t>
        </is>
      </c>
      <c r="C180" s="9" t="n">
        <v>95990.19</v>
      </c>
      <c r="D180" s="8" t="inlineStr">
        <is>
          <t>C1173321842</t>
        </is>
      </c>
      <c r="E180" s="9" t="n">
        <v>109923.28</v>
      </c>
      <c r="F180" s="9" t="n">
        <v>13933.09</v>
      </c>
      <c r="G180" s="8" t="inlineStr">
        <is>
          <t>C1163484153</t>
        </is>
      </c>
      <c r="H180" s="9" t="n">
        <v>307520.25</v>
      </c>
      <c r="I180" s="9" t="n">
        <v>403510.44</v>
      </c>
      <c r="J180" s="10" t="n">
        <v>0</v>
      </c>
      <c r="K180" s="8" t="n">
        <v>0</v>
      </c>
      <c r="L180" s="8" t="n">
        <v>1</v>
      </c>
      <c r="M180" s="9" t="n">
        <v>197596.97</v>
      </c>
      <c r="N180" s="9" t="n">
        <v>0</v>
      </c>
      <c r="O180" s="9" t="n">
        <v>0</v>
      </c>
      <c r="P180" s="8" t="n">
        <v>1</v>
      </c>
      <c r="Q180" s="8" t="n">
        <v>1</v>
      </c>
    </row>
    <row r="181">
      <c r="A181" s="8" t="n">
        <v>187</v>
      </c>
      <c r="B181" s="8" t="inlineStr">
        <is>
          <t>PAYMENT</t>
        </is>
      </c>
      <c r="C181" s="9" t="n">
        <v>12570.31</v>
      </c>
      <c r="D181" s="8" t="inlineStr">
        <is>
          <t>C1351548788</t>
        </is>
      </c>
      <c r="E181" s="9" t="n">
        <v>92739.83</v>
      </c>
      <c r="F181" s="9" t="n">
        <v>80169.52</v>
      </c>
      <c r="G181" s="8" t="inlineStr">
        <is>
          <t>M1860322864</t>
        </is>
      </c>
      <c r="H181" s="9" t="n">
        <v>0</v>
      </c>
      <c r="I181" s="9" t="n">
        <v>0</v>
      </c>
      <c r="J181" s="10" t="n">
        <v>0</v>
      </c>
      <c r="K181" s="8" t="n">
        <v>1</v>
      </c>
      <c r="L181" s="8" t="n">
        <v>0</v>
      </c>
      <c r="M181" s="9" t="n">
        <v>92739.83</v>
      </c>
      <c r="N181" s="9" t="n">
        <v>0</v>
      </c>
      <c r="O181" s="9" t="n">
        <v>12570.31</v>
      </c>
      <c r="P181" s="8" t="n">
        <v>0</v>
      </c>
      <c r="Q181" s="8" t="n">
        <v>1</v>
      </c>
    </row>
    <row r="182">
      <c r="A182" s="8" t="n">
        <v>266</v>
      </c>
      <c r="B182" s="8" t="inlineStr">
        <is>
          <t>TRANSFER</t>
        </is>
      </c>
      <c r="C182" s="9" t="n">
        <v>10000000</v>
      </c>
      <c r="D182" s="8" t="inlineStr">
        <is>
          <t>C2070647495</t>
        </is>
      </c>
      <c r="E182" s="9" t="n">
        <v>15494862.93</v>
      </c>
      <c r="F182" s="9" t="n">
        <v>5494862.93</v>
      </c>
      <c r="G182" s="8" t="inlineStr">
        <is>
          <t>C1808278362</t>
        </is>
      </c>
      <c r="H182" s="9" t="n">
        <v>0</v>
      </c>
      <c r="I182" s="9" t="n">
        <v>0</v>
      </c>
      <c r="J182" s="11" t="n">
        <v>1</v>
      </c>
      <c r="K182" s="8" t="n">
        <v>0</v>
      </c>
      <c r="L182" s="8" t="n">
        <v>1</v>
      </c>
      <c r="M182" s="9" t="n">
        <v>15494862.93</v>
      </c>
      <c r="N182" s="9" t="n">
        <v>0</v>
      </c>
      <c r="O182" s="9" t="n">
        <v>10000000</v>
      </c>
      <c r="P182" s="8" t="n">
        <v>1</v>
      </c>
      <c r="Q182" s="8" t="n">
        <v>1</v>
      </c>
    </row>
    <row r="183">
      <c r="A183" s="8" t="n">
        <v>442</v>
      </c>
      <c r="B183" s="8" t="inlineStr">
        <is>
          <t>TRANSFER</t>
        </is>
      </c>
      <c r="C183" s="9" t="n">
        <v>1487505.07</v>
      </c>
      <c r="D183" s="8" t="inlineStr">
        <is>
          <t>C277096632</t>
        </is>
      </c>
      <c r="E183" s="9" t="n">
        <v>1487505.07</v>
      </c>
      <c r="F183" s="9" t="n">
        <v>0</v>
      </c>
      <c r="G183" s="8" t="inlineStr">
        <is>
          <t>C344711118</t>
        </is>
      </c>
      <c r="H183" s="9" t="n">
        <v>0</v>
      </c>
      <c r="I183" s="9" t="n">
        <v>0</v>
      </c>
      <c r="J183" s="11" t="n">
        <v>1</v>
      </c>
      <c r="K183" s="8" t="n">
        <v>0</v>
      </c>
      <c r="L183" s="8" t="n">
        <v>1</v>
      </c>
      <c r="M183" s="9" t="n">
        <v>1487505.07</v>
      </c>
      <c r="N183" s="9" t="n">
        <v>0</v>
      </c>
      <c r="O183" s="9" t="n">
        <v>1487505.07</v>
      </c>
      <c r="P183" s="8" t="n">
        <v>1</v>
      </c>
      <c r="Q183" s="8" t="n">
        <v>1</v>
      </c>
    </row>
    <row r="184">
      <c r="A184" s="8" t="n">
        <v>395</v>
      </c>
      <c r="B184" s="8" t="inlineStr">
        <is>
          <t>CASH_OUT</t>
        </is>
      </c>
      <c r="C184" s="9" t="n">
        <v>50807.76</v>
      </c>
      <c r="D184" s="8" t="inlineStr">
        <is>
          <t>C1526747791</t>
        </is>
      </c>
      <c r="E184" s="9" t="n">
        <v>52253</v>
      </c>
      <c r="F184" s="9" t="n">
        <v>1445.24</v>
      </c>
      <c r="G184" s="8" t="inlineStr">
        <is>
          <t>C522714579</t>
        </is>
      </c>
      <c r="H184" s="9" t="n">
        <v>865457.12</v>
      </c>
      <c r="I184" s="9" t="n">
        <v>916264.88</v>
      </c>
      <c r="J184" s="10" t="n">
        <v>0</v>
      </c>
      <c r="K184" s="8" t="n">
        <v>0</v>
      </c>
      <c r="L184" s="8" t="n">
        <v>1</v>
      </c>
      <c r="M184" s="9" t="n">
        <v>813204.12</v>
      </c>
      <c r="N184" s="9" t="n">
        <v>0</v>
      </c>
      <c r="O184" s="9" t="n">
        <v>0</v>
      </c>
      <c r="P184" s="8" t="n">
        <v>1</v>
      </c>
      <c r="Q184" s="8" t="n">
        <v>1</v>
      </c>
    </row>
    <row r="185">
      <c r="A185" s="8" t="n">
        <v>353</v>
      </c>
      <c r="B185" s="8" t="inlineStr">
        <is>
          <t>CASH_OUT</t>
        </is>
      </c>
      <c r="C185" s="9" t="n">
        <v>106847.85</v>
      </c>
      <c r="D185" s="8" t="inlineStr">
        <is>
          <t>C1940536443</t>
        </is>
      </c>
      <c r="E185" s="9" t="n">
        <v>20375</v>
      </c>
      <c r="F185" s="9" t="n">
        <v>0</v>
      </c>
      <c r="G185" s="8" t="inlineStr">
        <is>
          <t>C195600860</t>
        </is>
      </c>
      <c r="H185" s="9" t="n">
        <v>99818.91</v>
      </c>
      <c r="I185" s="9" t="n">
        <v>206666.76</v>
      </c>
      <c r="J185" s="10" t="n">
        <v>0</v>
      </c>
      <c r="K185" s="8" t="n">
        <v>0</v>
      </c>
      <c r="L185" s="8" t="n">
        <v>1</v>
      </c>
      <c r="M185" s="9" t="n">
        <v>79443.91</v>
      </c>
      <c r="N185" s="9" t="n">
        <v>86472.85000000001</v>
      </c>
      <c r="O185" s="9" t="n">
        <v>0</v>
      </c>
      <c r="P185" s="8" t="n">
        <v>1</v>
      </c>
      <c r="Q185" s="8" t="n">
        <v>0</v>
      </c>
    </row>
    <row r="186">
      <c r="A186" s="8" t="n">
        <v>335</v>
      </c>
      <c r="B186" s="8" t="inlineStr">
        <is>
          <t>CASH_IN</t>
        </is>
      </c>
      <c r="C186" s="9" t="n">
        <v>122610.33</v>
      </c>
      <c r="D186" s="8" t="inlineStr">
        <is>
          <t>C65596772</t>
        </is>
      </c>
      <c r="E186" s="9" t="n">
        <v>19186440.56</v>
      </c>
      <c r="F186" s="9" t="n">
        <v>19309050.89</v>
      </c>
      <c r="G186" s="8" t="inlineStr">
        <is>
          <t>C1769242917</t>
        </is>
      </c>
      <c r="H186" s="9" t="n">
        <v>813316.97</v>
      </c>
      <c r="I186" s="9" t="n">
        <v>690706.64</v>
      </c>
      <c r="J186" s="10" t="n">
        <v>0</v>
      </c>
      <c r="K186" s="8" t="n">
        <v>0</v>
      </c>
      <c r="L186" s="8" t="n">
        <v>0</v>
      </c>
      <c r="M186" s="9" t="n">
        <v>18373123.59</v>
      </c>
      <c r="N186" s="9" t="n">
        <v>245220.66</v>
      </c>
      <c r="O186" s="9" t="n">
        <v>245220.66</v>
      </c>
      <c r="P186" s="8" t="n">
        <v>1</v>
      </c>
      <c r="Q186" s="8" t="n">
        <v>0</v>
      </c>
    </row>
    <row r="187">
      <c r="A187" s="8" t="n">
        <v>677</v>
      </c>
      <c r="B187" s="8" t="inlineStr">
        <is>
          <t>TRANSFER</t>
        </is>
      </c>
      <c r="C187" s="9" t="n">
        <v>1600721.32</v>
      </c>
      <c r="D187" s="8" t="inlineStr">
        <is>
          <t>C1890383797</t>
        </is>
      </c>
      <c r="E187" s="9" t="n">
        <v>1600721.32</v>
      </c>
      <c r="F187" s="9" t="n">
        <v>0</v>
      </c>
      <c r="G187" s="8" t="inlineStr">
        <is>
          <t>C1224355851</t>
        </is>
      </c>
      <c r="H187" s="9" t="n">
        <v>0</v>
      </c>
      <c r="I187" s="9" t="n">
        <v>0</v>
      </c>
      <c r="J187" s="11" t="n">
        <v>1</v>
      </c>
      <c r="K187" s="8" t="n">
        <v>0</v>
      </c>
      <c r="L187" s="8" t="n">
        <v>1</v>
      </c>
      <c r="M187" s="9" t="n">
        <v>1600721.32</v>
      </c>
      <c r="N187" s="9" t="n">
        <v>0</v>
      </c>
      <c r="O187" s="9" t="n">
        <v>1600721.32</v>
      </c>
      <c r="P187" s="8" t="n">
        <v>1</v>
      </c>
      <c r="Q187" s="8" t="n">
        <v>1</v>
      </c>
    </row>
    <row r="188">
      <c r="A188" s="8" t="n">
        <v>327</v>
      </c>
      <c r="B188" s="8" t="inlineStr">
        <is>
          <t>TRANSFER</t>
        </is>
      </c>
      <c r="C188" s="9" t="n">
        <v>415785.89</v>
      </c>
      <c r="D188" s="8" t="inlineStr">
        <is>
          <t>C990820697</t>
        </is>
      </c>
      <c r="E188" s="9" t="n">
        <v>415785.89</v>
      </c>
      <c r="F188" s="9" t="n">
        <v>0</v>
      </c>
      <c r="G188" s="8" t="inlineStr">
        <is>
          <t>C1804765408</t>
        </is>
      </c>
      <c r="H188" s="9" t="n">
        <v>0</v>
      </c>
      <c r="I188" s="9" t="n">
        <v>0</v>
      </c>
      <c r="J188" s="11" t="n">
        <v>1</v>
      </c>
      <c r="K188" s="8" t="n">
        <v>0</v>
      </c>
      <c r="L188" s="8" t="n">
        <v>1</v>
      </c>
      <c r="M188" s="9" t="n">
        <v>415785.89</v>
      </c>
      <c r="N188" s="9" t="n">
        <v>0</v>
      </c>
      <c r="O188" s="9" t="n">
        <v>415785.89</v>
      </c>
      <c r="P188" s="8" t="n">
        <v>1</v>
      </c>
      <c r="Q188" s="8" t="n">
        <v>1</v>
      </c>
    </row>
    <row r="189">
      <c r="A189" s="8" t="n">
        <v>400</v>
      </c>
      <c r="B189" s="8" t="inlineStr">
        <is>
          <t>CASH_OUT</t>
        </is>
      </c>
      <c r="C189" s="9" t="n">
        <v>65296.29</v>
      </c>
      <c r="D189" s="8" t="inlineStr">
        <is>
          <t>C2003758459</t>
        </is>
      </c>
      <c r="E189" s="9" t="n">
        <v>0</v>
      </c>
      <c r="F189" s="9" t="n">
        <v>0</v>
      </c>
      <c r="G189" s="8" t="inlineStr">
        <is>
          <t>C900814285</t>
        </is>
      </c>
      <c r="H189" s="9" t="n">
        <v>1071584.75</v>
      </c>
      <c r="I189" s="9" t="n">
        <v>1136881.04</v>
      </c>
      <c r="J189" s="10" t="n">
        <v>0</v>
      </c>
      <c r="K189" s="8" t="n">
        <v>0</v>
      </c>
      <c r="L189" s="8" t="n">
        <v>1</v>
      </c>
      <c r="M189" s="9" t="n">
        <v>1071584.75</v>
      </c>
      <c r="N189" s="9" t="n">
        <v>65296.29</v>
      </c>
      <c r="O189" s="9" t="n">
        <v>0</v>
      </c>
      <c r="P189" s="8" t="n">
        <v>1</v>
      </c>
      <c r="Q189" s="8" t="n">
        <v>0</v>
      </c>
    </row>
    <row r="190">
      <c r="A190" s="8" t="n">
        <v>235</v>
      </c>
      <c r="B190" s="8" t="inlineStr">
        <is>
          <t>CASH_OUT</t>
        </is>
      </c>
      <c r="C190" s="9" t="n">
        <v>105164.99</v>
      </c>
      <c r="D190" s="8" t="inlineStr">
        <is>
          <t>C543005122</t>
        </is>
      </c>
      <c r="E190" s="9" t="n">
        <v>3078</v>
      </c>
      <c r="F190" s="9" t="n">
        <v>0</v>
      </c>
      <c r="G190" s="8" t="inlineStr">
        <is>
          <t>C746195505</t>
        </is>
      </c>
      <c r="H190" s="9" t="n">
        <v>1451600.2</v>
      </c>
      <c r="I190" s="9" t="n">
        <v>1556765.19</v>
      </c>
      <c r="J190" s="10" t="n">
        <v>0</v>
      </c>
      <c r="K190" s="8" t="n">
        <v>0</v>
      </c>
      <c r="L190" s="8" t="n">
        <v>1</v>
      </c>
      <c r="M190" s="9" t="n">
        <v>1448522.2</v>
      </c>
      <c r="N190" s="9" t="n">
        <v>102086.99</v>
      </c>
      <c r="O190" s="9" t="n">
        <v>0</v>
      </c>
      <c r="P190" s="8" t="n">
        <v>1</v>
      </c>
      <c r="Q190" s="8" t="n">
        <v>0</v>
      </c>
    </row>
    <row r="191">
      <c r="A191" s="8" t="n">
        <v>307</v>
      </c>
      <c r="B191" s="8" t="inlineStr">
        <is>
          <t>TRANSFER</t>
        </is>
      </c>
      <c r="C191" s="9" t="n">
        <v>1072345.79</v>
      </c>
      <c r="D191" s="8" t="inlineStr">
        <is>
          <t>C114044821</t>
        </is>
      </c>
      <c r="E191" s="9" t="n">
        <v>1072345.79</v>
      </c>
      <c r="F191" s="9" t="n">
        <v>0</v>
      </c>
      <c r="G191" s="8" t="inlineStr">
        <is>
          <t>C1178875500</t>
        </is>
      </c>
      <c r="H191" s="9" t="n">
        <v>0</v>
      </c>
      <c r="I191" s="9" t="n">
        <v>0</v>
      </c>
      <c r="J191" s="11" t="n">
        <v>1</v>
      </c>
      <c r="K191" s="8" t="n">
        <v>0</v>
      </c>
      <c r="L191" s="8" t="n">
        <v>1</v>
      </c>
      <c r="M191" s="9" t="n">
        <v>1072345.79</v>
      </c>
      <c r="N191" s="9" t="n">
        <v>0</v>
      </c>
      <c r="O191" s="9" t="n">
        <v>1072345.79</v>
      </c>
      <c r="P191" s="8" t="n">
        <v>1</v>
      </c>
      <c r="Q191" s="8" t="n">
        <v>1</v>
      </c>
    </row>
    <row r="192">
      <c r="A192" s="8" t="n">
        <v>207</v>
      </c>
      <c r="B192" s="8" t="inlineStr">
        <is>
          <t>CASH_IN</t>
        </is>
      </c>
      <c r="C192" s="9" t="n">
        <v>52724.07</v>
      </c>
      <c r="D192" s="8" t="inlineStr">
        <is>
          <t>C480809065</t>
        </is>
      </c>
      <c r="E192" s="9" t="n">
        <v>6384</v>
      </c>
      <c r="F192" s="9" t="n">
        <v>59108.07</v>
      </c>
      <c r="G192" s="8" t="inlineStr">
        <is>
          <t>C1094430107</t>
        </is>
      </c>
      <c r="H192" s="9" t="n">
        <v>0</v>
      </c>
      <c r="I192" s="9" t="n">
        <v>0</v>
      </c>
      <c r="J192" s="10" t="n">
        <v>0</v>
      </c>
      <c r="K192" s="8" t="n">
        <v>0</v>
      </c>
      <c r="L192" s="8" t="n">
        <v>0</v>
      </c>
      <c r="M192" s="9" t="n">
        <v>6384</v>
      </c>
      <c r="N192" s="9" t="n">
        <v>105448.14</v>
      </c>
      <c r="O192" s="9" t="n">
        <v>52724.07</v>
      </c>
      <c r="P192" s="8" t="n">
        <v>1</v>
      </c>
      <c r="Q192" s="8" t="n">
        <v>0</v>
      </c>
    </row>
    <row r="193">
      <c r="A193" s="8" t="n">
        <v>213</v>
      </c>
      <c r="B193" s="8" t="inlineStr">
        <is>
          <t>PAYMENT</t>
        </is>
      </c>
      <c r="C193" s="9" t="n">
        <v>10694.1</v>
      </c>
      <c r="D193" s="8" t="inlineStr">
        <is>
          <t>C1081179255</t>
        </is>
      </c>
      <c r="E193" s="9" t="n">
        <v>0</v>
      </c>
      <c r="F193" s="9" t="n">
        <v>0</v>
      </c>
      <c r="G193" s="8" t="inlineStr">
        <is>
          <t>M764989082</t>
        </is>
      </c>
      <c r="H193" s="9" t="n">
        <v>0</v>
      </c>
      <c r="I193" s="9" t="n">
        <v>0</v>
      </c>
      <c r="J193" s="10" t="n">
        <v>0</v>
      </c>
      <c r="K193" s="8" t="n">
        <v>1</v>
      </c>
      <c r="L193" s="8" t="n">
        <v>0</v>
      </c>
      <c r="M193" s="9" t="n">
        <v>0</v>
      </c>
      <c r="N193" s="9" t="n">
        <v>10694.1</v>
      </c>
      <c r="O193" s="9" t="n">
        <v>10694.1</v>
      </c>
      <c r="P193" s="8" t="n">
        <v>0</v>
      </c>
      <c r="Q193" s="8" t="n">
        <v>0</v>
      </c>
    </row>
    <row r="194">
      <c r="A194" s="8" t="n">
        <v>664</v>
      </c>
      <c r="B194" s="8" t="inlineStr">
        <is>
          <t>CASH_OUT</t>
        </is>
      </c>
      <c r="C194" s="9" t="n">
        <v>639991.03</v>
      </c>
      <c r="D194" s="8" t="inlineStr">
        <is>
          <t>C1750763630</t>
        </is>
      </c>
      <c r="E194" s="9" t="n">
        <v>639991.03</v>
      </c>
      <c r="F194" s="9" t="n">
        <v>0</v>
      </c>
      <c r="G194" s="8" t="inlineStr">
        <is>
          <t>C2000520198</t>
        </is>
      </c>
      <c r="H194" s="9" t="n">
        <v>0</v>
      </c>
      <c r="I194" s="9" t="n">
        <v>639991.03</v>
      </c>
      <c r="J194" s="11" t="n">
        <v>1</v>
      </c>
      <c r="K194" s="8" t="n">
        <v>0</v>
      </c>
      <c r="L194" s="8" t="n">
        <v>1</v>
      </c>
      <c r="M194" s="9" t="n">
        <v>639991.03</v>
      </c>
      <c r="N194" s="9" t="n">
        <v>0</v>
      </c>
      <c r="O194" s="9" t="n">
        <v>0</v>
      </c>
      <c r="P194" s="8" t="n">
        <v>1</v>
      </c>
      <c r="Q194" s="8" t="n">
        <v>1</v>
      </c>
    </row>
    <row r="195">
      <c r="A195" s="8" t="n">
        <v>357</v>
      </c>
      <c r="B195" s="8" t="inlineStr">
        <is>
          <t>TRANSFER</t>
        </is>
      </c>
      <c r="C195" s="9" t="n">
        <v>4177467.46</v>
      </c>
      <c r="D195" s="8" t="inlineStr">
        <is>
          <t>C1493761372</t>
        </is>
      </c>
      <c r="E195" s="9" t="n">
        <v>4177467.46</v>
      </c>
      <c r="F195" s="9" t="n">
        <v>0</v>
      </c>
      <c r="G195" s="8" t="inlineStr">
        <is>
          <t>C1907708290</t>
        </is>
      </c>
      <c r="H195" s="9" t="n">
        <v>0</v>
      </c>
      <c r="I195" s="9" t="n">
        <v>0</v>
      </c>
      <c r="J195" s="11" t="n">
        <v>1</v>
      </c>
      <c r="K195" s="8" t="n">
        <v>0</v>
      </c>
      <c r="L195" s="8" t="n">
        <v>1</v>
      </c>
      <c r="M195" s="9" t="n">
        <v>4177467.46</v>
      </c>
      <c r="N195" s="9" t="n">
        <v>0</v>
      </c>
      <c r="O195" s="9" t="n">
        <v>4177467.46</v>
      </c>
      <c r="P195" s="8" t="n">
        <v>1</v>
      </c>
      <c r="Q195" s="8" t="n">
        <v>1</v>
      </c>
    </row>
    <row r="196">
      <c r="A196" s="8" t="n">
        <v>307</v>
      </c>
      <c r="B196" s="8" t="inlineStr">
        <is>
          <t>CASH_OUT</t>
        </is>
      </c>
      <c r="C196" s="9" t="n">
        <v>94279.91</v>
      </c>
      <c r="D196" s="8" t="inlineStr">
        <is>
          <t>C1399220125</t>
        </is>
      </c>
      <c r="E196" s="9" t="n">
        <v>703819.8</v>
      </c>
      <c r="F196" s="9" t="n">
        <v>609539.9</v>
      </c>
      <c r="G196" s="8" t="inlineStr">
        <is>
          <t>C1240911768</t>
        </is>
      </c>
      <c r="H196" s="9" t="n">
        <v>310234.83</v>
      </c>
      <c r="I196" s="9" t="n">
        <v>404514.73</v>
      </c>
      <c r="J196" s="10" t="n">
        <v>0</v>
      </c>
      <c r="K196" s="8" t="n">
        <v>0</v>
      </c>
      <c r="L196" s="8" t="n">
        <v>1</v>
      </c>
      <c r="M196" s="9" t="n">
        <v>393584.97</v>
      </c>
      <c r="N196" s="9" t="n">
        <v>0.01</v>
      </c>
      <c r="O196" s="9" t="n">
        <v>0.01</v>
      </c>
      <c r="P196" s="8" t="n">
        <v>1</v>
      </c>
      <c r="Q196" s="8" t="n">
        <v>1</v>
      </c>
    </row>
    <row r="197">
      <c r="A197" s="8" t="n">
        <v>300</v>
      </c>
      <c r="B197" s="8" t="inlineStr">
        <is>
          <t>CASH_IN</t>
        </is>
      </c>
      <c r="C197" s="9" t="n">
        <v>182797.14</v>
      </c>
      <c r="D197" s="8" t="inlineStr">
        <is>
          <t>C1615533072</t>
        </is>
      </c>
      <c r="E197" s="9" t="n">
        <v>1347631.03</v>
      </c>
      <c r="F197" s="9" t="n">
        <v>1530428.17</v>
      </c>
      <c r="G197" s="8" t="inlineStr">
        <is>
          <t>C1526068784</t>
        </is>
      </c>
      <c r="H197" s="9" t="n">
        <v>378945.65</v>
      </c>
      <c r="I197" s="9" t="n">
        <v>196148.52</v>
      </c>
      <c r="J197" s="10" t="n">
        <v>0</v>
      </c>
      <c r="K197" s="8" t="n">
        <v>0</v>
      </c>
      <c r="L197" s="8" t="n">
        <v>0</v>
      </c>
      <c r="M197" s="9" t="n">
        <v>968685.38</v>
      </c>
      <c r="N197" s="9" t="n">
        <v>365594.28</v>
      </c>
      <c r="O197" s="9" t="n">
        <v>365594.27</v>
      </c>
      <c r="P197" s="8" t="n">
        <v>1</v>
      </c>
      <c r="Q197" s="8" t="n">
        <v>0</v>
      </c>
    </row>
    <row r="198">
      <c r="A198" s="8" t="n">
        <v>236</v>
      </c>
      <c r="B198" s="8" t="inlineStr">
        <is>
          <t>CASH_IN</t>
        </is>
      </c>
      <c r="C198" s="9" t="n">
        <v>183616.55</v>
      </c>
      <c r="D198" s="8" t="inlineStr">
        <is>
          <t>C1264785916</t>
        </is>
      </c>
      <c r="E198" s="9" t="n">
        <v>3770960.32</v>
      </c>
      <c r="F198" s="9" t="n">
        <v>3954576.87</v>
      </c>
      <c r="G198" s="8" t="inlineStr">
        <is>
          <t>C300314203</t>
        </is>
      </c>
      <c r="H198" s="9" t="n">
        <v>1235288.52</v>
      </c>
      <c r="I198" s="9" t="n">
        <v>1051671.98</v>
      </c>
      <c r="J198" s="10" t="n">
        <v>0</v>
      </c>
      <c r="K198" s="8" t="n">
        <v>0</v>
      </c>
      <c r="L198" s="8" t="n">
        <v>0</v>
      </c>
      <c r="M198" s="9" t="n">
        <v>2535671.8</v>
      </c>
      <c r="N198" s="9" t="n">
        <v>367233.1</v>
      </c>
      <c r="O198" s="9" t="n">
        <v>367233.09</v>
      </c>
      <c r="P198" s="8" t="n">
        <v>1</v>
      </c>
      <c r="Q198" s="8" t="n">
        <v>0</v>
      </c>
    </row>
    <row r="199">
      <c r="A199" s="8" t="n">
        <v>425</v>
      </c>
      <c r="B199" s="8" t="inlineStr">
        <is>
          <t>CASH_OUT</t>
        </is>
      </c>
      <c r="C199" s="9" t="n">
        <v>287720.41</v>
      </c>
      <c r="D199" s="8" t="inlineStr">
        <is>
          <t>C1152041857</t>
        </is>
      </c>
      <c r="E199" s="9" t="n">
        <v>287720.41</v>
      </c>
      <c r="F199" s="9" t="n">
        <v>0</v>
      </c>
      <c r="G199" s="8" t="inlineStr">
        <is>
          <t>C1551847216</t>
        </is>
      </c>
      <c r="H199" s="9" t="n">
        <v>174700.67</v>
      </c>
      <c r="I199" s="9" t="n">
        <v>462421.08</v>
      </c>
      <c r="J199" s="11" t="n">
        <v>1</v>
      </c>
      <c r="K199" s="8" t="n">
        <v>0</v>
      </c>
      <c r="L199" s="8" t="n">
        <v>1</v>
      </c>
      <c r="M199" s="9" t="n">
        <v>113019.74</v>
      </c>
      <c r="N199" s="9" t="n">
        <v>0</v>
      </c>
      <c r="O199" s="9" t="n">
        <v>-0</v>
      </c>
      <c r="P199" s="8" t="n">
        <v>1</v>
      </c>
      <c r="Q199" s="8" t="n">
        <v>1</v>
      </c>
    </row>
    <row r="200">
      <c r="A200" s="8" t="n">
        <v>189</v>
      </c>
      <c r="B200" s="8" t="inlineStr">
        <is>
          <t>PAYMENT</t>
        </is>
      </c>
      <c r="C200" s="9" t="n">
        <v>5706.19</v>
      </c>
      <c r="D200" s="8" t="inlineStr">
        <is>
          <t>C1119238879</t>
        </is>
      </c>
      <c r="E200" s="9" t="n">
        <v>0</v>
      </c>
      <c r="F200" s="9" t="n">
        <v>0</v>
      </c>
      <c r="G200" s="8" t="inlineStr">
        <is>
          <t>M83016539</t>
        </is>
      </c>
      <c r="H200" s="9" t="n">
        <v>0</v>
      </c>
      <c r="I200" s="9" t="n">
        <v>0</v>
      </c>
      <c r="J200" s="10" t="n">
        <v>0</v>
      </c>
      <c r="K200" s="8" t="n">
        <v>1</v>
      </c>
      <c r="L200" s="8" t="n">
        <v>0</v>
      </c>
      <c r="M200" s="9" t="n">
        <v>0</v>
      </c>
      <c r="N200" s="9" t="n">
        <v>5706.19</v>
      </c>
      <c r="O200" s="9" t="n">
        <v>5706.19</v>
      </c>
      <c r="P200" s="8" t="n">
        <v>0</v>
      </c>
      <c r="Q200" s="8" t="n">
        <v>0</v>
      </c>
    </row>
    <row r="201">
      <c r="A201" s="8" t="n">
        <v>40</v>
      </c>
      <c r="B201" s="8" t="inlineStr">
        <is>
          <t>CASH_OUT</t>
        </is>
      </c>
      <c r="C201" s="9" t="n">
        <v>149591.56</v>
      </c>
      <c r="D201" s="8" t="inlineStr">
        <is>
          <t>C1204289880</t>
        </is>
      </c>
      <c r="E201" s="9" t="n">
        <v>0</v>
      </c>
      <c r="F201" s="9" t="n">
        <v>0</v>
      </c>
      <c r="G201" s="8" t="inlineStr">
        <is>
          <t>C1873365591</t>
        </is>
      </c>
      <c r="H201" s="9" t="n">
        <v>592810.01</v>
      </c>
      <c r="I201" s="9" t="n">
        <v>742401.5699999999</v>
      </c>
      <c r="J201" s="10" t="n">
        <v>0</v>
      </c>
      <c r="K201" s="8" t="n">
        <v>0</v>
      </c>
      <c r="L201" s="8" t="n">
        <v>1</v>
      </c>
      <c r="M201" s="9" t="n">
        <v>592810.01</v>
      </c>
      <c r="N201" s="9" t="n">
        <v>149591.56</v>
      </c>
      <c r="O201" s="9" t="n">
        <v>0</v>
      </c>
      <c r="P201" s="8" t="n">
        <v>1</v>
      </c>
      <c r="Q201" s="8" t="n">
        <v>0</v>
      </c>
    </row>
    <row r="202">
      <c r="A202" s="8" t="n">
        <v>230</v>
      </c>
      <c r="B202" s="8" t="inlineStr">
        <is>
          <t>CASH_OUT</t>
        </is>
      </c>
      <c r="C202" s="9" t="n">
        <v>313858.99</v>
      </c>
      <c r="D202" s="8" t="inlineStr">
        <is>
          <t>C7989710</t>
        </is>
      </c>
      <c r="E202" s="9" t="n">
        <v>179248</v>
      </c>
      <c r="F202" s="9" t="n">
        <v>0</v>
      </c>
      <c r="G202" s="8" t="inlineStr">
        <is>
          <t>C1246014471</t>
        </is>
      </c>
      <c r="H202" s="9" t="n">
        <v>120121.61</v>
      </c>
      <c r="I202" s="9" t="n">
        <v>433980.6</v>
      </c>
      <c r="J202" s="10" t="n">
        <v>0</v>
      </c>
      <c r="K202" s="8" t="n">
        <v>0</v>
      </c>
      <c r="L202" s="8" t="n">
        <v>1</v>
      </c>
      <c r="M202" s="9" t="n">
        <v>59126.39</v>
      </c>
      <c r="N202" s="9" t="n">
        <v>134610.99</v>
      </c>
      <c r="O202" s="9" t="n">
        <v>0</v>
      </c>
      <c r="P202" s="8" t="n">
        <v>1</v>
      </c>
      <c r="Q202" s="8" t="n">
        <v>0</v>
      </c>
    </row>
    <row r="203">
      <c r="A203" s="8" t="n">
        <v>322</v>
      </c>
      <c r="B203" s="8" t="inlineStr">
        <is>
          <t>CASH_OUT</t>
        </is>
      </c>
      <c r="C203" s="9" t="n">
        <v>96396.57000000001</v>
      </c>
      <c r="D203" s="8" t="inlineStr">
        <is>
          <t>C998541602</t>
        </is>
      </c>
      <c r="E203" s="9" t="n">
        <v>0</v>
      </c>
      <c r="F203" s="9" t="n">
        <v>0</v>
      </c>
      <c r="G203" s="8" t="inlineStr">
        <is>
          <t>C1614867191</t>
        </is>
      </c>
      <c r="H203" s="9" t="n">
        <v>346875.68</v>
      </c>
      <c r="I203" s="9" t="n">
        <v>443272.24</v>
      </c>
      <c r="J203" s="10" t="n">
        <v>0</v>
      </c>
      <c r="K203" s="8" t="n">
        <v>0</v>
      </c>
      <c r="L203" s="8" t="n">
        <v>1</v>
      </c>
      <c r="M203" s="9" t="n">
        <v>346875.68</v>
      </c>
      <c r="N203" s="9" t="n">
        <v>96396.57000000001</v>
      </c>
      <c r="O203" s="9" t="n">
        <v>0.01</v>
      </c>
      <c r="P203" s="8" t="n">
        <v>1</v>
      </c>
      <c r="Q203" s="8" t="n">
        <v>0</v>
      </c>
    </row>
    <row r="204">
      <c r="A204" s="8" t="n">
        <v>230</v>
      </c>
      <c r="B204" s="8" t="inlineStr">
        <is>
          <t>CASH_OUT</t>
        </is>
      </c>
      <c r="C204" s="9" t="n">
        <v>327707.07</v>
      </c>
      <c r="D204" s="8" t="inlineStr">
        <is>
          <t>C437231507</t>
        </is>
      </c>
      <c r="E204" s="9" t="n">
        <v>196560</v>
      </c>
      <c r="F204" s="9" t="n">
        <v>0</v>
      </c>
      <c r="G204" s="8" t="inlineStr">
        <is>
          <t>C440048538</t>
        </is>
      </c>
      <c r="H204" s="9" t="n">
        <v>518981.85</v>
      </c>
      <c r="I204" s="9" t="n">
        <v>846688.9300000001</v>
      </c>
      <c r="J204" s="10" t="n">
        <v>0</v>
      </c>
      <c r="K204" s="8" t="n">
        <v>0</v>
      </c>
      <c r="L204" s="8" t="n">
        <v>1</v>
      </c>
      <c r="M204" s="9" t="n">
        <v>322421.85</v>
      </c>
      <c r="N204" s="9" t="n">
        <v>131147.07</v>
      </c>
      <c r="O204" s="9" t="n">
        <v>-0.01</v>
      </c>
      <c r="P204" s="8" t="n">
        <v>1</v>
      </c>
      <c r="Q204" s="8" t="n">
        <v>0</v>
      </c>
    </row>
    <row r="205">
      <c r="A205" s="8" t="n">
        <v>567</v>
      </c>
      <c r="B205" s="8" t="inlineStr">
        <is>
          <t>CASH_IN</t>
        </is>
      </c>
      <c r="C205" s="9" t="n">
        <v>74694.61</v>
      </c>
      <c r="D205" s="8" t="inlineStr">
        <is>
          <t>C1391987553</t>
        </is>
      </c>
      <c r="E205" s="9" t="n">
        <v>244970.86</v>
      </c>
      <c r="F205" s="9" t="n">
        <v>319665.47</v>
      </c>
      <c r="G205" s="8" t="inlineStr">
        <is>
          <t>C244059867</t>
        </is>
      </c>
      <c r="H205" s="9" t="n">
        <v>1772742.52</v>
      </c>
      <c r="I205" s="9" t="n">
        <v>1698047.91</v>
      </c>
      <c r="J205" s="10" t="n">
        <v>0</v>
      </c>
      <c r="K205" s="8" t="n">
        <v>0</v>
      </c>
      <c r="L205" s="8" t="n">
        <v>0</v>
      </c>
      <c r="M205" s="9" t="n">
        <v>1527771.66</v>
      </c>
      <c r="N205" s="9" t="n">
        <v>149389.22</v>
      </c>
      <c r="O205" s="9" t="n">
        <v>149389.22</v>
      </c>
      <c r="P205" s="8" t="n">
        <v>1</v>
      </c>
      <c r="Q205" s="8" t="n">
        <v>0</v>
      </c>
    </row>
    <row r="206">
      <c r="A206" s="8" t="n">
        <v>403</v>
      </c>
      <c r="B206" s="8" t="inlineStr">
        <is>
          <t>CASH_OUT</t>
        </is>
      </c>
      <c r="C206" s="9" t="n">
        <v>2178303.49</v>
      </c>
      <c r="D206" s="8" t="inlineStr">
        <is>
          <t>C694832431</t>
        </is>
      </c>
      <c r="E206" s="9" t="n">
        <v>2178303.49</v>
      </c>
      <c r="F206" s="9" t="n">
        <v>0</v>
      </c>
      <c r="G206" s="8" t="inlineStr">
        <is>
          <t>C1264552873</t>
        </is>
      </c>
      <c r="H206" s="9" t="n">
        <v>0</v>
      </c>
      <c r="I206" s="9" t="n">
        <v>2178303.49</v>
      </c>
      <c r="J206" s="11" t="n">
        <v>1</v>
      </c>
      <c r="K206" s="8" t="n">
        <v>0</v>
      </c>
      <c r="L206" s="8" t="n">
        <v>1</v>
      </c>
      <c r="M206" s="9" t="n">
        <v>2178303.49</v>
      </c>
      <c r="N206" s="9" t="n">
        <v>0</v>
      </c>
      <c r="O206" s="9" t="n">
        <v>0</v>
      </c>
      <c r="P206" s="8" t="n">
        <v>1</v>
      </c>
      <c r="Q206" s="8" t="n">
        <v>1</v>
      </c>
    </row>
    <row r="207">
      <c r="A207" s="8" t="n">
        <v>22</v>
      </c>
      <c r="B207" s="8" t="inlineStr">
        <is>
          <t>CASH_OUT</t>
        </is>
      </c>
      <c r="C207" s="9" t="n">
        <v>99437.88</v>
      </c>
      <c r="D207" s="8" t="inlineStr">
        <is>
          <t>C354332353</t>
        </is>
      </c>
      <c r="E207" s="9" t="n">
        <v>0</v>
      </c>
      <c r="F207" s="9" t="n">
        <v>0</v>
      </c>
      <c r="G207" s="8" t="inlineStr">
        <is>
          <t>C1954661751</t>
        </is>
      </c>
      <c r="H207" s="9" t="n">
        <v>517059.01</v>
      </c>
      <c r="I207" s="9" t="n">
        <v>822802.05</v>
      </c>
      <c r="J207" s="10" t="n">
        <v>0</v>
      </c>
      <c r="K207" s="8" t="n">
        <v>0</v>
      </c>
      <c r="L207" s="8" t="n">
        <v>1</v>
      </c>
      <c r="M207" s="9" t="n">
        <v>517059.01</v>
      </c>
      <c r="N207" s="9" t="n">
        <v>99437.88</v>
      </c>
      <c r="O207" s="9" t="n">
        <v>-206305.16</v>
      </c>
      <c r="P207" s="8" t="n">
        <v>1</v>
      </c>
      <c r="Q207" s="8" t="n">
        <v>0</v>
      </c>
    </row>
    <row r="208">
      <c r="A208" s="8" t="n">
        <v>259</v>
      </c>
      <c r="B208" s="8" t="inlineStr">
        <is>
          <t>CASH_IN</t>
        </is>
      </c>
      <c r="C208" s="9" t="n">
        <v>1489.63</v>
      </c>
      <c r="D208" s="8" t="inlineStr">
        <is>
          <t>C747370998</t>
        </is>
      </c>
      <c r="E208" s="9" t="n">
        <v>275833.85</v>
      </c>
      <c r="F208" s="9" t="n">
        <v>277323.48</v>
      </c>
      <c r="G208" s="8" t="inlineStr">
        <is>
          <t>C1525873715</t>
        </is>
      </c>
      <c r="H208" s="9" t="n">
        <v>43198.09</v>
      </c>
      <c r="I208" s="9" t="n">
        <v>41708.46</v>
      </c>
      <c r="J208" s="10" t="n">
        <v>0</v>
      </c>
      <c r="K208" s="8" t="n">
        <v>0</v>
      </c>
      <c r="L208" s="8" t="n">
        <v>0</v>
      </c>
      <c r="M208" s="9" t="n">
        <v>232635.76</v>
      </c>
      <c r="N208" s="9" t="n">
        <v>2979.26</v>
      </c>
      <c r="O208" s="9" t="n">
        <v>2979.26</v>
      </c>
      <c r="P208" s="8" t="n">
        <v>1</v>
      </c>
      <c r="Q208" s="8" t="n">
        <v>0</v>
      </c>
    </row>
    <row r="209">
      <c r="A209" s="8" t="n">
        <v>718</v>
      </c>
      <c r="B209" s="8" t="inlineStr">
        <is>
          <t>TRANSFER</t>
        </is>
      </c>
      <c r="C209" s="9" t="n">
        <v>376639.05</v>
      </c>
      <c r="D209" s="8" t="inlineStr">
        <is>
          <t>C1314499487</t>
        </is>
      </c>
      <c r="E209" s="9" t="n">
        <v>376639.05</v>
      </c>
      <c r="F209" s="9" t="n">
        <v>0</v>
      </c>
      <c r="G209" s="8" t="inlineStr">
        <is>
          <t>C588423293</t>
        </is>
      </c>
      <c r="H209" s="9" t="n">
        <v>0</v>
      </c>
      <c r="I209" s="9" t="n">
        <v>0</v>
      </c>
      <c r="J209" s="11" t="n">
        <v>1</v>
      </c>
      <c r="K209" s="8" t="n">
        <v>0</v>
      </c>
      <c r="L209" s="8" t="n">
        <v>1</v>
      </c>
      <c r="M209" s="9" t="n">
        <v>376639.05</v>
      </c>
      <c r="N209" s="9" t="n">
        <v>0</v>
      </c>
      <c r="O209" s="9" t="n">
        <v>376639.05</v>
      </c>
      <c r="P209" s="8" t="n">
        <v>1</v>
      </c>
      <c r="Q209" s="8" t="n">
        <v>1</v>
      </c>
    </row>
    <row r="210">
      <c r="A210" s="8" t="n">
        <v>21</v>
      </c>
      <c r="B210" s="8" t="inlineStr">
        <is>
          <t>CASH_IN</t>
        </is>
      </c>
      <c r="C210" s="9" t="n">
        <v>18796.79</v>
      </c>
      <c r="D210" s="8" t="inlineStr">
        <is>
          <t>C2137678320</t>
        </is>
      </c>
      <c r="E210" s="9" t="n">
        <v>38039</v>
      </c>
      <c r="F210" s="9" t="n">
        <v>56835.79</v>
      </c>
      <c r="G210" s="8" t="inlineStr">
        <is>
          <t>C1453626255</t>
        </is>
      </c>
      <c r="H210" s="9" t="n">
        <v>350053.02</v>
      </c>
      <c r="I210" s="9" t="n">
        <v>331256.24</v>
      </c>
      <c r="J210" s="10" t="n">
        <v>0</v>
      </c>
      <c r="K210" s="8" t="n">
        <v>0</v>
      </c>
      <c r="L210" s="8" t="n">
        <v>0</v>
      </c>
      <c r="M210" s="9" t="n">
        <v>312014.02</v>
      </c>
      <c r="N210" s="9" t="n">
        <v>37593.58</v>
      </c>
      <c r="O210" s="9" t="n">
        <v>37593.57</v>
      </c>
      <c r="P210" s="8" t="n">
        <v>1</v>
      </c>
      <c r="Q210" s="8" t="n">
        <v>0</v>
      </c>
    </row>
    <row r="211">
      <c r="A211" s="8" t="n">
        <v>201</v>
      </c>
      <c r="B211" s="8" t="inlineStr">
        <is>
          <t>PAYMENT</t>
        </is>
      </c>
      <c r="C211" s="9" t="n">
        <v>6045.73</v>
      </c>
      <c r="D211" s="8" t="inlineStr">
        <is>
          <t>C2133258474</t>
        </is>
      </c>
      <c r="E211" s="9" t="n">
        <v>0</v>
      </c>
      <c r="F211" s="9" t="n">
        <v>0</v>
      </c>
      <c r="G211" s="8" t="inlineStr">
        <is>
          <t>M806830551</t>
        </is>
      </c>
      <c r="H211" s="9" t="n">
        <v>0</v>
      </c>
      <c r="I211" s="9" t="n">
        <v>0</v>
      </c>
      <c r="J211" s="10" t="n">
        <v>0</v>
      </c>
      <c r="K211" s="8" t="n">
        <v>1</v>
      </c>
      <c r="L211" s="8" t="n">
        <v>0</v>
      </c>
      <c r="M211" s="9" t="n">
        <v>0</v>
      </c>
      <c r="N211" s="9" t="n">
        <v>6045.73</v>
      </c>
      <c r="O211" s="9" t="n">
        <v>6045.73</v>
      </c>
      <c r="P211" s="8" t="n">
        <v>0</v>
      </c>
      <c r="Q211" s="8" t="n">
        <v>0</v>
      </c>
    </row>
    <row r="212">
      <c r="A212" s="8" t="n">
        <v>581</v>
      </c>
      <c r="B212" s="8" t="inlineStr">
        <is>
          <t>TRANSFER</t>
        </is>
      </c>
      <c r="C212" s="9" t="n">
        <v>801763.51</v>
      </c>
      <c r="D212" s="8" t="inlineStr">
        <is>
          <t>C1070533651</t>
        </is>
      </c>
      <c r="E212" s="9" t="n">
        <v>801763.51</v>
      </c>
      <c r="F212" s="9" t="n">
        <v>0</v>
      </c>
      <c r="G212" s="8" t="inlineStr">
        <is>
          <t>C1336603610</t>
        </is>
      </c>
      <c r="H212" s="9" t="n">
        <v>0</v>
      </c>
      <c r="I212" s="9" t="n">
        <v>0</v>
      </c>
      <c r="J212" s="11" t="n">
        <v>1</v>
      </c>
      <c r="K212" s="8" t="n">
        <v>0</v>
      </c>
      <c r="L212" s="8" t="n">
        <v>1</v>
      </c>
      <c r="M212" s="9" t="n">
        <v>801763.51</v>
      </c>
      <c r="N212" s="9" t="n">
        <v>0</v>
      </c>
      <c r="O212" s="9" t="n">
        <v>801763.51</v>
      </c>
      <c r="P212" s="8" t="n">
        <v>1</v>
      </c>
      <c r="Q212" s="8" t="n">
        <v>1</v>
      </c>
    </row>
    <row r="213">
      <c r="A213" s="8" t="n">
        <v>209</v>
      </c>
      <c r="B213" s="8" t="inlineStr">
        <is>
          <t>CASH_OUT</t>
        </is>
      </c>
      <c r="C213" s="9" t="n">
        <v>186035.03</v>
      </c>
      <c r="D213" s="8" t="inlineStr">
        <is>
          <t>C1316861785</t>
        </is>
      </c>
      <c r="E213" s="9" t="n">
        <v>19993.93</v>
      </c>
      <c r="F213" s="9" t="n">
        <v>0</v>
      </c>
      <c r="G213" s="8" t="inlineStr">
        <is>
          <t>C784763189</t>
        </is>
      </c>
      <c r="H213" s="9" t="n">
        <v>1203456.99</v>
      </c>
      <c r="I213" s="9" t="n">
        <v>1389492.02</v>
      </c>
      <c r="J213" s="10" t="n">
        <v>0</v>
      </c>
      <c r="K213" s="8" t="n">
        <v>0</v>
      </c>
      <c r="L213" s="8" t="n">
        <v>1</v>
      </c>
      <c r="M213" s="9" t="n">
        <v>1183463.06</v>
      </c>
      <c r="N213" s="9" t="n">
        <v>166041.1</v>
      </c>
      <c r="O213" s="9" t="n">
        <v>0</v>
      </c>
      <c r="P213" s="8" t="n">
        <v>1</v>
      </c>
      <c r="Q213" s="8" t="n">
        <v>0</v>
      </c>
    </row>
    <row r="214">
      <c r="A214" s="8" t="n">
        <v>34</v>
      </c>
      <c r="B214" s="8" t="inlineStr">
        <is>
          <t>CASH_OUT</t>
        </is>
      </c>
      <c r="C214" s="9" t="n">
        <v>332020.17</v>
      </c>
      <c r="D214" s="8" t="inlineStr">
        <is>
          <t>C260815811</t>
        </is>
      </c>
      <c r="E214" s="9" t="n">
        <v>0</v>
      </c>
      <c r="F214" s="9" t="n">
        <v>0</v>
      </c>
      <c r="G214" s="8" t="inlineStr">
        <is>
          <t>C901083483</t>
        </is>
      </c>
      <c r="H214" s="9" t="n">
        <v>639933.22</v>
      </c>
      <c r="I214" s="9" t="n">
        <v>971953.39</v>
      </c>
      <c r="J214" s="10" t="n">
        <v>0</v>
      </c>
      <c r="K214" s="8" t="n">
        <v>0</v>
      </c>
      <c r="L214" s="8" t="n">
        <v>1</v>
      </c>
      <c r="M214" s="9" t="n">
        <v>639933.22</v>
      </c>
      <c r="N214" s="9" t="n">
        <v>332020.17</v>
      </c>
      <c r="O214" s="9" t="n">
        <v>-0</v>
      </c>
      <c r="P214" s="8" t="n">
        <v>1</v>
      </c>
      <c r="Q214" s="8" t="n">
        <v>0</v>
      </c>
    </row>
    <row r="215">
      <c r="A215" s="8" t="n">
        <v>286</v>
      </c>
      <c r="B215" s="8" t="inlineStr">
        <is>
          <t>CASH_IN</t>
        </is>
      </c>
      <c r="C215" s="9" t="n">
        <v>34830.92</v>
      </c>
      <c r="D215" s="8" t="inlineStr">
        <is>
          <t>C1213716906</t>
        </is>
      </c>
      <c r="E215" s="9" t="n">
        <v>14777295.64</v>
      </c>
      <c r="F215" s="9" t="n">
        <v>14812126.56</v>
      </c>
      <c r="G215" s="8" t="inlineStr">
        <is>
          <t>C1148231313</t>
        </is>
      </c>
      <c r="H215" s="9" t="n">
        <v>1424609.11</v>
      </c>
      <c r="I215" s="9" t="n">
        <v>1389778.19</v>
      </c>
      <c r="J215" s="10" t="n">
        <v>0</v>
      </c>
      <c r="K215" s="8" t="n">
        <v>0</v>
      </c>
      <c r="L215" s="8" t="n">
        <v>0</v>
      </c>
      <c r="M215" s="9" t="n">
        <v>13352686.53</v>
      </c>
      <c r="N215" s="9" t="n">
        <v>69661.84</v>
      </c>
      <c r="O215" s="9" t="n">
        <v>69661.84</v>
      </c>
      <c r="P215" s="8" t="n">
        <v>1</v>
      </c>
      <c r="Q215" s="8" t="n">
        <v>0</v>
      </c>
    </row>
    <row r="216">
      <c r="A216" s="8" t="n">
        <v>140</v>
      </c>
      <c r="B216" s="8" t="inlineStr">
        <is>
          <t>CASH_OUT</t>
        </is>
      </c>
      <c r="C216" s="9" t="n">
        <v>38316.75</v>
      </c>
      <c r="D216" s="8" t="inlineStr">
        <is>
          <t>C1067456653</t>
        </is>
      </c>
      <c r="E216" s="9" t="n">
        <v>178122</v>
      </c>
      <c r="F216" s="9" t="n">
        <v>139805.25</v>
      </c>
      <c r="G216" s="8" t="inlineStr">
        <is>
          <t>C1439421156</t>
        </is>
      </c>
      <c r="H216" s="9" t="n">
        <v>0</v>
      </c>
      <c r="I216" s="9" t="n">
        <v>38316.75</v>
      </c>
      <c r="J216" s="10" t="n">
        <v>0</v>
      </c>
      <c r="K216" s="8" t="n">
        <v>0</v>
      </c>
      <c r="L216" s="8" t="n">
        <v>1</v>
      </c>
      <c r="M216" s="9" t="n">
        <v>178122</v>
      </c>
      <c r="N216" s="9" t="n">
        <v>0</v>
      </c>
      <c r="O216" s="9" t="n">
        <v>0</v>
      </c>
      <c r="P216" s="8" t="n">
        <v>1</v>
      </c>
      <c r="Q216" s="8" t="n">
        <v>1</v>
      </c>
    </row>
    <row r="217">
      <c r="A217" s="8" t="n">
        <v>237</v>
      </c>
      <c r="B217" s="8" t="inlineStr">
        <is>
          <t>PAYMENT</t>
        </is>
      </c>
      <c r="C217" s="9" t="n">
        <v>14458.49</v>
      </c>
      <c r="D217" s="8" t="inlineStr">
        <is>
          <t>C1365897933</t>
        </is>
      </c>
      <c r="E217" s="9" t="n">
        <v>0</v>
      </c>
      <c r="F217" s="9" t="n">
        <v>0</v>
      </c>
      <c r="G217" s="8" t="inlineStr">
        <is>
          <t>M51192841</t>
        </is>
      </c>
      <c r="H217" s="9" t="n">
        <v>0</v>
      </c>
      <c r="I217" s="9" t="n">
        <v>0</v>
      </c>
      <c r="J217" s="10" t="n">
        <v>0</v>
      </c>
      <c r="K217" s="8" t="n">
        <v>1</v>
      </c>
      <c r="L217" s="8" t="n">
        <v>0</v>
      </c>
      <c r="M217" s="9" t="n">
        <v>0</v>
      </c>
      <c r="N217" s="9" t="n">
        <v>14458.49</v>
      </c>
      <c r="O217" s="9" t="n">
        <v>14458.49</v>
      </c>
      <c r="P217" s="8" t="n">
        <v>0</v>
      </c>
      <c r="Q217" s="8" t="n">
        <v>0</v>
      </c>
    </row>
    <row r="218">
      <c r="A218" s="8" t="n">
        <v>394</v>
      </c>
      <c r="B218" s="8" t="inlineStr">
        <is>
          <t>CASH_IN</t>
        </is>
      </c>
      <c r="C218" s="9" t="n">
        <v>133384.97</v>
      </c>
      <c r="D218" s="8" t="inlineStr">
        <is>
          <t>C1689690571</t>
        </is>
      </c>
      <c r="E218" s="9" t="n">
        <v>4190844.61</v>
      </c>
      <c r="F218" s="9" t="n">
        <v>4324229.57</v>
      </c>
      <c r="G218" s="8" t="inlineStr">
        <is>
          <t>C1450943424</t>
        </is>
      </c>
      <c r="H218" s="9" t="n">
        <v>316069.68</v>
      </c>
      <c r="I218" s="9" t="n">
        <v>182684.72</v>
      </c>
      <c r="J218" s="10" t="n">
        <v>0</v>
      </c>
      <c r="K218" s="8" t="n">
        <v>0</v>
      </c>
      <c r="L218" s="8" t="n">
        <v>0</v>
      </c>
      <c r="M218" s="9" t="n">
        <v>3874774.93</v>
      </c>
      <c r="N218" s="9" t="n">
        <v>266769.93</v>
      </c>
      <c r="O218" s="9" t="n">
        <v>266769.93</v>
      </c>
      <c r="P218" s="8" t="n">
        <v>1</v>
      </c>
      <c r="Q218" s="8" t="n">
        <v>0</v>
      </c>
    </row>
    <row r="219">
      <c r="A219" s="8" t="n">
        <v>140</v>
      </c>
      <c r="B219" s="8" t="inlineStr">
        <is>
          <t>CASH_IN</t>
        </is>
      </c>
      <c r="C219" s="9" t="n">
        <v>137907.05</v>
      </c>
      <c r="D219" s="8" t="inlineStr">
        <is>
          <t>C2045042905</t>
        </is>
      </c>
      <c r="E219" s="9" t="n">
        <v>2484704.7</v>
      </c>
      <c r="F219" s="9" t="n">
        <v>2622611.75</v>
      </c>
      <c r="G219" s="8" t="inlineStr">
        <is>
          <t>C519750499</t>
        </is>
      </c>
      <c r="H219" s="9" t="n">
        <v>1271253.94</v>
      </c>
      <c r="I219" s="9" t="n">
        <v>1133346.89</v>
      </c>
      <c r="J219" s="10" t="n">
        <v>0</v>
      </c>
      <c r="K219" s="8" t="n">
        <v>0</v>
      </c>
      <c r="L219" s="8" t="n">
        <v>0</v>
      </c>
      <c r="M219" s="9" t="n">
        <v>1213450.76</v>
      </c>
      <c r="N219" s="9" t="n">
        <v>275814.1</v>
      </c>
      <c r="O219" s="9" t="n">
        <v>275814.1</v>
      </c>
      <c r="P219" s="8" t="n">
        <v>1</v>
      </c>
      <c r="Q219" s="8" t="n">
        <v>0</v>
      </c>
    </row>
    <row r="220">
      <c r="A220" s="8" t="n">
        <v>486</v>
      </c>
      <c r="B220" s="8" t="inlineStr">
        <is>
          <t>TRANSFER</t>
        </is>
      </c>
      <c r="C220" s="9" t="n">
        <v>4505012.56</v>
      </c>
      <c r="D220" s="8" t="inlineStr">
        <is>
          <t>C1899244815</t>
        </is>
      </c>
      <c r="E220" s="9" t="n">
        <v>4505012.56</v>
      </c>
      <c r="F220" s="9" t="n">
        <v>0</v>
      </c>
      <c r="G220" s="8" t="inlineStr">
        <is>
          <t>C1848485369</t>
        </is>
      </c>
      <c r="H220" s="9" t="n">
        <v>0</v>
      </c>
      <c r="I220" s="9" t="n">
        <v>0</v>
      </c>
      <c r="J220" s="11" t="n">
        <v>1</v>
      </c>
      <c r="K220" s="8" t="n">
        <v>0</v>
      </c>
      <c r="L220" s="8" t="n">
        <v>1</v>
      </c>
      <c r="M220" s="9" t="n">
        <v>4505012.56</v>
      </c>
      <c r="N220" s="9" t="n">
        <v>0</v>
      </c>
      <c r="O220" s="9" t="n">
        <v>4505012.56</v>
      </c>
      <c r="P220" s="8" t="n">
        <v>1</v>
      </c>
      <c r="Q220" s="8" t="n">
        <v>1</v>
      </c>
    </row>
    <row r="221">
      <c r="A221" s="8" t="n">
        <v>212</v>
      </c>
      <c r="B221" s="8" t="inlineStr">
        <is>
          <t>TRANSFER</t>
        </is>
      </c>
      <c r="C221" s="9" t="n">
        <v>5131896.17</v>
      </c>
      <c r="D221" s="8" t="inlineStr">
        <is>
          <t>C226207762</t>
        </is>
      </c>
      <c r="E221" s="9" t="n">
        <v>5131896.17</v>
      </c>
      <c r="F221" s="9" t="n">
        <v>0</v>
      </c>
      <c r="G221" s="8" t="inlineStr">
        <is>
          <t>C290920701</t>
        </is>
      </c>
      <c r="H221" s="9" t="n">
        <v>0</v>
      </c>
      <c r="I221" s="9" t="n">
        <v>0</v>
      </c>
      <c r="J221" s="11" t="n">
        <v>1</v>
      </c>
      <c r="K221" s="8" t="n">
        <v>0</v>
      </c>
      <c r="L221" s="8" t="n">
        <v>1</v>
      </c>
      <c r="M221" s="9" t="n">
        <v>5131896.17</v>
      </c>
      <c r="N221" s="9" t="n">
        <v>0</v>
      </c>
      <c r="O221" s="9" t="n">
        <v>5131896.17</v>
      </c>
      <c r="P221" s="8" t="n">
        <v>1</v>
      </c>
      <c r="Q221" s="8" t="n">
        <v>1</v>
      </c>
    </row>
    <row r="222">
      <c r="A222" s="8" t="n">
        <v>81</v>
      </c>
      <c r="B222" s="8" t="inlineStr">
        <is>
          <t>CASH_OUT</t>
        </is>
      </c>
      <c r="C222" s="9" t="n">
        <v>2737766.8</v>
      </c>
      <c r="D222" s="8" t="inlineStr">
        <is>
          <t>C1419156412</t>
        </is>
      </c>
      <c r="E222" s="9" t="n">
        <v>2737766.8</v>
      </c>
      <c r="F222" s="9" t="n">
        <v>0</v>
      </c>
      <c r="G222" s="8" t="inlineStr">
        <is>
          <t>C31490801</t>
        </is>
      </c>
      <c r="H222" s="9" t="n">
        <v>0</v>
      </c>
      <c r="I222" s="9" t="n">
        <v>2737766.8</v>
      </c>
      <c r="J222" s="11" t="n">
        <v>1</v>
      </c>
      <c r="K222" s="8" t="n">
        <v>0</v>
      </c>
      <c r="L222" s="8" t="n">
        <v>1</v>
      </c>
      <c r="M222" s="9" t="n">
        <v>2737766.8</v>
      </c>
      <c r="N222" s="9" t="n">
        <v>0</v>
      </c>
      <c r="O222" s="9" t="n">
        <v>0</v>
      </c>
      <c r="P222" s="8" t="n">
        <v>1</v>
      </c>
      <c r="Q222" s="8" t="n">
        <v>1</v>
      </c>
    </row>
    <row r="223">
      <c r="A223" s="8" t="n">
        <v>570</v>
      </c>
      <c r="B223" s="8" t="inlineStr">
        <is>
          <t>TRANSFER</t>
        </is>
      </c>
      <c r="C223" s="9" t="n">
        <v>3712.11</v>
      </c>
      <c r="D223" s="8" t="inlineStr">
        <is>
          <t>C940426725</t>
        </is>
      </c>
      <c r="E223" s="9" t="n">
        <v>3712.11</v>
      </c>
      <c r="F223" s="9" t="n">
        <v>0</v>
      </c>
      <c r="G223" s="8" t="inlineStr">
        <is>
          <t>C2024297782</t>
        </is>
      </c>
      <c r="H223" s="9" t="n">
        <v>0</v>
      </c>
      <c r="I223" s="9" t="n">
        <v>0</v>
      </c>
      <c r="J223" s="11" t="n">
        <v>1</v>
      </c>
      <c r="K223" s="8" t="n">
        <v>0</v>
      </c>
      <c r="L223" s="8" t="n">
        <v>1</v>
      </c>
      <c r="M223" s="9" t="n">
        <v>3712.11</v>
      </c>
      <c r="N223" s="9" t="n">
        <v>0</v>
      </c>
      <c r="O223" s="9" t="n">
        <v>3712.11</v>
      </c>
      <c r="P223" s="8" t="n">
        <v>1</v>
      </c>
      <c r="Q223" s="8" t="n">
        <v>1</v>
      </c>
    </row>
    <row r="224">
      <c r="A224" s="8" t="n">
        <v>242</v>
      </c>
      <c r="B224" s="8" t="inlineStr">
        <is>
          <t>CASH_OUT</t>
        </is>
      </c>
      <c r="C224" s="9" t="n">
        <v>509985.31</v>
      </c>
      <c r="D224" s="8" t="inlineStr">
        <is>
          <t>C1144385106</t>
        </is>
      </c>
      <c r="E224" s="9" t="n">
        <v>509985.31</v>
      </c>
      <c r="F224" s="9" t="n">
        <v>0</v>
      </c>
      <c r="G224" s="8" t="inlineStr">
        <is>
          <t>C2013070624</t>
        </is>
      </c>
      <c r="H224" s="9" t="n">
        <v>0</v>
      </c>
      <c r="I224" s="9" t="n">
        <v>509985.31</v>
      </c>
      <c r="J224" s="11" t="n">
        <v>1</v>
      </c>
      <c r="K224" s="8" t="n">
        <v>0</v>
      </c>
      <c r="L224" s="8" t="n">
        <v>1</v>
      </c>
      <c r="M224" s="9" t="n">
        <v>509985.31</v>
      </c>
      <c r="N224" s="9" t="n">
        <v>0</v>
      </c>
      <c r="O224" s="9" t="n">
        <v>0</v>
      </c>
      <c r="P224" s="8" t="n">
        <v>1</v>
      </c>
      <c r="Q224" s="8" t="n">
        <v>1</v>
      </c>
    </row>
    <row r="225">
      <c r="A225" s="8" t="n">
        <v>210</v>
      </c>
      <c r="B225" s="8" t="inlineStr">
        <is>
          <t>PAYMENT</t>
        </is>
      </c>
      <c r="C225" s="9" t="n">
        <v>8591.690000000001</v>
      </c>
      <c r="D225" s="8" t="inlineStr">
        <is>
          <t>C1333955534</t>
        </is>
      </c>
      <c r="E225" s="9" t="n">
        <v>138865</v>
      </c>
      <c r="F225" s="9" t="n">
        <v>130273.31</v>
      </c>
      <c r="G225" s="8" t="inlineStr">
        <is>
          <t>M1516342107</t>
        </is>
      </c>
      <c r="H225" s="9" t="n">
        <v>0</v>
      </c>
      <c r="I225" s="9" t="n">
        <v>0</v>
      </c>
      <c r="J225" s="10" t="n">
        <v>0</v>
      </c>
      <c r="K225" s="8" t="n">
        <v>1</v>
      </c>
      <c r="L225" s="8" t="n">
        <v>0</v>
      </c>
      <c r="M225" s="9" t="n">
        <v>138865</v>
      </c>
      <c r="N225" s="9" t="n">
        <v>0</v>
      </c>
      <c r="O225" s="9" t="n">
        <v>8591.690000000001</v>
      </c>
      <c r="P225" s="8" t="n">
        <v>0</v>
      </c>
      <c r="Q225" s="8" t="n">
        <v>1</v>
      </c>
    </row>
    <row r="226">
      <c r="A226" s="8" t="n">
        <v>404</v>
      </c>
      <c r="B226" s="8" t="inlineStr">
        <is>
          <t>TRANSFER</t>
        </is>
      </c>
      <c r="C226" s="9" t="n">
        <v>40359.75</v>
      </c>
      <c r="D226" s="8" t="inlineStr">
        <is>
          <t>C364009492</t>
        </is>
      </c>
      <c r="E226" s="9" t="n">
        <v>40359.75</v>
      </c>
      <c r="F226" s="9" t="n">
        <v>0</v>
      </c>
      <c r="G226" s="8" t="inlineStr">
        <is>
          <t>C718391314</t>
        </is>
      </c>
      <c r="H226" s="9" t="n">
        <v>0</v>
      </c>
      <c r="I226" s="9" t="n">
        <v>0</v>
      </c>
      <c r="J226" s="11" t="n">
        <v>1</v>
      </c>
      <c r="K226" s="8" t="n">
        <v>0</v>
      </c>
      <c r="L226" s="8" t="n">
        <v>1</v>
      </c>
      <c r="M226" s="9" t="n">
        <v>40359.75</v>
      </c>
      <c r="N226" s="9" t="n">
        <v>0</v>
      </c>
      <c r="O226" s="9" t="n">
        <v>40359.75</v>
      </c>
      <c r="P226" s="8" t="n">
        <v>1</v>
      </c>
      <c r="Q226" s="8" t="n">
        <v>1</v>
      </c>
    </row>
    <row r="227">
      <c r="A227" s="8" t="n">
        <v>33</v>
      </c>
      <c r="B227" s="8" t="inlineStr">
        <is>
          <t>CASH_OUT</t>
        </is>
      </c>
      <c r="C227" s="9" t="n">
        <v>136965.93</v>
      </c>
      <c r="D227" s="8" t="inlineStr">
        <is>
          <t>C1314287455</t>
        </is>
      </c>
      <c r="E227" s="9" t="n">
        <v>0</v>
      </c>
      <c r="F227" s="9" t="n">
        <v>0</v>
      </c>
      <c r="G227" s="8" t="inlineStr">
        <is>
          <t>C1755130739</t>
        </is>
      </c>
      <c r="H227" s="9" t="n">
        <v>2516174.33</v>
      </c>
      <c r="I227" s="9" t="n">
        <v>2653140.26</v>
      </c>
      <c r="J227" s="10" t="n">
        <v>0</v>
      </c>
      <c r="K227" s="8" t="n">
        <v>0</v>
      </c>
      <c r="L227" s="8" t="n">
        <v>1</v>
      </c>
      <c r="M227" s="9" t="n">
        <v>2516174.33</v>
      </c>
      <c r="N227" s="9" t="n">
        <v>136965.93</v>
      </c>
      <c r="O227" s="9" t="n">
        <v>0</v>
      </c>
      <c r="P227" s="8" t="n">
        <v>1</v>
      </c>
      <c r="Q227" s="8" t="n">
        <v>0</v>
      </c>
    </row>
    <row r="228">
      <c r="A228" s="8" t="n">
        <v>212</v>
      </c>
      <c r="B228" s="8" t="inlineStr">
        <is>
          <t>CASH_OUT</t>
        </is>
      </c>
      <c r="C228" s="9" t="n">
        <v>265387.58</v>
      </c>
      <c r="D228" s="8" t="inlineStr">
        <is>
          <t>C2064904239</t>
        </is>
      </c>
      <c r="E228" s="9" t="n">
        <v>533</v>
      </c>
      <c r="F228" s="9" t="n">
        <v>0</v>
      </c>
      <c r="G228" s="8" t="inlineStr">
        <is>
          <t>C1954649468</t>
        </is>
      </c>
      <c r="H228" s="9" t="n">
        <v>967247.36</v>
      </c>
      <c r="I228" s="9" t="n">
        <v>1232634.94</v>
      </c>
      <c r="J228" s="10" t="n">
        <v>0</v>
      </c>
      <c r="K228" s="8" t="n">
        <v>0</v>
      </c>
      <c r="L228" s="8" t="n">
        <v>1</v>
      </c>
      <c r="M228" s="9" t="n">
        <v>966714.36</v>
      </c>
      <c r="N228" s="9" t="n">
        <v>264854.58</v>
      </c>
      <c r="O228" s="9" t="n">
        <v>0</v>
      </c>
      <c r="P228" s="8" t="n">
        <v>1</v>
      </c>
      <c r="Q228" s="8" t="n">
        <v>0</v>
      </c>
    </row>
    <row r="229">
      <c r="A229" s="8" t="n">
        <v>234</v>
      </c>
      <c r="B229" s="8" t="inlineStr">
        <is>
          <t>PAYMENT</t>
        </is>
      </c>
      <c r="C229" s="9" t="n">
        <v>8851.34</v>
      </c>
      <c r="D229" s="8" t="inlineStr">
        <is>
          <t>C572872280</t>
        </is>
      </c>
      <c r="E229" s="9" t="n">
        <v>127884.64</v>
      </c>
      <c r="F229" s="9" t="n">
        <v>119033.3</v>
      </c>
      <c r="G229" s="8" t="inlineStr">
        <is>
          <t>M218943220</t>
        </is>
      </c>
      <c r="H229" s="9" t="n">
        <v>0</v>
      </c>
      <c r="I229" s="9" t="n">
        <v>0</v>
      </c>
      <c r="J229" s="10" t="n">
        <v>0</v>
      </c>
      <c r="K229" s="8" t="n">
        <v>1</v>
      </c>
      <c r="L229" s="8" t="n">
        <v>0</v>
      </c>
      <c r="M229" s="9" t="n">
        <v>127884.64</v>
      </c>
      <c r="N229" s="9" t="n">
        <v>0</v>
      </c>
      <c r="O229" s="9" t="n">
        <v>8851.34</v>
      </c>
      <c r="P229" s="8" t="n">
        <v>0</v>
      </c>
      <c r="Q229" s="8" t="n">
        <v>1</v>
      </c>
    </row>
    <row r="230">
      <c r="A230" s="8" t="n">
        <v>211</v>
      </c>
      <c r="B230" s="8" t="inlineStr">
        <is>
          <t>CASH_IN</t>
        </is>
      </c>
      <c r="C230" s="9" t="n">
        <v>188803.65</v>
      </c>
      <c r="D230" s="8" t="inlineStr">
        <is>
          <t>C1025478218</t>
        </is>
      </c>
      <c r="E230" s="9" t="n">
        <v>3593248.26</v>
      </c>
      <c r="F230" s="9" t="n">
        <v>3782051.9</v>
      </c>
      <c r="G230" s="8" t="inlineStr">
        <is>
          <t>C2138377733</t>
        </is>
      </c>
      <c r="H230" s="9" t="n">
        <v>592079.24</v>
      </c>
      <c r="I230" s="9" t="n">
        <v>403275.59</v>
      </c>
      <c r="J230" s="10" t="n">
        <v>0</v>
      </c>
      <c r="K230" s="8" t="n">
        <v>0</v>
      </c>
      <c r="L230" s="8" t="n">
        <v>0</v>
      </c>
      <c r="M230" s="9" t="n">
        <v>3001169.02</v>
      </c>
      <c r="N230" s="9" t="n">
        <v>377607.29</v>
      </c>
      <c r="O230" s="9" t="n">
        <v>377607.3</v>
      </c>
      <c r="P230" s="8" t="n">
        <v>1</v>
      </c>
      <c r="Q230" s="8" t="n">
        <v>0</v>
      </c>
    </row>
    <row r="231">
      <c r="A231" s="8" t="n">
        <v>335</v>
      </c>
      <c r="B231" s="8" t="inlineStr">
        <is>
          <t>PAYMENT</t>
        </is>
      </c>
      <c r="C231" s="9" t="n">
        <v>206.69</v>
      </c>
      <c r="D231" s="8" t="inlineStr">
        <is>
          <t>C1577894888</t>
        </is>
      </c>
      <c r="E231" s="9" t="n">
        <v>130371</v>
      </c>
      <c r="F231" s="9" t="n">
        <v>130164.31</v>
      </c>
      <c r="G231" s="8" t="inlineStr">
        <is>
          <t>M429362734</t>
        </is>
      </c>
      <c r="H231" s="9" t="n">
        <v>0</v>
      </c>
      <c r="I231" s="9" t="n">
        <v>0</v>
      </c>
      <c r="J231" s="10" t="n">
        <v>0</v>
      </c>
      <c r="K231" s="8" t="n">
        <v>1</v>
      </c>
      <c r="L231" s="8" t="n">
        <v>0</v>
      </c>
      <c r="M231" s="9" t="n">
        <v>130371</v>
      </c>
      <c r="N231" s="9" t="n">
        <v>0</v>
      </c>
      <c r="O231" s="9" t="n">
        <v>206.69</v>
      </c>
      <c r="P231" s="8" t="n">
        <v>0</v>
      </c>
      <c r="Q231" s="8" t="n">
        <v>1</v>
      </c>
    </row>
    <row r="232">
      <c r="A232" s="8" t="n">
        <v>21</v>
      </c>
      <c r="B232" s="8" t="inlineStr">
        <is>
          <t>CASH_OUT</t>
        </is>
      </c>
      <c r="C232" s="9" t="n">
        <v>106044.06</v>
      </c>
      <c r="D232" s="8" t="inlineStr">
        <is>
          <t>C1540622438</t>
        </is>
      </c>
      <c r="E232" s="9" t="n">
        <v>0</v>
      </c>
      <c r="F232" s="9" t="n">
        <v>0</v>
      </c>
      <c r="G232" s="8" t="inlineStr">
        <is>
          <t>C1202769194</t>
        </is>
      </c>
      <c r="H232" s="9" t="n">
        <v>1645548.08</v>
      </c>
      <c r="I232" s="9" t="n">
        <v>1751592.15</v>
      </c>
      <c r="J232" s="10" t="n">
        <v>0</v>
      </c>
      <c r="K232" s="8" t="n">
        <v>0</v>
      </c>
      <c r="L232" s="8" t="n">
        <v>1</v>
      </c>
      <c r="M232" s="9" t="n">
        <v>1645548.08</v>
      </c>
      <c r="N232" s="9" t="n">
        <v>106044.06</v>
      </c>
      <c r="O232" s="9" t="n">
        <v>-0.01</v>
      </c>
      <c r="P232" s="8" t="n">
        <v>1</v>
      </c>
      <c r="Q232" s="8" t="n">
        <v>0</v>
      </c>
    </row>
    <row r="233">
      <c r="A233" s="8" t="n">
        <v>374</v>
      </c>
      <c r="B233" s="8" t="inlineStr">
        <is>
          <t>PAYMENT</t>
        </is>
      </c>
      <c r="C233" s="9" t="n">
        <v>13412.94</v>
      </c>
      <c r="D233" s="8" t="inlineStr">
        <is>
          <t>C713704678</t>
        </is>
      </c>
      <c r="E233" s="9" t="n">
        <v>105056</v>
      </c>
      <c r="F233" s="9" t="n">
        <v>91643.06</v>
      </c>
      <c r="G233" s="8" t="inlineStr">
        <is>
          <t>M114661225</t>
        </is>
      </c>
      <c r="H233" s="9" t="n">
        <v>0</v>
      </c>
      <c r="I233" s="9" t="n">
        <v>0</v>
      </c>
      <c r="J233" s="10" t="n">
        <v>0</v>
      </c>
      <c r="K233" s="8" t="n">
        <v>1</v>
      </c>
      <c r="L233" s="8" t="n">
        <v>0</v>
      </c>
      <c r="M233" s="9" t="n">
        <v>105056</v>
      </c>
      <c r="N233" s="9" t="n">
        <v>0</v>
      </c>
      <c r="O233" s="9" t="n">
        <v>13412.94</v>
      </c>
      <c r="P233" s="8" t="n">
        <v>0</v>
      </c>
      <c r="Q233" s="8" t="n">
        <v>1</v>
      </c>
    </row>
    <row r="234">
      <c r="A234" s="8" t="n">
        <v>202</v>
      </c>
      <c r="B234" s="8" t="inlineStr">
        <is>
          <t>CASH_OUT</t>
        </is>
      </c>
      <c r="C234" s="9" t="n">
        <v>16446.82</v>
      </c>
      <c r="D234" s="8" t="inlineStr">
        <is>
          <t>C487958614</t>
        </is>
      </c>
      <c r="E234" s="9" t="n">
        <v>3958</v>
      </c>
      <c r="F234" s="9" t="n">
        <v>0</v>
      </c>
      <c r="G234" s="8" t="inlineStr">
        <is>
          <t>C807118736</t>
        </is>
      </c>
      <c r="H234" s="9" t="n">
        <v>188618.68</v>
      </c>
      <c r="I234" s="9" t="n">
        <v>205065.5</v>
      </c>
      <c r="J234" s="10" t="n">
        <v>0</v>
      </c>
      <c r="K234" s="8" t="n">
        <v>0</v>
      </c>
      <c r="L234" s="8" t="n">
        <v>1</v>
      </c>
      <c r="M234" s="9" t="n">
        <v>184660.68</v>
      </c>
      <c r="N234" s="9" t="n">
        <v>12488.82</v>
      </c>
      <c r="O234" s="9" t="n">
        <v>0</v>
      </c>
      <c r="P234" s="8" t="n">
        <v>1</v>
      </c>
      <c r="Q234" s="8" t="n">
        <v>0</v>
      </c>
    </row>
    <row r="235">
      <c r="A235" s="8" t="n">
        <v>33</v>
      </c>
      <c r="B235" s="8" t="inlineStr">
        <is>
          <t>PAYMENT</t>
        </is>
      </c>
      <c r="C235" s="9" t="n">
        <v>13955.32</v>
      </c>
      <c r="D235" s="8" t="inlineStr">
        <is>
          <t>C1069330845</t>
        </is>
      </c>
      <c r="E235" s="9" t="n">
        <v>52193</v>
      </c>
      <c r="F235" s="9" t="n">
        <v>38237.68</v>
      </c>
      <c r="G235" s="8" t="inlineStr">
        <is>
          <t>M2139044069</t>
        </is>
      </c>
      <c r="H235" s="9" t="n">
        <v>0</v>
      </c>
      <c r="I235" s="9" t="n">
        <v>0</v>
      </c>
      <c r="J235" s="10" t="n">
        <v>0</v>
      </c>
      <c r="K235" s="8" t="n">
        <v>1</v>
      </c>
      <c r="L235" s="8" t="n">
        <v>0</v>
      </c>
      <c r="M235" s="9" t="n">
        <v>52193</v>
      </c>
      <c r="N235" s="9" t="n">
        <v>0</v>
      </c>
      <c r="O235" s="9" t="n">
        <v>13955.32</v>
      </c>
      <c r="P235" s="8" t="n">
        <v>0</v>
      </c>
      <c r="Q235" s="8" t="n">
        <v>1</v>
      </c>
    </row>
    <row r="236">
      <c r="A236" s="8" t="n">
        <v>477</v>
      </c>
      <c r="B236" s="8" t="inlineStr">
        <is>
          <t>TRANSFER</t>
        </is>
      </c>
      <c r="C236" s="9" t="n">
        <v>9639524.699999999</v>
      </c>
      <c r="D236" s="8" t="inlineStr">
        <is>
          <t>C1490771263</t>
        </is>
      </c>
      <c r="E236" s="9" t="n">
        <v>9639524.699999999</v>
      </c>
      <c r="F236" s="9" t="n">
        <v>0</v>
      </c>
      <c r="G236" s="8" t="inlineStr">
        <is>
          <t>C486822956</t>
        </is>
      </c>
      <c r="H236" s="9" t="n">
        <v>0</v>
      </c>
      <c r="I236" s="9" t="n">
        <v>0</v>
      </c>
      <c r="J236" s="11" t="n">
        <v>1</v>
      </c>
      <c r="K236" s="8" t="n">
        <v>0</v>
      </c>
      <c r="L236" s="8" t="n">
        <v>1</v>
      </c>
      <c r="M236" s="9" t="n">
        <v>9639524.699999999</v>
      </c>
      <c r="N236" s="9" t="n">
        <v>0</v>
      </c>
      <c r="O236" s="9" t="n">
        <v>9639524.699999999</v>
      </c>
      <c r="P236" s="8" t="n">
        <v>1</v>
      </c>
      <c r="Q236" s="8" t="n">
        <v>1</v>
      </c>
    </row>
    <row r="237">
      <c r="A237" s="8" t="n">
        <v>255</v>
      </c>
      <c r="B237" s="8" t="inlineStr">
        <is>
          <t>TRANSFER</t>
        </is>
      </c>
      <c r="C237" s="9" t="n">
        <v>667257.72</v>
      </c>
      <c r="D237" s="8" t="inlineStr">
        <is>
          <t>C275419621</t>
        </is>
      </c>
      <c r="E237" s="9" t="n">
        <v>667257.72</v>
      </c>
      <c r="F237" s="9" t="n">
        <v>0</v>
      </c>
      <c r="G237" s="8" t="inlineStr">
        <is>
          <t>C771768546</t>
        </is>
      </c>
      <c r="H237" s="9" t="n">
        <v>0</v>
      </c>
      <c r="I237" s="9" t="n">
        <v>0</v>
      </c>
      <c r="J237" s="11" t="n">
        <v>1</v>
      </c>
      <c r="K237" s="8" t="n">
        <v>0</v>
      </c>
      <c r="L237" s="8" t="n">
        <v>1</v>
      </c>
      <c r="M237" s="9" t="n">
        <v>667257.72</v>
      </c>
      <c r="N237" s="9" t="n">
        <v>0</v>
      </c>
      <c r="O237" s="9" t="n">
        <v>667257.72</v>
      </c>
      <c r="P237" s="8" t="n">
        <v>1</v>
      </c>
      <c r="Q237" s="8" t="n">
        <v>1</v>
      </c>
    </row>
    <row r="238">
      <c r="A238" s="8" t="n">
        <v>333</v>
      </c>
      <c r="B238" s="8" t="inlineStr">
        <is>
          <t>CASH_OUT</t>
        </is>
      </c>
      <c r="C238" s="9" t="n">
        <v>1861928.35</v>
      </c>
      <c r="D238" s="8" t="inlineStr">
        <is>
          <t>C386318315</t>
        </is>
      </c>
      <c r="E238" s="9" t="n">
        <v>1861928.35</v>
      </c>
      <c r="F238" s="9" t="n">
        <v>0</v>
      </c>
      <c r="G238" s="8" t="inlineStr">
        <is>
          <t>C800378513</t>
        </is>
      </c>
      <c r="H238" s="9" t="n">
        <v>554516.48</v>
      </c>
      <c r="I238" s="9" t="n">
        <v>2416444.82</v>
      </c>
      <c r="J238" s="11" t="n">
        <v>1</v>
      </c>
      <c r="K238" s="8" t="n">
        <v>0</v>
      </c>
      <c r="L238" s="8" t="n">
        <v>1</v>
      </c>
      <c r="M238" s="9" t="n">
        <v>1307411.87</v>
      </c>
      <c r="N238" s="9" t="n">
        <v>0</v>
      </c>
      <c r="O238" s="9" t="n">
        <v>0.01</v>
      </c>
      <c r="P238" s="8" t="n">
        <v>1</v>
      </c>
      <c r="Q238" s="8" t="n">
        <v>1</v>
      </c>
    </row>
    <row r="239">
      <c r="A239" s="8" t="n">
        <v>162</v>
      </c>
      <c r="B239" s="8" t="inlineStr">
        <is>
          <t>CASH_OUT</t>
        </is>
      </c>
      <c r="C239" s="9" t="n">
        <v>110201.23</v>
      </c>
      <c r="D239" s="8" t="inlineStr">
        <is>
          <t>C1730530194</t>
        </is>
      </c>
      <c r="E239" s="9" t="n">
        <v>0</v>
      </c>
      <c r="F239" s="9" t="n">
        <v>0</v>
      </c>
      <c r="G239" s="8" t="inlineStr">
        <is>
          <t>C986100398</t>
        </is>
      </c>
      <c r="H239" s="9" t="n">
        <v>508211.52</v>
      </c>
      <c r="I239" s="9" t="n">
        <v>618412.75</v>
      </c>
      <c r="J239" s="10" t="n">
        <v>0</v>
      </c>
      <c r="K239" s="8" t="n">
        <v>0</v>
      </c>
      <c r="L239" s="8" t="n">
        <v>1</v>
      </c>
      <c r="M239" s="9" t="n">
        <v>508211.52</v>
      </c>
      <c r="N239" s="9" t="n">
        <v>110201.23</v>
      </c>
      <c r="O239" s="9" t="n">
        <v>0</v>
      </c>
      <c r="P239" s="8" t="n">
        <v>1</v>
      </c>
      <c r="Q239" s="8" t="n">
        <v>0</v>
      </c>
    </row>
    <row r="240">
      <c r="A240" s="8" t="n">
        <v>155</v>
      </c>
      <c r="B240" s="8" t="inlineStr">
        <is>
          <t>CASH_IN</t>
        </is>
      </c>
      <c r="C240" s="9" t="n">
        <v>116236.25</v>
      </c>
      <c r="D240" s="8" t="inlineStr">
        <is>
          <t>C1416833373</t>
        </is>
      </c>
      <c r="E240" s="9" t="n">
        <v>28577.11</v>
      </c>
      <c r="F240" s="9" t="n">
        <v>144813.36</v>
      </c>
      <c r="G240" s="8" t="inlineStr">
        <is>
          <t>C281580558</t>
        </is>
      </c>
      <c r="H240" s="9" t="n">
        <v>327636.21</v>
      </c>
      <c r="I240" s="9" t="n">
        <v>211399.95</v>
      </c>
      <c r="J240" s="10" t="n">
        <v>0</v>
      </c>
      <c r="K240" s="8" t="n">
        <v>0</v>
      </c>
      <c r="L240" s="8" t="n">
        <v>0</v>
      </c>
      <c r="M240" s="9" t="n">
        <v>299059.1</v>
      </c>
      <c r="N240" s="9" t="n">
        <v>232472.5</v>
      </c>
      <c r="O240" s="9" t="n">
        <v>232472.51</v>
      </c>
      <c r="P240" s="8" t="n">
        <v>1</v>
      </c>
      <c r="Q240" s="8" t="n">
        <v>0</v>
      </c>
    </row>
    <row r="241">
      <c r="A241" s="8" t="n">
        <v>331</v>
      </c>
      <c r="B241" s="8" t="inlineStr">
        <is>
          <t>CASH_OUT</t>
        </is>
      </c>
      <c r="C241" s="9" t="n">
        <v>374834.99</v>
      </c>
      <c r="D241" s="8" t="inlineStr">
        <is>
          <t>C790997825</t>
        </is>
      </c>
      <c r="E241" s="9" t="n">
        <v>0</v>
      </c>
      <c r="F241" s="9" t="n">
        <v>0</v>
      </c>
      <c r="G241" s="8" t="inlineStr">
        <is>
          <t>C1403880745</t>
        </is>
      </c>
      <c r="H241" s="9" t="n">
        <v>2027848.83</v>
      </c>
      <c r="I241" s="9" t="n">
        <v>2402683.82</v>
      </c>
      <c r="J241" s="10" t="n">
        <v>0</v>
      </c>
      <c r="K241" s="8" t="n">
        <v>0</v>
      </c>
      <c r="L241" s="8" t="n">
        <v>1</v>
      </c>
      <c r="M241" s="9" t="n">
        <v>2027848.83</v>
      </c>
      <c r="N241" s="9" t="n">
        <v>374834.99</v>
      </c>
      <c r="O241" s="9" t="n">
        <v>0</v>
      </c>
      <c r="P241" s="8" t="n">
        <v>1</v>
      </c>
      <c r="Q241" s="8" t="n">
        <v>0</v>
      </c>
    </row>
    <row r="242">
      <c r="A242" s="8" t="n">
        <v>205</v>
      </c>
      <c r="B242" s="8" t="inlineStr">
        <is>
          <t>TRANSFER</t>
        </is>
      </c>
      <c r="C242" s="9" t="n">
        <v>188473.09</v>
      </c>
      <c r="D242" s="8" t="inlineStr">
        <is>
          <t>C1887373253</t>
        </is>
      </c>
      <c r="E242" s="9" t="n">
        <v>188473.09</v>
      </c>
      <c r="F242" s="9" t="n">
        <v>0</v>
      </c>
      <c r="G242" s="8" t="inlineStr">
        <is>
          <t>C1609905558</t>
        </is>
      </c>
      <c r="H242" s="9" t="n">
        <v>0</v>
      </c>
      <c r="I242" s="9" t="n">
        <v>0</v>
      </c>
      <c r="J242" s="11" t="n">
        <v>1</v>
      </c>
      <c r="K242" s="8" t="n">
        <v>0</v>
      </c>
      <c r="L242" s="8" t="n">
        <v>1</v>
      </c>
      <c r="M242" s="9" t="n">
        <v>188473.09</v>
      </c>
      <c r="N242" s="9" t="n">
        <v>0</v>
      </c>
      <c r="O242" s="9" t="n">
        <v>188473.09</v>
      </c>
      <c r="P242" s="8" t="n">
        <v>1</v>
      </c>
      <c r="Q242" s="8" t="n">
        <v>1</v>
      </c>
    </row>
    <row r="243">
      <c r="A243" s="8" t="n">
        <v>252</v>
      </c>
      <c r="B243" s="8" t="inlineStr">
        <is>
          <t>PAYMENT</t>
        </is>
      </c>
      <c r="C243" s="9" t="n">
        <v>16458.5</v>
      </c>
      <c r="D243" s="8" t="inlineStr">
        <is>
          <t>C1157526982</t>
        </is>
      </c>
      <c r="E243" s="9" t="n">
        <v>339</v>
      </c>
      <c r="F243" s="9" t="n">
        <v>0</v>
      </c>
      <c r="G243" s="8" t="inlineStr">
        <is>
          <t>M1811379052</t>
        </is>
      </c>
      <c r="H243" s="9" t="n">
        <v>0</v>
      </c>
      <c r="I243" s="9" t="n">
        <v>0</v>
      </c>
      <c r="J243" s="10" t="n">
        <v>0</v>
      </c>
      <c r="K243" s="8" t="n">
        <v>1</v>
      </c>
      <c r="L243" s="8" t="n">
        <v>0</v>
      </c>
      <c r="M243" s="9" t="n">
        <v>339</v>
      </c>
      <c r="N243" s="9" t="n">
        <v>16119.5</v>
      </c>
      <c r="O243" s="9" t="n">
        <v>16458.5</v>
      </c>
      <c r="P243" s="8" t="n">
        <v>0</v>
      </c>
      <c r="Q243" s="8" t="n">
        <v>0</v>
      </c>
    </row>
    <row r="244">
      <c r="A244" s="8" t="n">
        <v>689</v>
      </c>
      <c r="B244" s="8" t="inlineStr">
        <is>
          <t>CASH_OUT</t>
        </is>
      </c>
      <c r="C244" s="9" t="n">
        <v>276253.24</v>
      </c>
      <c r="D244" s="8" t="inlineStr">
        <is>
          <t>C921347828</t>
        </is>
      </c>
      <c r="E244" s="9" t="n">
        <v>276253.24</v>
      </c>
      <c r="F244" s="9" t="n">
        <v>0</v>
      </c>
      <c r="G244" s="8" t="inlineStr">
        <is>
          <t>C291010044</t>
        </is>
      </c>
      <c r="H244" s="9" t="n">
        <v>247810.47</v>
      </c>
      <c r="I244" s="9" t="n">
        <v>524063.71</v>
      </c>
      <c r="J244" s="11" t="n">
        <v>1</v>
      </c>
      <c r="K244" s="8" t="n">
        <v>0</v>
      </c>
      <c r="L244" s="8" t="n">
        <v>1</v>
      </c>
      <c r="M244" s="9" t="n">
        <v>28442.76999999999</v>
      </c>
      <c r="N244" s="9" t="n">
        <v>0</v>
      </c>
      <c r="O244" s="9" t="n">
        <v>-0</v>
      </c>
      <c r="P244" s="8" t="n">
        <v>1</v>
      </c>
      <c r="Q244" s="8" t="n">
        <v>1</v>
      </c>
    </row>
    <row r="245">
      <c r="A245" s="8" t="n">
        <v>403</v>
      </c>
      <c r="B245" s="8" t="inlineStr">
        <is>
          <t>CASH_OUT</t>
        </is>
      </c>
      <c r="C245" s="9" t="n">
        <v>98117.5</v>
      </c>
      <c r="D245" s="8" t="inlineStr">
        <is>
          <t>C1277153459</t>
        </is>
      </c>
      <c r="E245" s="9" t="n">
        <v>224.05</v>
      </c>
      <c r="F245" s="9" t="n">
        <v>0</v>
      </c>
      <c r="G245" s="8" t="inlineStr">
        <is>
          <t>C1061774103</t>
        </is>
      </c>
      <c r="H245" s="9" t="n">
        <v>310866.24</v>
      </c>
      <c r="I245" s="9" t="n">
        <v>408983.73</v>
      </c>
      <c r="J245" s="10" t="n">
        <v>0</v>
      </c>
      <c r="K245" s="8" t="n">
        <v>0</v>
      </c>
      <c r="L245" s="8" t="n">
        <v>1</v>
      </c>
      <c r="M245" s="9" t="n">
        <v>310642.19</v>
      </c>
      <c r="N245" s="9" t="n">
        <v>97893.45</v>
      </c>
      <c r="O245" s="9" t="n">
        <v>0.01</v>
      </c>
      <c r="P245" s="8" t="n">
        <v>1</v>
      </c>
      <c r="Q245" s="8" t="n">
        <v>0</v>
      </c>
    </row>
    <row r="246">
      <c r="A246" s="8" t="n">
        <v>231</v>
      </c>
      <c r="B246" s="8" t="inlineStr">
        <is>
          <t>CASH_OUT</t>
        </is>
      </c>
      <c r="C246" s="9" t="n">
        <v>209223</v>
      </c>
      <c r="D246" s="8" t="inlineStr">
        <is>
          <t>C30463411</t>
        </is>
      </c>
      <c r="E246" s="9" t="n">
        <v>21088</v>
      </c>
      <c r="F246" s="9" t="n">
        <v>0</v>
      </c>
      <c r="G246" s="8" t="inlineStr">
        <is>
          <t>C355755245</t>
        </is>
      </c>
      <c r="H246" s="9" t="n">
        <v>0</v>
      </c>
      <c r="I246" s="9" t="n">
        <v>209223</v>
      </c>
      <c r="J246" s="10" t="n">
        <v>0</v>
      </c>
      <c r="K246" s="8" t="n">
        <v>0</v>
      </c>
      <c r="L246" s="8" t="n">
        <v>1</v>
      </c>
      <c r="M246" s="9" t="n">
        <v>21088</v>
      </c>
      <c r="N246" s="9" t="n">
        <v>188135</v>
      </c>
      <c r="O246" s="9" t="n">
        <v>0</v>
      </c>
      <c r="P246" s="8" t="n">
        <v>1</v>
      </c>
      <c r="Q246" s="8" t="n">
        <v>0</v>
      </c>
    </row>
    <row r="247">
      <c r="A247" s="8" t="n">
        <v>492</v>
      </c>
      <c r="B247" s="8" t="inlineStr">
        <is>
          <t>CASH_IN</t>
        </is>
      </c>
      <c r="C247" s="9" t="n">
        <v>128647.18</v>
      </c>
      <c r="D247" s="8" t="inlineStr">
        <is>
          <t>C1068873925</t>
        </is>
      </c>
      <c r="E247" s="9" t="n">
        <v>9899972.380000001</v>
      </c>
      <c r="F247" s="9" t="n">
        <v>10028619.55</v>
      </c>
      <c r="G247" s="8" t="inlineStr">
        <is>
          <t>C1226907316</t>
        </is>
      </c>
      <c r="H247" s="9" t="n">
        <v>147908.47</v>
      </c>
      <c r="I247" s="9" t="n">
        <v>19261.3</v>
      </c>
      <c r="J247" s="10" t="n">
        <v>0</v>
      </c>
      <c r="K247" s="8" t="n">
        <v>0</v>
      </c>
      <c r="L247" s="8" t="n">
        <v>0</v>
      </c>
      <c r="M247" s="9" t="n">
        <v>9752063.91</v>
      </c>
      <c r="N247" s="9" t="n">
        <v>257294.35</v>
      </c>
      <c r="O247" s="9" t="n">
        <v>257294.35</v>
      </c>
      <c r="P247" s="8" t="n">
        <v>1</v>
      </c>
      <c r="Q247" s="8" t="n">
        <v>0</v>
      </c>
    </row>
    <row r="248">
      <c r="A248" s="8" t="n">
        <v>188</v>
      </c>
      <c r="B248" s="8" t="inlineStr">
        <is>
          <t>CASH_OUT</t>
        </is>
      </c>
      <c r="C248" s="9" t="n">
        <v>162373.41</v>
      </c>
      <c r="D248" s="8" t="inlineStr">
        <is>
          <t>C2098842522</t>
        </is>
      </c>
      <c r="E248" s="9" t="n">
        <v>101243</v>
      </c>
      <c r="F248" s="9" t="n">
        <v>0</v>
      </c>
      <c r="G248" s="8" t="inlineStr">
        <is>
          <t>C287933084</t>
        </is>
      </c>
      <c r="H248" s="9" t="n">
        <v>1487342.16</v>
      </c>
      <c r="I248" s="9" t="n">
        <v>1649715.57</v>
      </c>
      <c r="J248" s="10" t="n">
        <v>0</v>
      </c>
      <c r="K248" s="8" t="n">
        <v>0</v>
      </c>
      <c r="L248" s="8" t="n">
        <v>1</v>
      </c>
      <c r="M248" s="9" t="n">
        <v>1386099.16</v>
      </c>
      <c r="N248" s="9" t="n">
        <v>61130.41</v>
      </c>
      <c r="O248" s="9" t="n">
        <v>-0</v>
      </c>
      <c r="P248" s="8" t="n">
        <v>1</v>
      </c>
      <c r="Q248" s="8" t="n">
        <v>0</v>
      </c>
    </row>
    <row r="249">
      <c r="A249" s="8" t="n">
        <v>362</v>
      </c>
      <c r="B249" s="8" t="inlineStr">
        <is>
          <t>TRANSFER</t>
        </is>
      </c>
      <c r="C249" s="9" t="n">
        <v>60314.32</v>
      </c>
      <c r="D249" s="8" t="inlineStr">
        <is>
          <t>C1597827743</t>
        </is>
      </c>
      <c r="E249" s="9" t="n">
        <v>60314.32</v>
      </c>
      <c r="F249" s="9" t="n">
        <v>0</v>
      </c>
      <c r="G249" s="8" t="inlineStr">
        <is>
          <t>C1103826731</t>
        </is>
      </c>
      <c r="H249" s="9" t="n">
        <v>0</v>
      </c>
      <c r="I249" s="9" t="n">
        <v>0</v>
      </c>
      <c r="J249" s="11" t="n">
        <v>1</v>
      </c>
      <c r="K249" s="8" t="n">
        <v>0</v>
      </c>
      <c r="L249" s="8" t="n">
        <v>1</v>
      </c>
      <c r="M249" s="9" t="n">
        <v>60314.32</v>
      </c>
      <c r="N249" s="9" t="n">
        <v>0</v>
      </c>
      <c r="O249" s="9" t="n">
        <v>60314.32</v>
      </c>
      <c r="P249" s="8" t="n">
        <v>1</v>
      </c>
      <c r="Q249" s="8" t="n">
        <v>1</v>
      </c>
    </row>
    <row r="250">
      <c r="A250" s="8" t="n">
        <v>351</v>
      </c>
      <c r="B250" s="8" t="inlineStr">
        <is>
          <t>CASH_OUT</t>
        </is>
      </c>
      <c r="C250" s="9" t="n">
        <v>141286.07</v>
      </c>
      <c r="D250" s="8" t="inlineStr">
        <is>
          <t>C2022140380</t>
        </is>
      </c>
      <c r="E250" s="9" t="n">
        <v>0</v>
      </c>
      <c r="F250" s="9" t="n">
        <v>0</v>
      </c>
      <c r="G250" s="8" t="inlineStr">
        <is>
          <t>C442964028</t>
        </is>
      </c>
      <c r="H250" s="9" t="n">
        <v>415023.05</v>
      </c>
      <c r="I250" s="9" t="n">
        <v>556309.12</v>
      </c>
      <c r="J250" s="10" t="n">
        <v>0</v>
      </c>
      <c r="K250" s="8" t="n">
        <v>0</v>
      </c>
      <c r="L250" s="8" t="n">
        <v>1</v>
      </c>
      <c r="M250" s="9" t="n">
        <v>415023.05</v>
      </c>
      <c r="N250" s="9" t="n">
        <v>141286.07</v>
      </c>
      <c r="O250" s="9" t="n">
        <v>0</v>
      </c>
      <c r="P250" s="8" t="n">
        <v>1</v>
      </c>
      <c r="Q250" s="8" t="n">
        <v>0</v>
      </c>
    </row>
    <row r="251">
      <c r="A251" s="8" t="n">
        <v>402</v>
      </c>
      <c r="B251" s="8" t="inlineStr">
        <is>
          <t>TRANSFER</t>
        </is>
      </c>
      <c r="C251" s="9" t="n">
        <v>143592.89</v>
      </c>
      <c r="D251" s="8" t="inlineStr">
        <is>
          <t>C283218785</t>
        </is>
      </c>
      <c r="E251" s="9" t="n">
        <v>143592.89</v>
      </c>
      <c r="F251" s="9" t="n">
        <v>0</v>
      </c>
      <c r="G251" s="8" t="inlineStr">
        <is>
          <t>C1008131550</t>
        </is>
      </c>
      <c r="H251" s="9" t="n">
        <v>0</v>
      </c>
      <c r="I251" s="9" t="n">
        <v>0</v>
      </c>
      <c r="J251" s="11" t="n">
        <v>1</v>
      </c>
      <c r="K251" s="8" t="n">
        <v>0</v>
      </c>
      <c r="L251" s="8" t="n">
        <v>1</v>
      </c>
      <c r="M251" s="9" t="n">
        <v>143592.89</v>
      </c>
      <c r="N251" s="9" t="n">
        <v>0</v>
      </c>
      <c r="O251" s="9" t="n">
        <v>143592.89</v>
      </c>
      <c r="P251" s="8" t="n">
        <v>1</v>
      </c>
      <c r="Q251" s="8" t="n">
        <v>1</v>
      </c>
    </row>
    <row r="252">
      <c r="A252" s="8" t="n">
        <v>308</v>
      </c>
      <c r="B252" s="8" t="inlineStr">
        <is>
          <t>CASH_OUT</t>
        </is>
      </c>
      <c r="C252" s="9" t="n">
        <v>142646.04</v>
      </c>
      <c r="D252" s="8" t="inlineStr">
        <is>
          <t>C297056722</t>
        </is>
      </c>
      <c r="E252" s="9" t="n">
        <v>528</v>
      </c>
      <c r="F252" s="9" t="n">
        <v>0</v>
      </c>
      <c r="G252" s="8" t="inlineStr">
        <is>
          <t>C944678070</t>
        </is>
      </c>
      <c r="H252" s="9" t="n">
        <v>0</v>
      </c>
      <c r="I252" s="9" t="n">
        <v>142646.04</v>
      </c>
      <c r="J252" s="10" t="n">
        <v>0</v>
      </c>
      <c r="K252" s="8" t="n">
        <v>0</v>
      </c>
      <c r="L252" s="8" t="n">
        <v>1</v>
      </c>
      <c r="M252" s="9" t="n">
        <v>528</v>
      </c>
      <c r="N252" s="9" t="n">
        <v>142118.04</v>
      </c>
      <c r="O252" s="9" t="n">
        <v>0</v>
      </c>
      <c r="P252" s="8" t="n">
        <v>1</v>
      </c>
      <c r="Q252" s="8" t="n">
        <v>0</v>
      </c>
    </row>
    <row r="253">
      <c r="A253" s="8" t="n">
        <v>217</v>
      </c>
      <c r="B253" s="8" t="inlineStr">
        <is>
          <t>TRANSFER</t>
        </is>
      </c>
      <c r="C253" s="9" t="n">
        <v>108783.2</v>
      </c>
      <c r="D253" s="8" t="inlineStr">
        <is>
          <t>C829027470</t>
        </is>
      </c>
      <c r="E253" s="9" t="n">
        <v>108783.2</v>
      </c>
      <c r="F253" s="9" t="n">
        <v>0</v>
      </c>
      <c r="G253" s="8" t="inlineStr">
        <is>
          <t>C1294736725</t>
        </is>
      </c>
      <c r="H253" s="9" t="n">
        <v>0</v>
      </c>
      <c r="I253" s="9" t="n">
        <v>0</v>
      </c>
      <c r="J253" s="11" t="n">
        <v>1</v>
      </c>
      <c r="K253" s="8" t="n">
        <v>0</v>
      </c>
      <c r="L253" s="8" t="n">
        <v>1</v>
      </c>
      <c r="M253" s="9" t="n">
        <v>108783.2</v>
      </c>
      <c r="N253" s="9" t="n">
        <v>0</v>
      </c>
      <c r="O253" s="9" t="n">
        <v>108783.2</v>
      </c>
      <c r="P253" s="8" t="n">
        <v>1</v>
      </c>
      <c r="Q253" s="8" t="n">
        <v>1</v>
      </c>
    </row>
    <row r="254">
      <c r="A254" s="8" t="n">
        <v>671</v>
      </c>
      <c r="B254" s="8" t="inlineStr">
        <is>
          <t>CASH_OUT</t>
        </is>
      </c>
      <c r="C254" s="9" t="n">
        <v>36956.27</v>
      </c>
      <c r="D254" s="8" t="inlineStr">
        <is>
          <t>C1768139815</t>
        </is>
      </c>
      <c r="E254" s="9" t="n">
        <v>36956.27</v>
      </c>
      <c r="F254" s="9" t="n">
        <v>0</v>
      </c>
      <c r="G254" s="8" t="inlineStr">
        <is>
          <t>C1475840276</t>
        </is>
      </c>
      <c r="H254" s="9" t="n">
        <v>116628.89</v>
      </c>
      <c r="I254" s="9" t="n">
        <v>153585.15</v>
      </c>
      <c r="J254" s="11" t="n">
        <v>1</v>
      </c>
      <c r="K254" s="8" t="n">
        <v>0</v>
      </c>
      <c r="L254" s="8" t="n">
        <v>1</v>
      </c>
      <c r="M254" s="9" t="n">
        <v>79672.62</v>
      </c>
      <c r="N254" s="9" t="n">
        <v>0</v>
      </c>
      <c r="O254" s="9" t="n">
        <v>0.01</v>
      </c>
      <c r="P254" s="8" t="n">
        <v>1</v>
      </c>
      <c r="Q254" s="8" t="n">
        <v>1</v>
      </c>
    </row>
    <row r="255">
      <c r="A255" s="8" t="n">
        <v>459</v>
      </c>
      <c r="B255" s="8" t="inlineStr">
        <is>
          <t>CASH_OUT</t>
        </is>
      </c>
      <c r="C255" s="9" t="n">
        <v>277611.08</v>
      </c>
      <c r="D255" s="8" t="inlineStr">
        <is>
          <t>C2028451849</t>
        </is>
      </c>
      <c r="E255" s="9" t="n">
        <v>277611.08</v>
      </c>
      <c r="F255" s="9" t="n">
        <v>0</v>
      </c>
      <c r="G255" s="8" t="inlineStr">
        <is>
          <t>C677754789</t>
        </is>
      </c>
      <c r="H255" s="9" t="n">
        <v>1588077.25</v>
      </c>
      <c r="I255" s="9" t="n">
        <v>1865688.33</v>
      </c>
      <c r="J255" s="11" t="n">
        <v>1</v>
      </c>
      <c r="K255" s="8" t="n">
        <v>0</v>
      </c>
      <c r="L255" s="8" t="n">
        <v>1</v>
      </c>
      <c r="M255" s="9" t="n">
        <v>1310466.17</v>
      </c>
      <c r="N255" s="9" t="n">
        <v>0</v>
      </c>
      <c r="O255" s="9" t="n">
        <v>0</v>
      </c>
      <c r="P255" s="8" t="n">
        <v>1</v>
      </c>
      <c r="Q255" s="8" t="n">
        <v>1</v>
      </c>
    </row>
    <row r="256">
      <c r="A256" s="8" t="n">
        <v>378</v>
      </c>
      <c r="B256" s="8" t="inlineStr">
        <is>
          <t>PAYMENT</t>
        </is>
      </c>
      <c r="C256" s="9" t="n">
        <v>6126.38</v>
      </c>
      <c r="D256" s="8" t="inlineStr">
        <is>
          <t>C661164654</t>
        </is>
      </c>
      <c r="E256" s="9" t="n">
        <v>197840</v>
      </c>
      <c r="F256" s="9" t="n">
        <v>191713.62</v>
      </c>
      <c r="G256" s="8" t="inlineStr">
        <is>
          <t>M187954306</t>
        </is>
      </c>
      <c r="H256" s="9" t="n">
        <v>0</v>
      </c>
      <c r="I256" s="9" t="n">
        <v>0</v>
      </c>
      <c r="J256" s="10" t="n">
        <v>0</v>
      </c>
      <c r="K256" s="8" t="n">
        <v>1</v>
      </c>
      <c r="L256" s="8" t="n">
        <v>0</v>
      </c>
      <c r="M256" s="9" t="n">
        <v>197840</v>
      </c>
      <c r="N256" s="9" t="n">
        <v>0</v>
      </c>
      <c r="O256" s="9" t="n">
        <v>6126.38</v>
      </c>
      <c r="P256" s="8" t="n">
        <v>0</v>
      </c>
      <c r="Q256" s="8" t="n">
        <v>1</v>
      </c>
    </row>
    <row r="257">
      <c r="A257" s="8" t="n">
        <v>471</v>
      </c>
      <c r="B257" s="8" t="inlineStr">
        <is>
          <t>CASH_OUT</t>
        </is>
      </c>
      <c r="C257" s="9" t="n">
        <v>150344.4</v>
      </c>
      <c r="D257" s="8" t="inlineStr">
        <is>
          <t>C274200649</t>
        </is>
      </c>
      <c r="E257" s="9" t="n">
        <v>1148</v>
      </c>
      <c r="F257" s="9" t="n">
        <v>0</v>
      </c>
      <c r="G257" s="8" t="inlineStr">
        <is>
          <t>C996710314</t>
        </is>
      </c>
      <c r="H257" s="9" t="n">
        <v>0</v>
      </c>
      <c r="I257" s="9" t="n">
        <v>150344.4</v>
      </c>
      <c r="J257" s="10" t="n">
        <v>0</v>
      </c>
      <c r="K257" s="8" t="n">
        <v>0</v>
      </c>
      <c r="L257" s="8" t="n">
        <v>1</v>
      </c>
      <c r="M257" s="9" t="n">
        <v>1148</v>
      </c>
      <c r="N257" s="9" t="n">
        <v>149196.4</v>
      </c>
      <c r="O257" s="9" t="n">
        <v>0</v>
      </c>
      <c r="P257" s="8" t="n">
        <v>1</v>
      </c>
      <c r="Q257" s="8" t="n">
        <v>0</v>
      </c>
    </row>
    <row r="258">
      <c r="A258" s="8" t="n">
        <v>239</v>
      </c>
      <c r="B258" s="8" t="inlineStr">
        <is>
          <t>CASH_OUT</t>
        </is>
      </c>
      <c r="C258" s="9" t="n">
        <v>63944.13</v>
      </c>
      <c r="D258" s="8" t="inlineStr">
        <is>
          <t>C963749685</t>
        </is>
      </c>
      <c r="E258" s="9" t="n">
        <v>63944.13</v>
      </c>
      <c r="F258" s="9" t="n">
        <v>0</v>
      </c>
      <c r="G258" s="8" t="inlineStr">
        <is>
          <t>C816242963</t>
        </is>
      </c>
      <c r="H258" s="9" t="n">
        <v>3034987.39</v>
      </c>
      <c r="I258" s="9" t="n">
        <v>3098931.52</v>
      </c>
      <c r="J258" s="11" t="n">
        <v>1</v>
      </c>
      <c r="K258" s="8" t="n">
        <v>0</v>
      </c>
      <c r="L258" s="8" t="n">
        <v>1</v>
      </c>
      <c r="M258" s="9" t="n">
        <v>2971043.26</v>
      </c>
      <c r="N258" s="9" t="n">
        <v>0</v>
      </c>
      <c r="O258" s="9" t="n">
        <v>0</v>
      </c>
      <c r="P258" s="8" t="n">
        <v>1</v>
      </c>
      <c r="Q258" s="8" t="n">
        <v>1</v>
      </c>
    </row>
    <row r="259">
      <c r="A259" s="8" t="n">
        <v>282</v>
      </c>
      <c r="B259" s="8" t="inlineStr">
        <is>
          <t>CASH_OUT</t>
        </is>
      </c>
      <c r="C259" s="9" t="n">
        <v>118528.45</v>
      </c>
      <c r="D259" s="8" t="inlineStr">
        <is>
          <t>C1233193743</t>
        </is>
      </c>
      <c r="E259" s="9" t="n">
        <v>0</v>
      </c>
      <c r="F259" s="9" t="n">
        <v>0</v>
      </c>
      <c r="G259" s="8" t="inlineStr">
        <is>
          <t>C1809307137</t>
        </is>
      </c>
      <c r="H259" s="9" t="n">
        <v>2012888.91</v>
      </c>
      <c r="I259" s="9" t="n">
        <v>2131417.36</v>
      </c>
      <c r="J259" s="10" t="n">
        <v>0</v>
      </c>
      <c r="K259" s="8" t="n">
        <v>0</v>
      </c>
      <c r="L259" s="8" t="n">
        <v>1</v>
      </c>
      <c r="M259" s="9" t="n">
        <v>2012888.91</v>
      </c>
      <c r="N259" s="9" t="n">
        <v>118528.45</v>
      </c>
      <c r="O259" s="9" t="n">
        <v>0</v>
      </c>
      <c r="P259" s="8" t="n">
        <v>1</v>
      </c>
      <c r="Q259" s="8" t="n">
        <v>0</v>
      </c>
    </row>
    <row r="260">
      <c r="A260" s="8" t="n">
        <v>206</v>
      </c>
      <c r="B260" s="8" t="inlineStr">
        <is>
          <t>CASH_OUT</t>
        </is>
      </c>
      <c r="C260" s="9" t="n">
        <v>236797.48</v>
      </c>
      <c r="D260" s="8" t="inlineStr">
        <is>
          <t>C382965740</t>
        </is>
      </c>
      <c r="E260" s="9" t="n">
        <v>0</v>
      </c>
      <c r="F260" s="9" t="n">
        <v>0</v>
      </c>
      <c r="G260" s="8" t="inlineStr">
        <is>
          <t>C479882778</t>
        </is>
      </c>
      <c r="H260" s="9" t="n">
        <v>1179860.31</v>
      </c>
      <c r="I260" s="9" t="n">
        <v>1416657.79</v>
      </c>
      <c r="J260" s="10" t="n">
        <v>0</v>
      </c>
      <c r="K260" s="8" t="n">
        <v>0</v>
      </c>
      <c r="L260" s="8" t="n">
        <v>1</v>
      </c>
      <c r="M260" s="9" t="n">
        <v>1179860.31</v>
      </c>
      <c r="N260" s="9" t="n">
        <v>236797.48</v>
      </c>
      <c r="O260" s="9" t="n">
        <v>0</v>
      </c>
      <c r="P260" s="8" t="n">
        <v>1</v>
      </c>
      <c r="Q260" s="8" t="n">
        <v>0</v>
      </c>
    </row>
    <row r="261">
      <c r="A261" s="8" t="n">
        <v>173</v>
      </c>
      <c r="B261" s="8" t="inlineStr">
        <is>
          <t>CASH_OUT</t>
        </is>
      </c>
      <c r="C261" s="9" t="n">
        <v>2177218.43</v>
      </c>
      <c r="D261" s="8" t="inlineStr">
        <is>
          <t>C450561445</t>
        </is>
      </c>
      <c r="E261" s="9" t="n">
        <v>2177218.43</v>
      </c>
      <c r="F261" s="9" t="n">
        <v>0</v>
      </c>
      <c r="G261" s="8" t="inlineStr">
        <is>
          <t>C1075348177</t>
        </is>
      </c>
      <c r="H261" s="9" t="n">
        <v>0</v>
      </c>
      <c r="I261" s="9" t="n">
        <v>2177218.43</v>
      </c>
      <c r="J261" s="11" t="n">
        <v>1</v>
      </c>
      <c r="K261" s="8" t="n">
        <v>0</v>
      </c>
      <c r="L261" s="8" t="n">
        <v>1</v>
      </c>
      <c r="M261" s="9" t="n">
        <v>2177218.43</v>
      </c>
      <c r="N261" s="9" t="n">
        <v>0</v>
      </c>
      <c r="O261" s="9" t="n">
        <v>0</v>
      </c>
      <c r="P261" s="8" t="n">
        <v>1</v>
      </c>
      <c r="Q261" s="8" t="n">
        <v>1</v>
      </c>
    </row>
    <row r="262">
      <c r="A262" s="8" t="n">
        <v>493</v>
      </c>
      <c r="B262" s="8" t="inlineStr">
        <is>
          <t>CASH_OUT</t>
        </is>
      </c>
      <c r="C262" s="9" t="n">
        <v>176477.5</v>
      </c>
      <c r="D262" s="8" t="inlineStr">
        <is>
          <t>C924684162</t>
        </is>
      </c>
      <c r="E262" s="9" t="n">
        <v>0</v>
      </c>
      <c r="F262" s="9" t="n">
        <v>0</v>
      </c>
      <c r="G262" s="8" t="inlineStr">
        <is>
          <t>C1818829590</t>
        </is>
      </c>
      <c r="H262" s="9" t="n">
        <v>772239.37</v>
      </c>
      <c r="I262" s="9" t="n">
        <v>948716.88</v>
      </c>
      <c r="J262" s="10" t="n">
        <v>0</v>
      </c>
      <c r="K262" s="8" t="n">
        <v>0</v>
      </c>
      <c r="L262" s="8" t="n">
        <v>1</v>
      </c>
      <c r="M262" s="9" t="n">
        <v>772239.37</v>
      </c>
      <c r="N262" s="9" t="n">
        <v>176477.5</v>
      </c>
      <c r="O262" s="9" t="n">
        <v>-0.01</v>
      </c>
      <c r="P262" s="8" t="n">
        <v>1</v>
      </c>
      <c r="Q262" s="8" t="n">
        <v>0</v>
      </c>
    </row>
    <row r="263">
      <c r="A263" s="8" t="n">
        <v>212</v>
      </c>
      <c r="B263" s="8" t="inlineStr">
        <is>
          <t>CASH_OUT</t>
        </is>
      </c>
      <c r="C263" s="9" t="n">
        <v>3640983.71</v>
      </c>
      <c r="D263" s="8" t="inlineStr">
        <is>
          <t>C1978111036</t>
        </is>
      </c>
      <c r="E263" s="9" t="n">
        <v>3640983.71</v>
      </c>
      <c r="F263" s="9" t="n">
        <v>0</v>
      </c>
      <c r="G263" s="8" t="inlineStr">
        <is>
          <t>C105806122</t>
        </is>
      </c>
      <c r="H263" s="9" t="n">
        <v>409527.87</v>
      </c>
      <c r="I263" s="9" t="n">
        <v>4050511.58</v>
      </c>
      <c r="J263" s="11" t="n">
        <v>1</v>
      </c>
      <c r="K263" s="8" t="n">
        <v>0</v>
      </c>
      <c r="L263" s="8" t="n">
        <v>1</v>
      </c>
      <c r="M263" s="9" t="n">
        <v>3231455.84</v>
      </c>
      <c r="N263" s="9" t="n">
        <v>0</v>
      </c>
      <c r="O263" s="9" t="n">
        <v>0</v>
      </c>
      <c r="P263" s="8" t="n">
        <v>1</v>
      </c>
      <c r="Q263" s="8" t="n">
        <v>1</v>
      </c>
    </row>
    <row r="264">
      <c r="A264" s="8" t="n">
        <v>468</v>
      </c>
      <c r="B264" s="8" t="inlineStr">
        <is>
          <t>CASH_OUT</t>
        </is>
      </c>
      <c r="C264" s="9" t="n">
        <v>155926.42</v>
      </c>
      <c r="D264" s="8" t="inlineStr">
        <is>
          <t>C19001916</t>
        </is>
      </c>
      <c r="E264" s="9" t="n">
        <v>155926.42</v>
      </c>
      <c r="F264" s="9" t="n">
        <v>0</v>
      </c>
      <c r="G264" s="8" t="inlineStr">
        <is>
          <t>C654239643</t>
        </is>
      </c>
      <c r="H264" s="9" t="n">
        <v>369481.23</v>
      </c>
      <c r="I264" s="9" t="n">
        <v>525407.65</v>
      </c>
      <c r="J264" s="11" t="n">
        <v>1</v>
      </c>
      <c r="K264" s="8" t="n">
        <v>0</v>
      </c>
      <c r="L264" s="8" t="n">
        <v>1</v>
      </c>
      <c r="M264" s="9" t="n">
        <v>213554.81</v>
      </c>
      <c r="N264" s="9" t="n">
        <v>0</v>
      </c>
      <c r="O264" s="9" t="n">
        <v>0</v>
      </c>
      <c r="P264" s="8" t="n">
        <v>1</v>
      </c>
      <c r="Q264" s="8" t="n">
        <v>1</v>
      </c>
    </row>
    <row r="265">
      <c r="A265" s="8" t="n">
        <v>303</v>
      </c>
      <c r="B265" s="8" t="inlineStr">
        <is>
          <t>CASH_OUT</t>
        </is>
      </c>
      <c r="C265" s="9" t="n">
        <v>251105.61</v>
      </c>
      <c r="D265" s="8" t="inlineStr">
        <is>
          <t>C1413795778</t>
        </is>
      </c>
      <c r="E265" s="9" t="n">
        <v>3559</v>
      </c>
      <c r="F265" s="9" t="n">
        <v>0</v>
      </c>
      <c r="G265" s="8" t="inlineStr">
        <is>
          <t>C1640338489</t>
        </is>
      </c>
      <c r="H265" s="9" t="n">
        <v>0</v>
      </c>
      <c r="I265" s="9" t="n">
        <v>251105.61</v>
      </c>
      <c r="J265" s="10" t="n">
        <v>0</v>
      </c>
      <c r="K265" s="8" t="n">
        <v>0</v>
      </c>
      <c r="L265" s="8" t="n">
        <v>1</v>
      </c>
      <c r="M265" s="9" t="n">
        <v>3559</v>
      </c>
      <c r="N265" s="9" t="n">
        <v>247546.61</v>
      </c>
      <c r="O265" s="9" t="n">
        <v>0</v>
      </c>
      <c r="P265" s="8" t="n">
        <v>1</v>
      </c>
      <c r="Q265" s="8" t="n">
        <v>0</v>
      </c>
    </row>
    <row r="266">
      <c r="A266" s="8" t="n">
        <v>58</v>
      </c>
      <c r="B266" s="8" t="inlineStr">
        <is>
          <t>CASH_OUT</t>
        </is>
      </c>
      <c r="C266" s="9" t="n">
        <v>6501303.14</v>
      </c>
      <c r="D266" s="8" t="inlineStr">
        <is>
          <t>C1033290326</t>
        </is>
      </c>
      <c r="E266" s="9" t="n">
        <v>6501303.14</v>
      </c>
      <c r="F266" s="9" t="n">
        <v>0</v>
      </c>
      <c r="G266" s="8" t="inlineStr">
        <is>
          <t>C1721246847</t>
        </is>
      </c>
      <c r="H266" s="9" t="n">
        <v>4439499.5</v>
      </c>
      <c r="I266" s="9" t="n">
        <v>10940802.64</v>
      </c>
      <c r="J266" s="11" t="n">
        <v>1</v>
      </c>
      <c r="K266" s="8" t="n">
        <v>0</v>
      </c>
      <c r="L266" s="8" t="n">
        <v>1</v>
      </c>
      <c r="M266" s="9" t="n">
        <v>2061803.64</v>
      </c>
      <c r="N266" s="9" t="n">
        <v>0</v>
      </c>
      <c r="O266" s="9" t="n">
        <v>0</v>
      </c>
      <c r="P266" s="8" t="n">
        <v>1</v>
      </c>
      <c r="Q266" s="8" t="n">
        <v>1</v>
      </c>
    </row>
    <row r="267">
      <c r="A267" s="8" t="n">
        <v>7</v>
      </c>
      <c r="B267" s="8" t="inlineStr">
        <is>
          <t>CASH_OUT</t>
        </is>
      </c>
      <c r="C267" s="9" t="n">
        <v>371574.2</v>
      </c>
      <c r="D267" s="8" t="inlineStr">
        <is>
          <t>C698325633</t>
        </is>
      </c>
      <c r="E267" s="9" t="n">
        <v>0</v>
      </c>
      <c r="F267" s="9" t="n">
        <v>0</v>
      </c>
      <c r="G267" s="8" t="inlineStr">
        <is>
          <t>C801142660</t>
        </is>
      </c>
      <c r="H267" s="9" t="n">
        <v>2193547.2</v>
      </c>
      <c r="I267" s="9" t="n">
        <v>3504660.25</v>
      </c>
      <c r="J267" s="10" t="n">
        <v>0</v>
      </c>
      <c r="K267" s="8" t="n">
        <v>0</v>
      </c>
      <c r="L267" s="8" t="n">
        <v>1</v>
      </c>
      <c r="M267" s="9" t="n">
        <v>2193547.2</v>
      </c>
      <c r="N267" s="9" t="n">
        <v>371574.2</v>
      </c>
      <c r="O267" s="9" t="n">
        <v>-939538.85</v>
      </c>
      <c r="P267" s="8" t="n">
        <v>1</v>
      </c>
      <c r="Q267" s="8" t="n">
        <v>0</v>
      </c>
    </row>
    <row r="268">
      <c r="A268" s="8" t="n">
        <v>319</v>
      </c>
      <c r="B268" s="8" t="inlineStr">
        <is>
          <t>CASH_OUT</t>
        </is>
      </c>
      <c r="C268" s="9" t="n">
        <v>4895343.33</v>
      </c>
      <c r="D268" s="8" t="inlineStr">
        <is>
          <t>C2003694835</t>
        </is>
      </c>
      <c r="E268" s="9" t="n">
        <v>4895343.33</v>
      </c>
      <c r="F268" s="9" t="n">
        <v>0</v>
      </c>
      <c r="G268" s="8" t="inlineStr">
        <is>
          <t>C1708120011</t>
        </is>
      </c>
      <c r="H268" s="9" t="n">
        <v>286035.4</v>
      </c>
      <c r="I268" s="9" t="n">
        <v>5181378.73</v>
      </c>
      <c r="J268" s="11" t="n">
        <v>1</v>
      </c>
      <c r="K268" s="8" t="n">
        <v>0</v>
      </c>
      <c r="L268" s="8" t="n">
        <v>1</v>
      </c>
      <c r="M268" s="9" t="n">
        <v>4609307.93</v>
      </c>
      <c r="N268" s="9" t="n">
        <v>0</v>
      </c>
      <c r="O268" s="9" t="n">
        <v>0</v>
      </c>
      <c r="P268" s="8" t="n">
        <v>1</v>
      </c>
      <c r="Q268" s="8" t="n">
        <v>1</v>
      </c>
    </row>
    <row r="269">
      <c r="A269" s="8" t="n">
        <v>281</v>
      </c>
      <c r="B269" s="8" t="inlineStr">
        <is>
          <t>PAYMENT</t>
        </is>
      </c>
      <c r="C269" s="9" t="n">
        <v>4785.42</v>
      </c>
      <c r="D269" s="8" t="inlineStr">
        <is>
          <t>C1527546461</t>
        </is>
      </c>
      <c r="E269" s="9" t="n">
        <v>209</v>
      </c>
      <c r="F269" s="9" t="n">
        <v>0</v>
      </c>
      <c r="G269" s="8" t="inlineStr">
        <is>
          <t>M1791354461</t>
        </is>
      </c>
      <c r="H269" s="9" t="n">
        <v>0</v>
      </c>
      <c r="I269" s="9" t="n">
        <v>0</v>
      </c>
      <c r="J269" s="10" t="n">
        <v>0</v>
      </c>
      <c r="K269" s="8" t="n">
        <v>1</v>
      </c>
      <c r="L269" s="8" t="n">
        <v>0</v>
      </c>
      <c r="M269" s="9" t="n">
        <v>209</v>
      </c>
      <c r="N269" s="9" t="n">
        <v>4576.42</v>
      </c>
      <c r="O269" s="9" t="n">
        <v>4785.42</v>
      </c>
      <c r="P269" s="8" t="n">
        <v>0</v>
      </c>
      <c r="Q269" s="8" t="n">
        <v>0</v>
      </c>
    </row>
    <row r="270">
      <c r="A270" s="8" t="n">
        <v>381</v>
      </c>
      <c r="B270" s="8" t="inlineStr">
        <is>
          <t>PAYMENT</t>
        </is>
      </c>
      <c r="C270" s="9" t="n">
        <v>942.51</v>
      </c>
      <c r="D270" s="8" t="inlineStr">
        <is>
          <t>C369047544</t>
        </is>
      </c>
      <c r="E270" s="9" t="n">
        <v>0</v>
      </c>
      <c r="F270" s="9" t="n">
        <v>0</v>
      </c>
      <c r="G270" s="8" t="inlineStr">
        <is>
          <t>M1907202267</t>
        </is>
      </c>
      <c r="H270" s="9" t="n">
        <v>0</v>
      </c>
      <c r="I270" s="9" t="n">
        <v>0</v>
      </c>
      <c r="J270" s="10" t="n">
        <v>0</v>
      </c>
      <c r="K270" s="8" t="n">
        <v>1</v>
      </c>
      <c r="L270" s="8" t="n">
        <v>0</v>
      </c>
      <c r="M270" s="9" t="n">
        <v>0</v>
      </c>
      <c r="N270" s="9" t="n">
        <v>942.51</v>
      </c>
      <c r="O270" s="9" t="n">
        <v>942.51</v>
      </c>
      <c r="P270" s="8" t="n">
        <v>0</v>
      </c>
      <c r="Q270" s="8" t="n">
        <v>0</v>
      </c>
    </row>
    <row r="271">
      <c r="A271" s="8" t="n">
        <v>235</v>
      </c>
      <c r="B271" s="8" t="inlineStr">
        <is>
          <t>CASH_OUT</t>
        </is>
      </c>
      <c r="C271" s="9" t="n">
        <v>19688.39</v>
      </c>
      <c r="D271" s="8" t="inlineStr">
        <is>
          <t>C732713171</t>
        </is>
      </c>
      <c r="E271" s="9" t="n">
        <v>136</v>
      </c>
      <c r="F271" s="9" t="n">
        <v>0</v>
      </c>
      <c r="G271" s="8" t="inlineStr">
        <is>
          <t>C1211791714</t>
        </is>
      </c>
      <c r="H271" s="9" t="n">
        <v>0</v>
      </c>
      <c r="I271" s="9" t="n">
        <v>19688.39</v>
      </c>
      <c r="J271" s="10" t="n">
        <v>0</v>
      </c>
      <c r="K271" s="8" t="n">
        <v>0</v>
      </c>
      <c r="L271" s="8" t="n">
        <v>1</v>
      </c>
      <c r="M271" s="9" t="n">
        <v>136</v>
      </c>
      <c r="N271" s="9" t="n">
        <v>19552.39</v>
      </c>
      <c r="O271" s="9" t="n">
        <v>0</v>
      </c>
      <c r="P271" s="8" t="n">
        <v>1</v>
      </c>
      <c r="Q271" s="8" t="n">
        <v>0</v>
      </c>
    </row>
    <row r="272">
      <c r="A272" s="8" t="n">
        <v>141</v>
      </c>
      <c r="B272" s="8" t="inlineStr">
        <is>
          <t>PAYMENT</t>
        </is>
      </c>
      <c r="C272" s="9" t="n">
        <v>2775.49</v>
      </c>
      <c r="D272" s="8" t="inlineStr">
        <is>
          <t>C1886225157</t>
        </is>
      </c>
      <c r="E272" s="9" t="n">
        <v>105427.86</v>
      </c>
      <c r="F272" s="9" t="n">
        <v>102652.38</v>
      </c>
      <c r="G272" s="8" t="inlineStr">
        <is>
          <t>M847518723</t>
        </is>
      </c>
      <c r="H272" s="9" t="n">
        <v>0</v>
      </c>
      <c r="I272" s="9" t="n">
        <v>0</v>
      </c>
      <c r="J272" s="10" t="n">
        <v>0</v>
      </c>
      <c r="K272" s="8" t="n">
        <v>1</v>
      </c>
      <c r="L272" s="8" t="n">
        <v>0</v>
      </c>
      <c r="M272" s="9" t="n">
        <v>105427.86</v>
      </c>
      <c r="N272" s="9" t="n">
        <v>0.01</v>
      </c>
      <c r="O272" s="9" t="n">
        <v>2775.49</v>
      </c>
      <c r="P272" s="8" t="n">
        <v>0</v>
      </c>
      <c r="Q272" s="8" t="n">
        <v>1</v>
      </c>
    </row>
    <row r="273">
      <c r="A273" s="8" t="n">
        <v>9</v>
      </c>
      <c r="B273" s="8" t="inlineStr">
        <is>
          <t>CASH_OUT</t>
        </is>
      </c>
      <c r="C273" s="9" t="n">
        <v>224952.6</v>
      </c>
      <c r="D273" s="8" t="inlineStr">
        <is>
          <t>C1015755917</t>
        </is>
      </c>
      <c r="E273" s="9" t="n">
        <v>0</v>
      </c>
      <c r="F273" s="9" t="n">
        <v>0</v>
      </c>
      <c r="G273" s="8" t="inlineStr">
        <is>
          <t>C362585233</t>
        </is>
      </c>
      <c r="H273" s="9" t="n">
        <v>3022788.23</v>
      </c>
      <c r="I273" s="9" t="n">
        <v>4880735.77</v>
      </c>
      <c r="J273" s="10" t="n">
        <v>0</v>
      </c>
      <c r="K273" s="8" t="n">
        <v>0</v>
      </c>
      <c r="L273" s="8" t="n">
        <v>1</v>
      </c>
      <c r="M273" s="9" t="n">
        <v>3022788.23</v>
      </c>
      <c r="N273" s="9" t="n">
        <v>224952.6</v>
      </c>
      <c r="O273" s="9" t="n">
        <v>-1632994.94</v>
      </c>
      <c r="P273" s="8" t="n">
        <v>1</v>
      </c>
      <c r="Q273" s="8" t="n">
        <v>0</v>
      </c>
    </row>
    <row r="274">
      <c r="A274" s="8" t="n">
        <v>301</v>
      </c>
      <c r="B274" s="8" t="inlineStr">
        <is>
          <t>CASH_IN</t>
        </is>
      </c>
      <c r="C274" s="9" t="n">
        <v>347823.01</v>
      </c>
      <c r="D274" s="8" t="inlineStr">
        <is>
          <t>C2107972962</t>
        </is>
      </c>
      <c r="E274" s="9" t="n">
        <v>14184700.08</v>
      </c>
      <c r="F274" s="9" t="n">
        <v>14532523.08</v>
      </c>
      <c r="G274" s="8" t="inlineStr">
        <is>
          <t>C60240850</t>
        </is>
      </c>
      <c r="H274" s="9" t="n">
        <v>7502204.79</v>
      </c>
      <c r="I274" s="9" t="n">
        <v>7154381.78</v>
      </c>
      <c r="J274" s="10" t="n">
        <v>0</v>
      </c>
      <c r="K274" s="8" t="n">
        <v>0</v>
      </c>
      <c r="L274" s="8" t="n">
        <v>0</v>
      </c>
      <c r="M274" s="9" t="n">
        <v>6682495.29</v>
      </c>
      <c r="N274" s="9" t="n">
        <v>695646.01</v>
      </c>
      <c r="O274" s="9" t="n">
        <v>695646.02</v>
      </c>
      <c r="P274" s="8" t="n">
        <v>1</v>
      </c>
      <c r="Q274" s="8" t="n">
        <v>0</v>
      </c>
    </row>
    <row r="275">
      <c r="A275" s="8" t="n">
        <v>254</v>
      </c>
      <c r="B275" s="8" t="inlineStr">
        <is>
          <t>CASH_OUT</t>
        </is>
      </c>
      <c r="C275" s="9" t="n">
        <v>184097.73</v>
      </c>
      <c r="D275" s="8" t="inlineStr">
        <is>
          <t>C2024521592</t>
        </is>
      </c>
      <c r="E275" s="9" t="n">
        <v>46501</v>
      </c>
      <c r="F275" s="9" t="n">
        <v>0</v>
      </c>
      <c r="G275" s="8" t="inlineStr">
        <is>
          <t>C1896332934</t>
        </is>
      </c>
      <c r="H275" s="9" t="n">
        <v>0</v>
      </c>
      <c r="I275" s="9" t="n">
        <v>184097.73</v>
      </c>
      <c r="J275" s="10" t="n">
        <v>0</v>
      </c>
      <c r="K275" s="8" t="n">
        <v>0</v>
      </c>
      <c r="L275" s="8" t="n">
        <v>1</v>
      </c>
      <c r="M275" s="9" t="n">
        <v>46501</v>
      </c>
      <c r="N275" s="9" t="n">
        <v>137596.73</v>
      </c>
      <c r="O275" s="9" t="n">
        <v>0</v>
      </c>
      <c r="P275" s="8" t="n">
        <v>1</v>
      </c>
      <c r="Q275" s="8" t="n">
        <v>0</v>
      </c>
    </row>
    <row r="276">
      <c r="A276" s="8" t="n">
        <v>307</v>
      </c>
      <c r="B276" s="8" t="inlineStr">
        <is>
          <t>CASH_IN</t>
        </is>
      </c>
      <c r="C276" s="9" t="n">
        <v>122302.65</v>
      </c>
      <c r="D276" s="8" t="inlineStr">
        <is>
          <t>C1132989859</t>
        </is>
      </c>
      <c r="E276" s="9" t="n">
        <v>3689540.43</v>
      </c>
      <c r="F276" s="9" t="n">
        <v>3811843.08</v>
      </c>
      <c r="G276" s="8" t="inlineStr">
        <is>
          <t>C1568951501</t>
        </is>
      </c>
      <c r="H276" s="9" t="n">
        <v>549101.38</v>
      </c>
      <c r="I276" s="9" t="n">
        <v>426798.73</v>
      </c>
      <c r="J276" s="10" t="n">
        <v>0</v>
      </c>
      <c r="K276" s="8" t="n">
        <v>0</v>
      </c>
      <c r="L276" s="8" t="n">
        <v>0</v>
      </c>
      <c r="M276" s="9" t="n">
        <v>3140439.05</v>
      </c>
      <c r="N276" s="9" t="n">
        <v>244605.3</v>
      </c>
      <c r="O276" s="9" t="n">
        <v>244605.3</v>
      </c>
      <c r="P276" s="8" t="n">
        <v>1</v>
      </c>
      <c r="Q276" s="8" t="n">
        <v>0</v>
      </c>
    </row>
    <row r="277">
      <c r="A277" s="8" t="n">
        <v>331</v>
      </c>
      <c r="B277" s="8" t="inlineStr">
        <is>
          <t>PAYMENT</t>
        </is>
      </c>
      <c r="C277" s="9" t="n">
        <v>8900.709999999999</v>
      </c>
      <c r="D277" s="8" t="inlineStr">
        <is>
          <t>C1720489452</t>
        </is>
      </c>
      <c r="E277" s="9" t="n">
        <v>55056</v>
      </c>
      <c r="F277" s="9" t="n">
        <v>46155.29</v>
      </c>
      <c r="G277" s="8" t="inlineStr">
        <is>
          <t>M86797786</t>
        </is>
      </c>
      <c r="H277" s="9" t="n">
        <v>0</v>
      </c>
      <c r="I277" s="9" t="n">
        <v>0</v>
      </c>
      <c r="J277" s="10" t="n">
        <v>0</v>
      </c>
      <c r="K277" s="8" t="n">
        <v>1</v>
      </c>
      <c r="L277" s="8" t="n">
        <v>0</v>
      </c>
      <c r="M277" s="9" t="n">
        <v>55056</v>
      </c>
      <c r="N277" s="9" t="n">
        <v>0</v>
      </c>
      <c r="O277" s="9" t="n">
        <v>8900.709999999999</v>
      </c>
      <c r="P277" s="8" t="n">
        <v>0</v>
      </c>
      <c r="Q277" s="8" t="n">
        <v>1</v>
      </c>
    </row>
    <row r="278">
      <c r="A278" s="8" t="n">
        <v>96</v>
      </c>
      <c r="B278" s="8" t="inlineStr">
        <is>
          <t>CASH_IN</t>
        </is>
      </c>
      <c r="C278" s="9" t="n">
        <v>12661.73</v>
      </c>
      <c r="D278" s="8" t="inlineStr">
        <is>
          <t>C271305799</t>
        </is>
      </c>
      <c r="E278" s="9" t="n">
        <v>11092</v>
      </c>
      <c r="F278" s="9" t="n">
        <v>23753.73</v>
      </c>
      <c r="G278" s="8" t="inlineStr">
        <is>
          <t>C903810142</t>
        </is>
      </c>
      <c r="H278" s="9" t="n">
        <v>2092519.53</v>
      </c>
      <c r="I278" s="9" t="n">
        <v>2079857.8</v>
      </c>
      <c r="J278" s="10" t="n">
        <v>0</v>
      </c>
      <c r="K278" s="8" t="n">
        <v>0</v>
      </c>
      <c r="L278" s="8" t="n">
        <v>0</v>
      </c>
      <c r="M278" s="9" t="n">
        <v>2081427.53</v>
      </c>
      <c r="N278" s="9" t="n">
        <v>25323.46</v>
      </c>
      <c r="O278" s="9" t="n">
        <v>25323.46</v>
      </c>
      <c r="P278" s="8" t="n">
        <v>1</v>
      </c>
      <c r="Q278" s="8" t="n">
        <v>0</v>
      </c>
    </row>
    <row r="279">
      <c r="A279" s="8" t="n">
        <v>204</v>
      </c>
      <c r="B279" s="8" t="inlineStr">
        <is>
          <t>CASH_IN</t>
        </is>
      </c>
      <c r="C279" s="9" t="n">
        <v>247156.98</v>
      </c>
      <c r="D279" s="8" t="inlineStr">
        <is>
          <t>C2138745522</t>
        </is>
      </c>
      <c r="E279" s="9" t="n">
        <v>50268</v>
      </c>
      <c r="F279" s="9" t="n">
        <v>297424.98</v>
      </c>
      <c r="G279" s="8" t="inlineStr">
        <is>
          <t>C531181035</t>
        </is>
      </c>
      <c r="H279" s="9" t="n">
        <v>291431.65</v>
      </c>
      <c r="I279" s="9" t="n">
        <v>44274.67</v>
      </c>
      <c r="J279" s="10" t="n">
        <v>0</v>
      </c>
      <c r="K279" s="8" t="n">
        <v>0</v>
      </c>
      <c r="L279" s="8" t="n">
        <v>0</v>
      </c>
      <c r="M279" s="9" t="n">
        <v>241163.65</v>
      </c>
      <c r="N279" s="9" t="n">
        <v>494313.96</v>
      </c>
      <c r="O279" s="9" t="n">
        <v>494313.96</v>
      </c>
      <c r="P279" s="8" t="n">
        <v>1</v>
      </c>
      <c r="Q279" s="8" t="n">
        <v>0</v>
      </c>
    </row>
    <row r="280">
      <c r="A280" s="8" t="n">
        <v>353</v>
      </c>
      <c r="B280" s="8" t="inlineStr">
        <is>
          <t>CASH_OUT</t>
        </is>
      </c>
      <c r="C280" s="9" t="n">
        <v>38472.97</v>
      </c>
      <c r="D280" s="8" t="inlineStr">
        <is>
          <t>C2078112278</t>
        </is>
      </c>
      <c r="E280" s="9" t="n">
        <v>20536</v>
      </c>
      <c r="F280" s="9" t="n">
        <v>0</v>
      </c>
      <c r="G280" s="8" t="inlineStr">
        <is>
          <t>C55343028</t>
        </is>
      </c>
      <c r="H280" s="9" t="n">
        <v>0</v>
      </c>
      <c r="I280" s="9" t="n">
        <v>38472.97</v>
      </c>
      <c r="J280" s="10" t="n">
        <v>0</v>
      </c>
      <c r="K280" s="8" t="n">
        <v>0</v>
      </c>
      <c r="L280" s="8" t="n">
        <v>1</v>
      </c>
      <c r="M280" s="9" t="n">
        <v>20536</v>
      </c>
      <c r="N280" s="9" t="n">
        <v>17936.97</v>
      </c>
      <c r="O280" s="9" t="n">
        <v>0</v>
      </c>
      <c r="P280" s="8" t="n">
        <v>1</v>
      </c>
      <c r="Q280" s="8" t="n">
        <v>0</v>
      </c>
    </row>
    <row r="281">
      <c r="A281" s="8" t="n">
        <v>218</v>
      </c>
      <c r="B281" s="8" t="inlineStr">
        <is>
          <t>TRANSFER</t>
        </is>
      </c>
      <c r="C281" s="9" t="n">
        <v>957432.3199999999</v>
      </c>
      <c r="D281" s="8" t="inlineStr">
        <is>
          <t>C1415925120</t>
        </is>
      </c>
      <c r="E281" s="9" t="n">
        <v>957432.3199999999</v>
      </c>
      <c r="F281" s="9" t="n">
        <v>0</v>
      </c>
      <c r="G281" s="8" t="inlineStr">
        <is>
          <t>C1578069849</t>
        </is>
      </c>
      <c r="H281" s="9" t="n">
        <v>0</v>
      </c>
      <c r="I281" s="9" t="n">
        <v>0</v>
      </c>
      <c r="J281" s="11" t="n">
        <v>1</v>
      </c>
      <c r="K281" s="8" t="n">
        <v>0</v>
      </c>
      <c r="L281" s="8" t="n">
        <v>1</v>
      </c>
      <c r="M281" s="9" t="n">
        <v>957432.3199999999</v>
      </c>
      <c r="N281" s="9" t="n">
        <v>0</v>
      </c>
      <c r="O281" s="9" t="n">
        <v>957432.3199999999</v>
      </c>
      <c r="P281" s="8" t="n">
        <v>1</v>
      </c>
      <c r="Q281" s="8" t="n">
        <v>1</v>
      </c>
    </row>
    <row r="282">
      <c r="A282" s="8" t="n">
        <v>489</v>
      </c>
      <c r="B282" s="8" t="inlineStr">
        <is>
          <t>CASH_OUT</t>
        </is>
      </c>
      <c r="C282" s="9" t="n">
        <v>177925.98</v>
      </c>
      <c r="D282" s="8" t="inlineStr">
        <is>
          <t>C1173355296</t>
        </is>
      </c>
      <c r="E282" s="9" t="n">
        <v>177925.98</v>
      </c>
      <c r="F282" s="9" t="n">
        <v>0</v>
      </c>
      <c r="G282" s="8" t="inlineStr">
        <is>
          <t>C265276524</t>
        </is>
      </c>
      <c r="H282" s="9" t="n">
        <v>70857.67</v>
      </c>
      <c r="I282" s="9" t="n">
        <v>248783.65</v>
      </c>
      <c r="J282" s="11" t="n">
        <v>1</v>
      </c>
      <c r="K282" s="8" t="n">
        <v>0</v>
      </c>
      <c r="L282" s="8" t="n">
        <v>1</v>
      </c>
      <c r="M282" s="9" t="n">
        <v>107068.31</v>
      </c>
      <c r="N282" s="9" t="n">
        <v>0</v>
      </c>
      <c r="O282" s="9" t="n">
        <v>0</v>
      </c>
      <c r="P282" s="8" t="n">
        <v>1</v>
      </c>
      <c r="Q282" s="8" t="n">
        <v>1</v>
      </c>
    </row>
    <row r="283">
      <c r="A283" s="8" t="n">
        <v>299</v>
      </c>
      <c r="B283" s="8" t="inlineStr">
        <is>
          <t>CASH_OUT</t>
        </is>
      </c>
      <c r="C283" s="9" t="n">
        <v>13811.09</v>
      </c>
      <c r="D283" s="8" t="inlineStr">
        <is>
          <t>C1676587326</t>
        </is>
      </c>
      <c r="E283" s="9" t="n">
        <v>0</v>
      </c>
      <c r="F283" s="9" t="n">
        <v>0</v>
      </c>
      <c r="G283" s="8" t="inlineStr">
        <is>
          <t>C450479984</t>
        </is>
      </c>
      <c r="H283" s="9" t="n">
        <v>187087.5</v>
      </c>
      <c r="I283" s="9" t="n">
        <v>200898.59</v>
      </c>
      <c r="J283" s="10" t="n">
        <v>0</v>
      </c>
      <c r="K283" s="8" t="n">
        <v>0</v>
      </c>
      <c r="L283" s="8" t="n">
        <v>1</v>
      </c>
      <c r="M283" s="9" t="n">
        <v>187087.5</v>
      </c>
      <c r="N283" s="9" t="n">
        <v>13811.09</v>
      </c>
      <c r="O283" s="9" t="n">
        <v>0</v>
      </c>
      <c r="P283" s="8" t="n">
        <v>1</v>
      </c>
      <c r="Q283" s="8" t="n">
        <v>0</v>
      </c>
    </row>
    <row r="284">
      <c r="A284" s="8" t="n">
        <v>497</v>
      </c>
      <c r="B284" s="8" t="inlineStr">
        <is>
          <t>CASH_OUT</t>
        </is>
      </c>
      <c r="C284" s="9" t="n">
        <v>918087.96</v>
      </c>
      <c r="D284" s="8" t="inlineStr">
        <is>
          <t>C1842546630</t>
        </is>
      </c>
      <c r="E284" s="9" t="n">
        <v>918087.96</v>
      </c>
      <c r="F284" s="9" t="n">
        <v>0</v>
      </c>
      <c r="G284" s="8" t="inlineStr">
        <is>
          <t>C1559008731</t>
        </is>
      </c>
      <c r="H284" s="9" t="n">
        <v>322224.88</v>
      </c>
      <c r="I284" s="9" t="n">
        <v>1240312.84</v>
      </c>
      <c r="J284" s="11" t="n">
        <v>1</v>
      </c>
      <c r="K284" s="8" t="n">
        <v>0</v>
      </c>
      <c r="L284" s="8" t="n">
        <v>1</v>
      </c>
      <c r="M284" s="9" t="n">
        <v>595863.08</v>
      </c>
      <c r="N284" s="9" t="n">
        <v>0</v>
      </c>
      <c r="O284" s="9" t="n">
        <v>-0</v>
      </c>
      <c r="P284" s="8" t="n">
        <v>1</v>
      </c>
      <c r="Q284" s="8" t="n">
        <v>1</v>
      </c>
    </row>
    <row r="285">
      <c r="A285" s="8" t="n">
        <v>188</v>
      </c>
      <c r="B285" s="8" t="inlineStr">
        <is>
          <t>CASH_OUT</t>
        </is>
      </c>
      <c r="C285" s="9" t="n">
        <v>276592.21</v>
      </c>
      <c r="D285" s="8" t="inlineStr">
        <is>
          <t>C293124944</t>
        </is>
      </c>
      <c r="E285" s="9" t="n">
        <v>0</v>
      </c>
      <c r="F285" s="9" t="n">
        <v>0</v>
      </c>
      <c r="G285" s="8" t="inlineStr">
        <is>
          <t>C1264418498</t>
        </is>
      </c>
      <c r="H285" s="9" t="n">
        <v>2828509.61</v>
      </c>
      <c r="I285" s="9" t="n">
        <v>3105101.82</v>
      </c>
      <c r="J285" s="10" t="n">
        <v>0</v>
      </c>
      <c r="K285" s="8" t="n">
        <v>0</v>
      </c>
      <c r="L285" s="8" t="n">
        <v>1</v>
      </c>
      <c r="M285" s="9" t="n">
        <v>2828509.61</v>
      </c>
      <c r="N285" s="9" t="n">
        <v>276592.21</v>
      </c>
      <c r="O285" s="9" t="n">
        <v>0</v>
      </c>
      <c r="P285" s="8" t="n">
        <v>1</v>
      </c>
      <c r="Q285" s="8" t="n">
        <v>0</v>
      </c>
    </row>
    <row r="286">
      <c r="A286" s="8" t="n">
        <v>163</v>
      </c>
      <c r="B286" s="8" t="inlineStr">
        <is>
          <t>CASH_OUT</t>
        </is>
      </c>
      <c r="C286" s="9" t="n">
        <v>238309.35</v>
      </c>
      <c r="D286" s="8" t="inlineStr">
        <is>
          <t>C258971556</t>
        </is>
      </c>
      <c r="E286" s="9" t="n">
        <v>0</v>
      </c>
      <c r="F286" s="9" t="n">
        <v>0</v>
      </c>
      <c r="G286" s="8" t="inlineStr">
        <is>
          <t>C1923549857</t>
        </is>
      </c>
      <c r="H286" s="9" t="n">
        <v>1153685.57</v>
      </c>
      <c r="I286" s="9" t="n">
        <v>1391994.91</v>
      </c>
      <c r="J286" s="10" t="n">
        <v>0</v>
      </c>
      <c r="K286" s="8" t="n">
        <v>0</v>
      </c>
      <c r="L286" s="8" t="n">
        <v>1</v>
      </c>
      <c r="M286" s="9" t="n">
        <v>1153685.57</v>
      </c>
      <c r="N286" s="9" t="n">
        <v>238309.35</v>
      </c>
      <c r="O286" s="9" t="n">
        <v>0.01</v>
      </c>
      <c r="P286" s="8" t="n">
        <v>1</v>
      </c>
      <c r="Q286" s="8" t="n">
        <v>0</v>
      </c>
    </row>
    <row r="287">
      <c r="A287" s="8" t="n">
        <v>10</v>
      </c>
      <c r="B287" s="8" t="inlineStr">
        <is>
          <t>CASH_OUT</t>
        </is>
      </c>
      <c r="C287" s="9" t="n">
        <v>331879.03</v>
      </c>
      <c r="D287" s="8" t="inlineStr">
        <is>
          <t>C1378164716</t>
        </is>
      </c>
      <c r="E287" s="9" t="n">
        <v>391501.58</v>
      </c>
      <c r="F287" s="9" t="n">
        <v>59622.55</v>
      </c>
      <c r="G287" s="8" t="inlineStr">
        <is>
          <t>C929266212</t>
        </is>
      </c>
      <c r="H287" s="9" t="n">
        <v>1855093.98</v>
      </c>
      <c r="I287" s="9" t="n">
        <v>2186973.01</v>
      </c>
      <c r="J287" s="10" t="n">
        <v>0</v>
      </c>
      <c r="K287" s="8" t="n">
        <v>0</v>
      </c>
      <c r="L287" s="8" t="n">
        <v>1</v>
      </c>
      <c r="M287" s="9" t="n">
        <v>1463592.4</v>
      </c>
      <c r="N287" s="9" t="n">
        <v>0</v>
      </c>
      <c r="O287" s="9" t="n">
        <v>0</v>
      </c>
      <c r="P287" s="8" t="n">
        <v>1</v>
      </c>
      <c r="Q287" s="8" t="n">
        <v>1</v>
      </c>
    </row>
    <row r="288">
      <c r="A288" s="8" t="n">
        <v>298</v>
      </c>
      <c r="B288" s="8" t="inlineStr">
        <is>
          <t>CASH_IN</t>
        </is>
      </c>
      <c r="C288" s="9" t="n">
        <v>116331.26</v>
      </c>
      <c r="D288" s="8" t="inlineStr">
        <is>
          <t>C578503183</t>
        </is>
      </c>
      <c r="E288" s="9" t="n">
        <v>200827</v>
      </c>
      <c r="F288" s="9" t="n">
        <v>317158.26</v>
      </c>
      <c r="G288" s="8" t="inlineStr">
        <is>
          <t>C38808790</t>
        </is>
      </c>
      <c r="H288" s="9" t="n">
        <v>0</v>
      </c>
      <c r="I288" s="9" t="n">
        <v>0</v>
      </c>
      <c r="J288" s="10" t="n">
        <v>0</v>
      </c>
      <c r="K288" s="8" t="n">
        <v>0</v>
      </c>
      <c r="L288" s="8" t="n">
        <v>0</v>
      </c>
      <c r="M288" s="9" t="n">
        <v>200827</v>
      </c>
      <c r="N288" s="9" t="n">
        <v>232662.52</v>
      </c>
      <c r="O288" s="9" t="n">
        <v>116331.26</v>
      </c>
      <c r="P288" s="8" t="n">
        <v>1</v>
      </c>
      <c r="Q288" s="8" t="n">
        <v>0</v>
      </c>
    </row>
    <row r="289">
      <c r="A289" s="8" t="n">
        <v>347</v>
      </c>
      <c r="B289" s="8" t="inlineStr">
        <is>
          <t>TRANSFER</t>
        </is>
      </c>
      <c r="C289" s="9" t="n">
        <v>749209.17</v>
      </c>
      <c r="D289" s="8" t="inlineStr">
        <is>
          <t>C546074573</t>
        </is>
      </c>
      <c r="E289" s="9" t="n">
        <v>300330</v>
      </c>
      <c r="F289" s="9" t="n">
        <v>0</v>
      </c>
      <c r="G289" s="8" t="inlineStr">
        <is>
          <t>C413131872</t>
        </is>
      </c>
      <c r="H289" s="9" t="n">
        <v>0</v>
      </c>
      <c r="I289" s="9" t="n">
        <v>749209.17</v>
      </c>
      <c r="J289" s="10" t="n">
        <v>0</v>
      </c>
      <c r="K289" s="8" t="n">
        <v>0</v>
      </c>
      <c r="L289" s="8" t="n">
        <v>1</v>
      </c>
      <c r="M289" s="9" t="n">
        <v>300330</v>
      </c>
      <c r="N289" s="9" t="n">
        <v>448879.17</v>
      </c>
      <c r="O289" s="9" t="n">
        <v>0</v>
      </c>
      <c r="P289" s="8" t="n">
        <v>1</v>
      </c>
      <c r="Q289" s="8" t="n">
        <v>0</v>
      </c>
    </row>
    <row r="290">
      <c r="A290" s="8" t="n">
        <v>144</v>
      </c>
      <c r="B290" s="8" t="inlineStr">
        <is>
          <t>CASH_IN</t>
        </is>
      </c>
      <c r="C290" s="9" t="n">
        <v>436226.53</v>
      </c>
      <c r="D290" s="8" t="inlineStr">
        <is>
          <t>C1900092698</t>
        </is>
      </c>
      <c r="E290" s="9" t="n">
        <v>338301.71</v>
      </c>
      <c r="F290" s="9" t="n">
        <v>774528.24</v>
      </c>
      <c r="G290" s="8" t="inlineStr">
        <is>
          <t>C1030079507</t>
        </is>
      </c>
      <c r="H290" s="9" t="n">
        <v>2724676.69</v>
      </c>
      <c r="I290" s="9" t="n">
        <v>2288450.16</v>
      </c>
      <c r="J290" s="10" t="n">
        <v>0</v>
      </c>
      <c r="K290" s="8" t="n">
        <v>0</v>
      </c>
      <c r="L290" s="8" t="n">
        <v>0</v>
      </c>
      <c r="M290" s="9" t="n">
        <v>2386374.98</v>
      </c>
      <c r="N290" s="9" t="n">
        <v>872453.0600000001</v>
      </c>
      <c r="O290" s="9" t="n">
        <v>872453.0600000001</v>
      </c>
      <c r="P290" s="8" t="n">
        <v>1</v>
      </c>
      <c r="Q290" s="8" t="n">
        <v>0</v>
      </c>
    </row>
    <row r="291">
      <c r="A291" s="8" t="n">
        <v>691</v>
      </c>
      <c r="B291" s="8" t="inlineStr">
        <is>
          <t>CASH_IN</t>
        </is>
      </c>
      <c r="C291" s="9" t="n">
        <v>140323.15</v>
      </c>
      <c r="D291" s="8" t="inlineStr">
        <is>
          <t>C1694237368</t>
        </is>
      </c>
      <c r="E291" s="9" t="n">
        <v>1343466.01</v>
      </c>
      <c r="F291" s="9" t="n">
        <v>1483789.16</v>
      </c>
      <c r="G291" s="8" t="inlineStr">
        <is>
          <t>C710615083</t>
        </is>
      </c>
      <c r="H291" s="9" t="n">
        <v>825823.92</v>
      </c>
      <c r="I291" s="9" t="n">
        <v>685500.77</v>
      </c>
      <c r="J291" s="10" t="n">
        <v>0</v>
      </c>
      <c r="K291" s="8" t="n">
        <v>0</v>
      </c>
      <c r="L291" s="8" t="n">
        <v>0</v>
      </c>
      <c r="M291" s="9" t="n">
        <v>517642.09</v>
      </c>
      <c r="N291" s="9" t="n">
        <v>280646.3</v>
      </c>
      <c r="O291" s="9" t="n">
        <v>280646.3</v>
      </c>
      <c r="P291" s="8" t="n">
        <v>1</v>
      </c>
      <c r="Q291" s="8" t="n">
        <v>0</v>
      </c>
    </row>
    <row r="292">
      <c r="A292" s="8" t="n">
        <v>316</v>
      </c>
      <c r="B292" s="8" t="inlineStr">
        <is>
          <t>TRANSFER</t>
        </is>
      </c>
      <c r="C292" s="9" t="n">
        <v>158279.4</v>
      </c>
      <c r="D292" s="8" t="inlineStr">
        <is>
          <t>C2088071095</t>
        </is>
      </c>
      <c r="E292" s="9" t="n">
        <v>158279.4</v>
      </c>
      <c r="F292" s="9" t="n">
        <v>0</v>
      </c>
      <c r="G292" s="8" t="inlineStr">
        <is>
          <t>C2038364008</t>
        </is>
      </c>
      <c r="H292" s="9" t="n">
        <v>0</v>
      </c>
      <c r="I292" s="9" t="n">
        <v>0</v>
      </c>
      <c r="J292" s="11" t="n">
        <v>1</v>
      </c>
      <c r="K292" s="8" t="n">
        <v>0</v>
      </c>
      <c r="L292" s="8" t="n">
        <v>1</v>
      </c>
      <c r="M292" s="9" t="n">
        <v>158279.4</v>
      </c>
      <c r="N292" s="9" t="n">
        <v>0</v>
      </c>
      <c r="O292" s="9" t="n">
        <v>158279.4</v>
      </c>
      <c r="P292" s="8" t="n">
        <v>1</v>
      </c>
      <c r="Q292" s="8" t="n">
        <v>1</v>
      </c>
    </row>
    <row r="293">
      <c r="A293" s="8" t="n">
        <v>202</v>
      </c>
      <c r="B293" s="8" t="inlineStr">
        <is>
          <t>PAYMENT</t>
        </is>
      </c>
      <c r="C293" s="9" t="n">
        <v>3785.85</v>
      </c>
      <c r="D293" s="8" t="inlineStr">
        <is>
          <t>C1993784517</t>
        </is>
      </c>
      <c r="E293" s="9" t="n">
        <v>121818.25</v>
      </c>
      <c r="F293" s="9" t="n">
        <v>118032.4</v>
      </c>
      <c r="G293" s="8" t="inlineStr">
        <is>
          <t>M280746661</t>
        </is>
      </c>
      <c r="H293" s="9" t="n">
        <v>0</v>
      </c>
      <c r="I293" s="9" t="n">
        <v>0</v>
      </c>
      <c r="J293" s="10" t="n">
        <v>0</v>
      </c>
      <c r="K293" s="8" t="n">
        <v>1</v>
      </c>
      <c r="L293" s="8" t="n">
        <v>0</v>
      </c>
      <c r="M293" s="9" t="n">
        <v>121818.25</v>
      </c>
      <c r="N293" s="9" t="n">
        <v>0</v>
      </c>
      <c r="O293" s="9" t="n">
        <v>3785.85</v>
      </c>
      <c r="P293" s="8" t="n">
        <v>0</v>
      </c>
      <c r="Q293" s="8" t="n">
        <v>1</v>
      </c>
    </row>
    <row r="294">
      <c r="A294" s="8" t="n">
        <v>405</v>
      </c>
      <c r="B294" s="8" t="inlineStr">
        <is>
          <t>TRANSFER</t>
        </is>
      </c>
      <c r="C294" s="9" t="n">
        <v>35800.87</v>
      </c>
      <c r="D294" s="8" t="inlineStr">
        <is>
          <t>C415921731</t>
        </is>
      </c>
      <c r="E294" s="9" t="n">
        <v>75406</v>
      </c>
      <c r="F294" s="9" t="n">
        <v>39605.13</v>
      </c>
      <c r="G294" s="8" t="inlineStr">
        <is>
          <t>C1060448564</t>
        </is>
      </c>
      <c r="H294" s="9" t="n">
        <v>854914.52</v>
      </c>
      <c r="I294" s="9" t="n">
        <v>890715.39</v>
      </c>
      <c r="J294" s="10" t="n">
        <v>0</v>
      </c>
      <c r="K294" s="8" t="n">
        <v>0</v>
      </c>
      <c r="L294" s="8" t="n">
        <v>1</v>
      </c>
      <c r="M294" s="9" t="n">
        <v>779508.52</v>
      </c>
      <c r="N294" s="9" t="n">
        <v>0</v>
      </c>
      <c r="O294" s="9" t="n">
        <v>0</v>
      </c>
      <c r="P294" s="8" t="n">
        <v>1</v>
      </c>
      <c r="Q294" s="8" t="n">
        <v>1</v>
      </c>
    </row>
    <row r="295">
      <c r="A295" s="8" t="n">
        <v>608</v>
      </c>
      <c r="B295" s="8" t="inlineStr">
        <is>
          <t>CASH_OUT</t>
        </is>
      </c>
      <c r="C295" s="9" t="n">
        <v>27985.73</v>
      </c>
      <c r="D295" s="8" t="inlineStr">
        <is>
          <t>C2032783178</t>
        </is>
      </c>
      <c r="E295" s="9" t="n">
        <v>27985.73</v>
      </c>
      <c r="F295" s="9" t="n">
        <v>0</v>
      </c>
      <c r="G295" s="8" t="inlineStr">
        <is>
          <t>C385133759</t>
        </is>
      </c>
      <c r="H295" s="9" t="n">
        <v>5079508.41</v>
      </c>
      <c r="I295" s="9" t="n">
        <v>5107494.15</v>
      </c>
      <c r="J295" s="11" t="n">
        <v>1</v>
      </c>
      <c r="K295" s="8" t="n">
        <v>0</v>
      </c>
      <c r="L295" s="8" t="n">
        <v>1</v>
      </c>
      <c r="M295" s="9" t="n">
        <v>5051522.68</v>
      </c>
      <c r="N295" s="9" t="n">
        <v>0</v>
      </c>
      <c r="O295" s="9" t="n">
        <v>-0.01</v>
      </c>
      <c r="P295" s="8" t="n">
        <v>1</v>
      </c>
      <c r="Q295" s="8" t="n">
        <v>1</v>
      </c>
    </row>
    <row r="296">
      <c r="A296" s="8" t="n">
        <v>142</v>
      </c>
      <c r="B296" s="8" t="inlineStr">
        <is>
          <t>TRANSFER</t>
        </is>
      </c>
      <c r="C296" s="9" t="n">
        <v>551301.51</v>
      </c>
      <c r="D296" s="8" t="inlineStr">
        <is>
          <t>C120111233</t>
        </is>
      </c>
      <c r="E296" s="9" t="n">
        <v>0</v>
      </c>
      <c r="F296" s="9" t="n">
        <v>0</v>
      </c>
      <c r="G296" s="8" t="inlineStr">
        <is>
          <t>C1139985532</t>
        </is>
      </c>
      <c r="H296" s="9" t="n">
        <v>2279878.65</v>
      </c>
      <c r="I296" s="9" t="n">
        <v>2831180.16</v>
      </c>
      <c r="J296" s="10" t="n">
        <v>0</v>
      </c>
      <c r="K296" s="8" t="n">
        <v>0</v>
      </c>
      <c r="L296" s="8" t="n">
        <v>1</v>
      </c>
      <c r="M296" s="9" t="n">
        <v>2279878.65</v>
      </c>
      <c r="N296" s="9" t="n">
        <v>551301.51</v>
      </c>
      <c r="O296" s="9" t="n">
        <v>0</v>
      </c>
      <c r="P296" s="8" t="n">
        <v>1</v>
      </c>
      <c r="Q296" s="8" t="n">
        <v>0</v>
      </c>
    </row>
    <row r="297">
      <c r="A297" s="8" t="n">
        <v>257</v>
      </c>
      <c r="B297" s="8" t="inlineStr">
        <is>
          <t>PAYMENT</t>
        </is>
      </c>
      <c r="C297" s="9" t="n">
        <v>21214.51</v>
      </c>
      <c r="D297" s="8" t="inlineStr">
        <is>
          <t>C854472994</t>
        </is>
      </c>
      <c r="E297" s="9" t="n">
        <v>318984</v>
      </c>
      <c r="F297" s="9" t="n">
        <v>297769.49</v>
      </c>
      <c r="G297" s="8" t="inlineStr">
        <is>
          <t>M477029018</t>
        </is>
      </c>
      <c r="H297" s="9" t="n">
        <v>0</v>
      </c>
      <c r="I297" s="9" t="n">
        <v>0</v>
      </c>
      <c r="J297" s="10" t="n">
        <v>0</v>
      </c>
      <c r="K297" s="8" t="n">
        <v>1</v>
      </c>
      <c r="L297" s="8" t="n">
        <v>0</v>
      </c>
      <c r="M297" s="9" t="n">
        <v>318984</v>
      </c>
      <c r="N297" s="9" t="n">
        <v>0</v>
      </c>
      <c r="O297" s="9" t="n">
        <v>21214.51</v>
      </c>
      <c r="P297" s="8" t="n">
        <v>0</v>
      </c>
      <c r="Q297" s="8" t="n">
        <v>1</v>
      </c>
    </row>
    <row r="298">
      <c r="A298" s="8" t="n">
        <v>404</v>
      </c>
      <c r="B298" s="8" t="inlineStr">
        <is>
          <t>CASH_IN</t>
        </is>
      </c>
      <c r="C298" s="9" t="n">
        <v>103348.01</v>
      </c>
      <c r="D298" s="8" t="inlineStr">
        <is>
          <t>C1223599839</t>
        </is>
      </c>
      <c r="E298" s="9" t="n">
        <v>8337177.79</v>
      </c>
      <c r="F298" s="9" t="n">
        <v>8440525.800000001</v>
      </c>
      <c r="G298" s="8" t="inlineStr">
        <is>
          <t>C143383320</t>
        </is>
      </c>
      <c r="H298" s="9" t="n">
        <v>375845.42</v>
      </c>
      <c r="I298" s="9" t="n">
        <v>272497.41</v>
      </c>
      <c r="J298" s="10" t="n">
        <v>0</v>
      </c>
      <c r="K298" s="8" t="n">
        <v>0</v>
      </c>
      <c r="L298" s="8" t="n">
        <v>0</v>
      </c>
      <c r="M298" s="9" t="n">
        <v>7961332.37</v>
      </c>
      <c r="N298" s="9" t="n">
        <v>206696.02</v>
      </c>
      <c r="O298" s="9" t="n">
        <v>206696.02</v>
      </c>
      <c r="P298" s="8" t="n">
        <v>1</v>
      </c>
      <c r="Q298" s="8" t="n">
        <v>0</v>
      </c>
    </row>
    <row r="299">
      <c r="A299" s="8" t="n">
        <v>322</v>
      </c>
      <c r="B299" s="8" t="inlineStr">
        <is>
          <t>TRANSFER</t>
        </is>
      </c>
      <c r="C299" s="9" t="n">
        <v>108213.6</v>
      </c>
      <c r="D299" s="8" t="inlineStr">
        <is>
          <t>C586432166</t>
        </is>
      </c>
      <c r="E299" s="9" t="n">
        <v>108213.6</v>
      </c>
      <c r="F299" s="9" t="n">
        <v>0</v>
      </c>
      <c r="G299" s="8" t="inlineStr">
        <is>
          <t>C810627720</t>
        </is>
      </c>
      <c r="H299" s="9" t="n">
        <v>0</v>
      </c>
      <c r="I299" s="9" t="n">
        <v>0</v>
      </c>
      <c r="J299" s="11" t="n">
        <v>1</v>
      </c>
      <c r="K299" s="8" t="n">
        <v>0</v>
      </c>
      <c r="L299" s="8" t="n">
        <v>1</v>
      </c>
      <c r="M299" s="9" t="n">
        <v>108213.6</v>
      </c>
      <c r="N299" s="9" t="n">
        <v>0</v>
      </c>
      <c r="O299" s="9" t="n">
        <v>108213.6</v>
      </c>
      <c r="P299" s="8" t="n">
        <v>1</v>
      </c>
      <c r="Q299" s="8" t="n">
        <v>1</v>
      </c>
    </row>
    <row r="300">
      <c r="A300" s="8" t="n">
        <v>735</v>
      </c>
      <c r="B300" s="8" t="inlineStr">
        <is>
          <t>CASH_OUT</t>
        </is>
      </c>
      <c r="C300" s="9" t="n">
        <v>256417.06</v>
      </c>
      <c r="D300" s="8" t="inlineStr">
        <is>
          <t>C1441986673</t>
        </is>
      </c>
      <c r="E300" s="9" t="n">
        <v>256417.06</v>
      </c>
      <c r="F300" s="9" t="n">
        <v>0</v>
      </c>
      <c r="G300" s="8" t="inlineStr">
        <is>
          <t>C1500556384</t>
        </is>
      </c>
      <c r="H300" s="9" t="n">
        <v>811137.89</v>
      </c>
      <c r="I300" s="9" t="n">
        <v>1067554.95</v>
      </c>
      <c r="J300" s="11" t="n">
        <v>1</v>
      </c>
      <c r="K300" s="8" t="n">
        <v>0</v>
      </c>
      <c r="L300" s="8" t="n">
        <v>1</v>
      </c>
      <c r="M300" s="9" t="n">
        <v>554720.8300000001</v>
      </c>
      <c r="N300" s="9" t="n">
        <v>0</v>
      </c>
      <c r="O300" s="9" t="n">
        <v>0</v>
      </c>
      <c r="P300" s="8" t="n">
        <v>1</v>
      </c>
      <c r="Q300" s="8" t="n">
        <v>1</v>
      </c>
    </row>
    <row r="301">
      <c r="A301" s="8" t="n">
        <v>156</v>
      </c>
      <c r="B301" s="8" t="inlineStr">
        <is>
          <t>CASH_OUT</t>
        </is>
      </c>
      <c r="C301" s="9" t="n">
        <v>289780.68</v>
      </c>
      <c r="D301" s="8" t="inlineStr">
        <is>
          <t>C808943790</t>
        </is>
      </c>
      <c r="E301" s="9" t="n">
        <v>0</v>
      </c>
      <c r="F301" s="9" t="n">
        <v>0</v>
      </c>
      <c r="G301" s="8" t="inlineStr">
        <is>
          <t>C1640508858</t>
        </is>
      </c>
      <c r="H301" s="9" t="n">
        <v>1642680.54</v>
      </c>
      <c r="I301" s="9" t="n">
        <v>1932461.22</v>
      </c>
      <c r="J301" s="10" t="n">
        <v>0</v>
      </c>
      <c r="K301" s="8" t="n">
        <v>0</v>
      </c>
      <c r="L301" s="8" t="n">
        <v>1</v>
      </c>
      <c r="M301" s="9" t="n">
        <v>1642680.54</v>
      </c>
      <c r="N301" s="9" t="n">
        <v>289780.68</v>
      </c>
      <c r="O301" s="9" t="n">
        <v>0</v>
      </c>
      <c r="P301" s="8" t="n">
        <v>1</v>
      </c>
      <c r="Q301" s="8" t="n">
        <v>0</v>
      </c>
    </row>
    <row r="302">
      <c r="A302" s="8" t="n">
        <v>307</v>
      </c>
      <c r="B302" s="8" t="inlineStr">
        <is>
          <t>TRANSFER</t>
        </is>
      </c>
      <c r="C302" s="9" t="n">
        <v>441423.44</v>
      </c>
      <c r="D302" s="8" t="inlineStr">
        <is>
          <t>C1716496327</t>
        </is>
      </c>
      <c r="E302" s="9" t="n">
        <v>441423.44</v>
      </c>
      <c r="F302" s="9" t="n">
        <v>0</v>
      </c>
      <c r="G302" s="8" t="inlineStr">
        <is>
          <t>C200111106</t>
        </is>
      </c>
      <c r="H302" s="9" t="n">
        <v>0</v>
      </c>
      <c r="I302" s="9" t="n">
        <v>0</v>
      </c>
      <c r="J302" s="11" t="n">
        <v>1</v>
      </c>
      <c r="K302" s="8" t="n">
        <v>0</v>
      </c>
      <c r="L302" s="8" t="n">
        <v>1</v>
      </c>
      <c r="M302" s="9" t="n">
        <v>441423.44</v>
      </c>
      <c r="N302" s="9" t="n">
        <v>0</v>
      </c>
      <c r="O302" s="9" t="n">
        <v>441423.44</v>
      </c>
      <c r="P302" s="8" t="n">
        <v>1</v>
      </c>
      <c r="Q302" s="8" t="n">
        <v>1</v>
      </c>
    </row>
    <row r="303">
      <c r="A303" s="8" t="n">
        <v>348</v>
      </c>
      <c r="B303" s="8" t="inlineStr">
        <is>
          <t>CASH_OUT</t>
        </is>
      </c>
      <c r="C303" s="9" t="n">
        <v>323963.14</v>
      </c>
      <c r="D303" s="8" t="inlineStr">
        <is>
          <t>C1496665994</t>
        </is>
      </c>
      <c r="E303" s="9" t="n">
        <v>223442</v>
      </c>
      <c r="F303" s="9" t="n">
        <v>0</v>
      </c>
      <c r="G303" s="8" t="inlineStr">
        <is>
          <t>C348494722</t>
        </is>
      </c>
      <c r="H303" s="9" t="n">
        <v>462323.57</v>
      </c>
      <c r="I303" s="9" t="n">
        <v>786286.71</v>
      </c>
      <c r="J303" s="10" t="n">
        <v>0</v>
      </c>
      <c r="K303" s="8" t="n">
        <v>0</v>
      </c>
      <c r="L303" s="8" t="n">
        <v>1</v>
      </c>
      <c r="M303" s="9" t="n">
        <v>238881.57</v>
      </c>
      <c r="N303" s="9" t="n">
        <v>100521.14</v>
      </c>
      <c r="O303" s="9" t="n">
        <v>0</v>
      </c>
      <c r="P303" s="8" t="n">
        <v>1</v>
      </c>
      <c r="Q303" s="8" t="n">
        <v>0</v>
      </c>
    </row>
    <row r="304">
      <c r="A304" s="8" t="n">
        <v>359</v>
      </c>
      <c r="B304" s="8" t="inlineStr">
        <is>
          <t>PAYMENT</t>
        </is>
      </c>
      <c r="C304" s="9" t="n">
        <v>7092.02</v>
      </c>
      <c r="D304" s="8" t="inlineStr">
        <is>
          <t>C348562477</t>
        </is>
      </c>
      <c r="E304" s="9" t="n">
        <v>6258</v>
      </c>
      <c r="F304" s="9" t="n">
        <v>0</v>
      </c>
      <c r="G304" s="8" t="inlineStr">
        <is>
          <t>M843243231</t>
        </is>
      </c>
      <c r="H304" s="9" t="n">
        <v>0</v>
      </c>
      <c r="I304" s="9" t="n">
        <v>0</v>
      </c>
      <c r="J304" s="10" t="n">
        <v>0</v>
      </c>
      <c r="K304" s="8" t="n">
        <v>1</v>
      </c>
      <c r="L304" s="8" t="n">
        <v>0</v>
      </c>
      <c r="M304" s="9" t="n">
        <v>6258</v>
      </c>
      <c r="N304" s="9" t="n">
        <v>834.02</v>
      </c>
      <c r="O304" s="9" t="n">
        <v>7092.02</v>
      </c>
      <c r="P304" s="8" t="n">
        <v>0</v>
      </c>
      <c r="Q304" s="8" t="n">
        <v>0</v>
      </c>
    </row>
    <row r="305">
      <c r="A305" s="8" t="n">
        <v>400</v>
      </c>
      <c r="B305" s="8" t="inlineStr">
        <is>
          <t>PAYMENT</t>
        </is>
      </c>
      <c r="C305" s="9" t="n">
        <v>18540.08</v>
      </c>
      <c r="D305" s="8" t="inlineStr">
        <is>
          <t>C912798479</t>
        </is>
      </c>
      <c r="E305" s="9" t="n">
        <v>0</v>
      </c>
      <c r="F305" s="9" t="n">
        <v>0</v>
      </c>
      <c r="G305" s="8" t="inlineStr">
        <is>
          <t>M644540051</t>
        </is>
      </c>
      <c r="H305" s="9" t="n">
        <v>0</v>
      </c>
      <c r="I305" s="9" t="n">
        <v>0</v>
      </c>
      <c r="J305" s="10" t="n">
        <v>0</v>
      </c>
      <c r="K305" s="8" t="n">
        <v>1</v>
      </c>
      <c r="L305" s="8" t="n">
        <v>0</v>
      </c>
      <c r="M305" s="9" t="n">
        <v>0</v>
      </c>
      <c r="N305" s="9" t="n">
        <v>18540.08</v>
      </c>
      <c r="O305" s="9" t="n">
        <v>18540.08</v>
      </c>
      <c r="P305" s="8" t="n">
        <v>0</v>
      </c>
      <c r="Q305" s="8" t="n">
        <v>0</v>
      </c>
    </row>
    <row r="306">
      <c r="A306" s="8" t="n">
        <v>237</v>
      </c>
      <c r="B306" s="8" t="inlineStr">
        <is>
          <t>CASH_OUT</t>
        </is>
      </c>
      <c r="C306" s="9" t="n">
        <v>120291.16</v>
      </c>
      <c r="D306" s="8" t="inlineStr">
        <is>
          <t>C990576463</t>
        </is>
      </c>
      <c r="E306" s="9" t="n">
        <v>0</v>
      </c>
      <c r="F306" s="9" t="n">
        <v>0</v>
      </c>
      <c r="G306" s="8" t="inlineStr">
        <is>
          <t>C785886818</t>
        </is>
      </c>
      <c r="H306" s="9" t="n">
        <v>490510.49</v>
      </c>
      <c r="I306" s="9" t="n">
        <v>610801.65</v>
      </c>
      <c r="J306" s="10" t="n">
        <v>0</v>
      </c>
      <c r="K306" s="8" t="n">
        <v>0</v>
      </c>
      <c r="L306" s="8" t="n">
        <v>1</v>
      </c>
      <c r="M306" s="9" t="n">
        <v>490510.49</v>
      </c>
      <c r="N306" s="9" t="n">
        <v>120291.16</v>
      </c>
      <c r="O306" s="9" t="n">
        <v>0</v>
      </c>
      <c r="P306" s="8" t="n">
        <v>1</v>
      </c>
      <c r="Q306" s="8" t="n">
        <v>0</v>
      </c>
    </row>
    <row r="307">
      <c r="A307" s="8" t="n">
        <v>209</v>
      </c>
      <c r="B307" s="8" t="inlineStr">
        <is>
          <t>PAYMENT</t>
        </is>
      </c>
      <c r="C307" s="9" t="n">
        <v>6317.59</v>
      </c>
      <c r="D307" s="8" t="inlineStr">
        <is>
          <t>C1125497040</t>
        </is>
      </c>
      <c r="E307" s="9" t="n">
        <v>182</v>
      </c>
      <c r="F307" s="9" t="n">
        <v>0</v>
      </c>
      <c r="G307" s="8" t="inlineStr">
        <is>
          <t>M1385117070</t>
        </is>
      </c>
      <c r="H307" s="9" t="n">
        <v>0</v>
      </c>
      <c r="I307" s="9" t="n">
        <v>0</v>
      </c>
      <c r="J307" s="10" t="n">
        <v>0</v>
      </c>
      <c r="K307" s="8" t="n">
        <v>1</v>
      </c>
      <c r="L307" s="8" t="n">
        <v>0</v>
      </c>
      <c r="M307" s="9" t="n">
        <v>182</v>
      </c>
      <c r="N307" s="9" t="n">
        <v>6135.59</v>
      </c>
      <c r="O307" s="9" t="n">
        <v>6317.59</v>
      </c>
      <c r="P307" s="8" t="n">
        <v>0</v>
      </c>
      <c r="Q307" s="8" t="n">
        <v>0</v>
      </c>
    </row>
    <row r="308">
      <c r="A308" s="8" t="n">
        <v>308</v>
      </c>
      <c r="B308" s="8" t="inlineStr">
        <is>
          <t>TRANSFER</t>
        </is>
      </c>
      <c r="C308" s="9" t="n">
        <v>74935.33</v>
      </c>
      <c r="D308" s="8" t="inlineStr">
        <is>
          <t>C1503559236</t>
        </is>
      </c>
      <c r="E308" s="9" t="n">
        <v>55904.14</v>
      </c>
      <c r="F308" s="9" t="n">
        <v>0</v>
      </c>
      <c r="G308" s="8" t="inlineStr">
        <is>
          <t>C1244142424</t>
        </is>
      </c>
      <c r="H308" s="9" t="n">
        <v>11619539.66</v>
      </c>
      <c r="I308" s="9" t="n">
        <v>11694474.98</v>
      </c>
      <c r="J308" s="10" t="n">
        <v>0</v>
      </c>
      <c r="K308" s="8" t="n">
        <v>0</v>
      </c>
      <c r="L308" s="8" t="n">
        <v>1</v>
      </c>
      <c r="M308" s="9" t="n">
        <v>11563635.52</v>
      </c>
      <c r="N308" s="9" t="n">
        <v>19031.19</v>
      </c>
      <c r="O308" s="9" t="n">
        <v>0.01</v>
      </c>
      <c r="P308" s="8" t="n">
        <v>1</v>
      </c>
      <c r="Q308" s="8" t="n">
        <v>0</v>
      </c>
    </row>
    <row r="309">
      <c r="A309" s="8" t="n">
        <v>548</v>
      </c>
      <c r="B309" s="8" t="inlineStr">
        <is>
          <t>CASH_OUT</t>
        </is>
      </c>
      <c r="C309" s="9" t="n">
        <v>40309.11</v>
      </c>
      <c r="D309" s="8" t="inlineStr">
        <is>
          <t>C1932940322</t>
        </is>
      </c>
      <c r="E309" s="9" t="n">
        <v>30881</v>
      </c>
      <c r="F309" s="9" t="n">
        <v>0</v>
      </c>
      <c r="G309" s="8" t="inlineStr">
        <is>
          <t>C830867656</t>
        </is>
      </c>
      <c r="H309" s="9" t="n">
        <v>1750033.39</v>
      </c>
      <c r="I309" s="9" t="n">
        <v>1790342.49</v>
      </c>
      <c r="J309" s="10" t="n">
        <v>0</v>
      </c>
      <c r="K309" s="8" t="n">
        <v>0</v>
      </c>
      <c r="L309" s="8" t="n">
        <v>1</v>
      </c>
      <c r="M309" s="9" t="n">
        <v>1719152.39</v>
      </c>
      <c r="N309" s="9" t="n">
        <v>9428.110000000001</v>
      </c>
      <c r="O309" s="9" t="n">
        <v>0.01</v>
      </c>
      <c r="P309" s="8" t="n">
        <v>1</v>
      </c>
      <c r="Q309" s="8" t="n">
        <v>0</v>
      </c>
    </row>
    <row r="310">
      <c r="A310" s="8" t="n">
        <v>180</v>
      </c>
      <c r="B310" s="8" t="inlineStr">
        <is>
          <t>PAYMENT</t>
        </is>
      </c>
      <c r="C310" s="9" t="n">
        <v>6315.56</v>
      </c>
      <c r="D310" s="8" t="inlineStr">
        <is>
          <t>C79505127</t>
        </is>
      </c>
      <c r="E310" s="9" t="n">
        <v>16348</v>
      </c>
      <c r="F310" s="9" t="n">
        <v>10032.44</v>
      </c>
      <c r="G310" s="8" t="inlineStr">
        <is>
          <t>M1768339361</t>
        </is>
      </c>
      <c r="H310" s="9" t="n">
        <v>0</v>
      </c>
      <c r="I310" s="9" t="n">
        <v>0</v>
      </c>
      <c r="J310" s="10" t="n">
        <v>0</v>
      </c>
      <c r="K310" s="8" t="n">
        <v>1</v>
      </c>
      <c r="L310" s="8" t="n">
        <v>0</v>
      </c>
      <c r="M310" s="9" t="n">
        <v>16348</v>
      </c>
      <c r="N310" s="9" t="n">
        <v>0</v>
      </c>
      <c r="O310" s="9" t="n">
        <v>6315.56</v>
      </c>
      <c r="P310" s="8" t="n">
        <v>0</v>
      </c>
      <c r="Q310" s="8" t="n">
        <v>1</v>
      </c>
    </row>
    <row r="311">
      <c r="A311" s="8" t="n">
        <v>336</v>
      </c>
      <c r="B311" s="8" t="inlineStr">
        <is>
          <t>CASH_OUT</t>
        </is>
      </c>
      <c r="C311" s="9" t="n">
        <v>205129.12</v>
      </c>
      <c r="D311" s="8" t="inlineStr">
        <is>
          <t>C758551247</t>
        </is>
      </c>
      <c r="E311" s="9" t="n">
        <v>205129.12</v>
      </c>
      <c r="F311" s="9" t="n">
        <v>0</v>
      </c>
      <c r="G311" s="8" t="inlineStr">
        <is>
          <t>C635085468</t>
        </is>
      </c>
      <c r="H311" s="9" t="n">
        <v>480559.02</v>
      </c>
      <c r="I311" s="9" t="n">
        <v>685688.15</v>
      </c>
      <c r="J311" s="11" t="n">
        <v>1</v>
      </c>
      <c r="K311" s="8" t="n">
        <v>0</v>
      </c>
      <c r="L311" s="8" t="n">
        <v>1</v>
      </c>
      <c r="M311" s="9" t="n">
        <v>275429.9</v>
      </c>
      <c r="N311" s="9" t="n">
        <v>0</v>
      </c>
      <c r="O311" s="9" t="n">
        <v>-0.01</v>
      </c>
      <c r="P311" s="8" t="n">
        <v>1</v>
      </c>
      <c r="Q311" s="8" t="n">
        <v>1</v>
      </c>
    </row>
    <row r="312">
      <c r="A312" s="8" t="n">
        <v>190</v>
      </c>
      <c r="B312" s="8" t="inlineStr">
        <is>
          <t>CASH_OUT</t>
        </is>
      </c>
      <c r="C312" s="9" t="n">
        <v>412622.41</v>
      </c>
      <c r="D312" s="8" t="inlineStr">
        <is>
          <t>C1801500248</t>
        </is>
      </c>
      <c r="E312" s="9" t="n">
        <v>0</v>
      </c>
      <c r="F312" s="9" t="n">
        <v>0</v>
      </c>
      <c r="G312" s="8" t="inlineStr">
        <is>
          <t>C440746955</t>
        </is>
      </c>
      <c r="H312" s="9" t="n">
        <v>7665553.5</v>
      </c>
      <c r="I312" s="9" t="n">
        <v>8351122.08</v>
      </c>
      <c r="J312" s="10" t="n">
        <v>0</v>
      </c>
      <c r="K312" s="8" t="n">
        <v>0</v>
      </c>
      <c r="L312" s="8" t="n">
        <v>1</v>
      </c>
      <c r="M312" s="9" t="n">
        <v>7665553.5</v>
      </c>
      <c r="N312" s="9" t="n">
        <v>412622.41</v>
      </c>
      <c r="O312" s="9" t="n">
        <v>-272946.17</v>
      </c>
      <c r="P312" s="8" t="n">
        <v>1</v>
      </c>
      <c r="Q312" s="8" t="n">
        <v>0</v>
      </c>
    </row>
    <row r="313">
      <c r="A313" s="8" t="n">
        <v>43</v>
      </c>
      <c r="B313" s="8" t="inlineStr">
        <is>
          <t>CASH_OUT</t>
        </is>
      </c>
      <c r="C313" s="9" t="n">
        <v>21987</v>
      </c>
      <c r="D313" s="8" t="inlineStr">
        <is>
          <t>C983847519</t>
        </is>
      </c>
      <c r="E313" s="9" t="n">
        <v>21987</v>
      </c>
      <c r="F313" s="9" t="n">
        <v>0</v>
      </c>
      <c r="G313" s="8" t="inlineStr">
        <is>
          <t>C868283274</t>
        </is>
      </c>
      <c r="H313" s="9" t="n">
        <v>123690.93</v>
      </c>
      <c r="I313" s="9" t="n">
        <v>145677.94</v>
      </c>
      <c r="J313" s="11" t="n">
        <v>1</v>
      </c>
      <c r="K313" s="8" t="n">
        <v>0</v>
      </c>
      <c r="L313" s="8" t="n">
        <v>1</v>
      </c>
      <c r="M313" s="9" t="n">
        <v>101703.93</v>
      </c>
      <c r="N313" s="9" t="n">
        <v>0</v>
      </c>
      <c r="O313" s="9" t="n">
        <v>-0.01</v>
      </c>
      <c r="P313" s="8" t="n">
        <v>1</v>
      </c>
      <c r="Q313" s="8" t="n">
        <v>1</v>
      </c>
    </row>
    <row r="314">
      <c r="A314" s="8" t="n">
        <v>382</v>
      </c>
      <c r="B314" s="8" t="inlineStr">
        <is>
          <t>PAYMENT</t>
        </is>
      </c>
      <c r="C314" s="9" t="n">
        <v>41857.35</v>
      </c>
      <c r="D314" s="8" t="inlineStr">
        <is>
          <t>C1381943355</t>
        </is>
      </c>
      <c r="E314" s="9" t="n">
        <v>0</v>
      </c>
      <c r="F314" s="9" t="n">
        <v>0</v>
      </c>
      <c r="G314" s="8" t="inlineStr">
        <is>
          <t>M1646874856</t>
        </is>
      </c>
      <c r="H314" s="9" t="n">
        <v>0</v>
      </c>
      <c r="I314" s="9" t="n">
        <v>0</v>
      </c>
      <c r="J314" s="10" t="n">
        <v>0</v>
      </c>
      <c r="K314" s="8" t="n">
        <v>1</v>
      </c>
      <c r="L314" s="8" t="n">
        <v>0</v>
      </c>
      <c r="M314" s="9" t="n">
        <v>0</v>
      </c>
      <c r="N314" s="9" t="n">
        <v>41857.35</v>
      </c>
      <c r="O314" s="9" t="n">
        <v>41857.35</v>
      </c>
      <c r="P314" s="8" t="n">
        <v>0</v>
      </c>
      <c r="Q314" s="8" t="n">
        <v>0</v>
      </c>
    </row>
    <row r="315">
      <c r="A315" s="8" t="n">
        <v>229</v>
      </c>
      <c r="B315" s="8" t="inlineStr">
        <is>
          <t>CASH_OUT</t>
        </is>
      </c>
      <c r="C315" s="9" t="n">
        <v>247706.71</v>
      </c>
      <c r="D315" s="8" t="inlineStr">
        <is>
          <t>C516122721</t>
        </is>
      </c>
      <c r="E315" s="9" t="n">
        <v>0</v>
      </c>
      <c r="F315" s="9" t="n">
        <v>0</v>
      </c>
      <c r="G315" s="8" t="inlineStr">
        <is>
          <t>C1914141385</t>
        </is>
      </c>
      <c r="H315" s="9" t="n">
        <v>572825.9399999999</v>
      </c>
      <c r="I315" s="9" t="n">
        <v>820532.65</v>
      </c>
      <c r="J315" s="10" t="n">
        <v>0</v>
      </c>
      <c r="K315" s="8" t="n">
        <v>0</v>
      </c>
      <c r="L315" s="8" t="n">
        <v>1</v>
      </c>
      <c r="M315" s="9" t="n">
        <v>572825.9399999999</v>
      </c>
      <c r="N315" s="9" t="n">
        <v>247706.71</v>
      </c>
      <c r="O315" s="9" t="n">
        <v>-0</v>
      </c>
      <c r="P315" s="8" t="n">
        <v>1</v>
      </c>
      <c r="Q315" s="8" t="n">
        <v>0</v>
      </c>
    </row>
    <row r="316">
      <c r="A316" s="8" t="n">
        <v>275</v>
      </c>
      <c r="B316" s="8" t="inlineStr">
        <is>
          <t>CASH_IN</t>
        </is>
      </c>
      <c r="C316" s="9" t="n">
        <v>143153.91</v>
      </c>
      <c r="D316" s="8" t="inlineStr">
        <is>
          <t>C39151935</t>
        </is>
      </c>
      <c r="E316" s="9" t="n">
        <v>20022</v>
      </c>
      <c r="F316" s="9" t="n">
        <v>163175.91</v>
      </c>
      <c r="G316" s="8" t="inlineStr">
        <is>
          <t>C2045460784</t>
        </is>
      </c>
      <c r="H316" s="9" t="n">
        <v>907289.3</v>
      </c>
      <c r="I316" s="9" t="n">
        <v>764135.39</v>
      </c>
      <c r="J316" s="10" t="n">
        <v>0</v>
      </c>
      <c r="K316" s="8" t="n">
        <v>0</v>
      </c>
      <c r="L316" s="8" t="n">
        <v>0</v>
      </c>
      <c r="M316" s="9" t="n">
        <v>887267.3</v>
      </c>
      <c r="N316" s="9" t="n">
        <v>286307.82</v>
      </c>
      <c r="O316" s="9" t="n">
        <v>286307.82</v>
      </c>
      <c r="P316" s="8" t="n">
        <v>1</v>
      </c>
      <c r="Q316" s="8" t="n">
        <v>0</v>
      </c>
    </row>
    <row r="317">
      <c r="A317" s="8" t="n">
        <v>326</v>
      </c>
      <c r="B317" s="8" t="inlineStr">
        <is>
          <t>PAYMENT</t>
        </is>
      </c>
      <c r="C317" s="9" t="n">
        <v>992.86</v>
      </c>
      <c r="D317" s="8" t="inlineStr">
        <is>
          <t>C39500431</t>
        </is>
      </c>
      <c r="E317" s="9" t="n">
        <v>0</v>
      </c>
      <c r="F317" s="9" t="n">
        <v>0</v>
      </c>
      <c r="G317" s="8" t="inlineStr">
        <is>
          <t>M914617102</t>
        </is>
      </c>
      <c r="H317" s="9" t="n">
        <v>0</v>
      </c>
      <c r="I317" s="9" t="n">
        <v>0</v>
      </c>
      <c r="J317" s="10" t="n">
        <v>0</v>
      </c>
      <c r="K317" s="8" t="n">
        <v>1</v>
      </c>
      <c r="L317" s="8" t="n">
        <v>0</v>
      </c>
      <c r="M317" s="9" t="n">
        <v>0</v>
      </c>
      <c r="N317" s="9" t="n">
        <v>992.86</v>
      </c>
      <c r="O317" s="9" t="n">
        <v>992.86</v>
      </c>
      <c r="P317" s="8" t="n">
        <v>0</v>
      </c>
      <c r="Q317" s="8" t="n">
        <v>0</v>
      </c>
    </row>
    <row r="318">
      <c r="A318" s="8" t="n">
        <v>105</v>
      </c>
      <c r="B318" s="8" t="inlineStr">
        <is>
          <t>TRANSFER</t>
        </is>
      </c>
      <c r="C318" s="9" t="n">
        <v>40413.81</v>
      </c>
      <c r="D318" s="8" t="inlineStr">
        <is>
          <t>C906016775</t>
        </is>
      </c>
      <c r="E318" s="9" t="n">
        <v>40413.81</v>
      </c>
      <c r="F318" s="9" t="n">
        <v>0</v>
      </c>
      <c r="G318" s="8" t="inlineStr">
        <is>
          <t>C2138340769</t>
        </is>
      </c>
      <c r="H318" s="9" t="n">
        <v>0</v>
      </c>
      <c r="I318" s="9" t="n">
        <v>0</v>
      </c>
      <c r="J318" s="11" t="n">
        <v>1</v>
      </c>
      <c r="K318" s="8" t="n">
        <v>0</v>
      </c>
      <c r="L318" s="8" t="n">
        <v>1</v>
      </c>
      <c r="M318" s="9" t="n">
        <v>40413.81</v>
      </c>
      <c r="N318" s="9" t="n">
        <v>0</v>
      </c>
      <c r="O318" s="9" t="n">
        <v>40413.81</v>
      </c>
      <c r="P318" s="8" t="n">
        <v>1</v>
      </c>
      <c r="Q318" s="8" t="n">
        <v>1</v>
      </c>
    </row>
    <row r="319">
      <c r="A319" s="8" t="n">
        <v>188</v>
      </c>
      <c r="B319" s="8" t="inlineStr">
        <is>
          <t>CASH_OUT</t>
        </is>
      </c>
      <c r="C319" s="9" t="n">
        <v>144525.68</v>
      </c>
      <c r="D319" s="8" t="inlineStr">
        <is>
          <t>C24052970</t>
        </is>
      </c>
      <c r="E319" s="9" t="n">
        <v>18485.75</v>
      </c>
      <c r="F319" s="9" t="n">
        <v>0</v>
      </c>
      <c r="G319" s="8" t="inlineStr">
        <is>
          <t>C1697825507</t>
        </is>
      </c>
      <c r="H319" s="9" t="n">
        <v>293192.83</v>
      </c>
      <c r="I319" s="9" t="n">
        <v>437718.5</v>
      </c>
      <c r="J319" s="10" t="n">
        <v>0</v>
      </c>
      <c r="K319" s="8" t="n">
        <v>0</v>
      </c>
      <c r="L319" s="8" t="n">
        <v>1</v>
      </c>
      <c r="M319" s="9" t="n">
        <v>274707.08</v>
      </c>
      <c r="N319" s="9" t="n">
        <v>126039.93</v>
      </c>
      <c r="O319" s="9" t="n">
        <v>0.01</v>
      </c>
      <c r="P319" s="8" t="n">
        <v>1</v>
      </c>
      <c r="Q319" s="8" t="n">
        <v>0</v>
      </c>
    </row>
    <row r="320">
      <c r="A320" s="8" t="n">
        <v>402</v>
      </c>
      <c r="B320" s="8" t="inlineStr">
        <is>
          <t>CASH_OUT</t>
        </is>
      </c>
      <c r="C320" s="9" t="n">
        <v>37973.1</v>
      </c>
      <c r="D320" s="8" t="inlineStr">
        <is>
          <t>C1210598173</t>
        </is>
      </c>
      <c r="E320" s="9" t="n">
        <v>0</v>
      </c>
      <c r="F320" s="9" t="n">
        <v>0</v>
      </c>
      <c r="G320" s="8" t="inlineStr">
        <is>
          <t>C1847914174</t>
        </is>
      </c>
      <c r="H320" s="9" t="n">
        <v>3365328.88</v>
      </c>
      <c r="I320" s="9" t="n">
        <v>3403301.98</v>
      </c>
      <c r="J320" s="10" t="n">
        <v>0</v>
      </c>
      <c r="K320" s="8" t="n">
        <v>0</v>
      </c>
      <c r="L320" s="8" t="n">
        <v>1</v>
      </c>
      <c r="M320" s="9" t="n">
        <v>3365328.88</v>
      </c>
      <c r="N320" s="9" t="n">
        <v>37973.1</v>
      </c>
      <c r="O320" s="9" t="n">
        <v>0</v>
      </c>
      <c r="P320" s="8" t="n">
        <v>1</v>
      </c>
      <c r="Q320" s="8" t="n">
        <v>0</v>
      </c>
    </row>
    <row r="321">
      <c r="A321" s="8" t="n">
        <v>646</v>
      </c>
      <c r="B321" s="8" t="inlineStr">
        <is>
          <t>TRANSFER</t>
        </is>
      </c>
      <c r="C321" s="9" t="n">
        <v>10000000</v>
      </c>
      <c r="D321" s="8" t="inlineStr">
        <is>
          <t>C590657619</t>
        </is>
      </c>
      <c r="E321" s="9" t="n">
        <v>50399045.08</v>
      </c>
      <c r="F321" s="9" t="n">
        <v>40399045.08</v>
      </c>
      <c r="G321" s="8" t="inlineStr">
        <is>
          <t>C1971187430</t>
        </is>
      </c>
      <c r="H321" s="9" t="n">
        <v>0</v>
      </c>
      <c r="I321" s="9" t="n">
        <v>0</v>
      </c>
      <c r="J321" s="11" t="n">
        <v>1</v>
      </c>
      <c r="K321" s="8" t="n">
        <v>0</v>
      </c>
      <c r="L321" s="8" t="n">
        <v>1</v>
      </c>
      <c r="M321" s="9" t="n">
        <v>50399045.08</v>
      </c>
      <c r="N321" s="9" t="n">
        <v>0</v>
      </c>
      <c r="O321" s="9" t="n">
        <v>10000000</v>
      </c>
      <c r="P321" s="8" t="n">
        <v>1</v>
      </c>
      <c r="Q321" s="8" t="n">
        <v>1</v>
      </c>
    </row>
    <row r="322">
      <c r="A322" s="8" t="n">
        <v>155</v>
      </c>
      <c r="B322" s="8" t="inlineStr">
        <is>
          <t>CASH_OUT</t>
        </is>
      </c>
      <c r="C322" s="9" t="n">
        <v>101974.39</v>
      </c>
      <c r="D322" s="8" t="inlineStr">
        <is>
          <t>C1058755030</t>
        </is>
      </c>
      <c r="E322" s="9" t="n">
        <v>0</v>
      </c>
      <c r="F322" s="9" t="n">
        <v>0</v>
      </c>
      <c r="G322" s="8" t="inlineStr">
        <is>
          <t>C1725226256</t>
        </is>
      </c>
      <c r="H322" s="9" t="n">
        <v>217737.46</v>
      </c>
      <c r="I322" s="9" t="n">
        <v>319711.85</v>
      </c>
      <c r="J322" s="10" t="n">
        <v>0</v>
      </c>
      <c r="K322" s="8" t="n">
        <v>0</v>
      </c>
      <c r="L322" s="8" t="n">
        <v>1</v>
      </c>
      <c r="M322" s="9" t="n">
        <v>217737.46</v>
      </c>
      <c r="N322" s="9" t="n">
        <v>101974.39</v>
      </c>
      <c r="O322" s="9" t="n">
        <v>0</v>
      </c>
      <c r="P322" s="8" t="n">
        <v>1</v>
      </c>
      <c r="Q322" s="8" t="n">
        <v>0</v>
      </c>
    </row>
    <row r="323">
      <c r="A323" s="8" t="n">
        <v>164</v>
      </c>
      <c r="B323" s="8" t="inlineStr">
        <is>
          <t>CASH_IN</t>
        </is>
      </c>
      <c r="C323" s="9" t="n">
        <v>246416.25</v>
      </c>
      <c r="D323" s="8" t="inlineStr">
        <is>
          <t>C2008208993</t>
        </is>
      </c>
      <c r="E323" s="9" t="n">
        <v>4467885.91</v>
      </c>
      <c r="F323" s="9" t="n">
        <v>4714302.16</v>
      </c>
      <c r="G323" s="8" t="inlineStr">
        <is>
          <t>C81366651</t>
        </is>
      </c>
      <c r="H323" s="9" t="n">
        <v>782148.86</v>
      </c>
      <c r="I323" s="9" t="n">
        <v>535732.61</v>
      </c>
      <c r="J323" s="10" t="n">
        <v>0</v>
      </c>
      <c r="K323" s="8" t="n">
        <v>0</v>
      </c>
      <c r="L323" s="8" t="n">
        <v>0</v>
      </c>
      <c r="M323" s="9" t="n">
        <v>3685737.05</v>
      </c>
      <c r="N323" s="9" t="n">
        <v>492832.5</v>
      </c>
      <c r="O323" s="9" t="n">
        <v>492832.5</v>
      </c>
      <c r="P323" s="8" t="n">
        <v>1</v>
      </c>
      <c r="Q323" s="8" t="n">
        <v>0</v>
      </c>
    </row>
    <row r="324">
      <c r="A324" s="8" t="n">
        <v>10</v>
      </c>
      <c r="B324" s="8" t="inlineStr">
        <is>
          <t>CASH_OUT</t>
        </is>
      </c>
      <c r="C324" s="9" t="n">
        <v>198520</v>
      </c>
      <c r="D324" s="8" t="inlineStr">
        <is>
          <t>C1291225183</t>
        </is>
      </c>
      <c r="E324" s="9" t="n">
        <v>18</v>
      </c>
      <c r="F324" s="9" t="n">
        <v>0</v>
      </c>
      <c r="G324" s="8" t="inlineStr">
        <is>
          <t>C547644464</t>
        </is>
      </c>
      <c r="H324" s="9" t="n">
        <v>3169089.69</v>
      </c>
      <c r="I324" s="9" t="n">
        <v>4116736.92</v>
      </c>
      <c r="J324" s="10" t="n">
        <v>0</v>
      </c>
      <c r="K324" s="8" t="n">
        <v>0</v>
      </c>
      <c r="L324" s="8" t="n">
        <v>1</v>
      </c>
      <c r="M324" s="9" t="n">
        <v>3169071.69</v>
      </c>
      <c r="N324" s="9" t="n">
        <v>198502</v>
      </c>
      <c r="O324" s="9" t="n">
        <v>-749127.23</v>
      </c>
      <c r="P324" s="8" t="n">
        <v>1</v>
      </c>
      <c r="Q324" s="8" t="n">
        <v>0</v>
      </c>
    </row>
    <row r="325">
      <c r="A325" s="8" t="n">
        <v>17</v>
      </c>
      <c r="B325" s="8" t="inlineStr">
        <is>
          <t>CASH_OUT</t>
        </is>
      </c>
      <c r="C325" s="9" t="n">
        <v>332411.91</v>
      </c>
      <c r="D325" s="8" t="inlineStr">
        <is>
          <t>C727290840</t>
        </is>
      </c>
      <c r="E325" s="9" t="n">
        <v>92135</v>
      </c>
      <c r="F325" s="9" t="n">
        <v>0</v>
      </c>
      <c r="G325" s="8" t="inlineStr">
        <is>
          <t>C1974126630</t>
        </is>
      </c>
      <c r="H325" s="9" t="n">
        <v>0</v>
      </c>
      <c r="I325" s="9" t="n">
        <v>332411.91</v>
      </c>
      <c r="J325" s="10" t="n">
        <v>0</v>
      </c>
      <c r="K325" s="8" t="n">
        <v>0</v>
      </c>
      <c r="L325" s="8" t="n">
        <v>1</v>
      </c>
      <c r="M325" s="9" t="n">
        <v>92135</v>
      </c>
      <c r="N325" s="9" t="n">
        <v>240276.91</v>
      </c>
      <c r="O325" s="9" t="n">
        <v>0</v>
      </c>
      <c r="P325" s="8" t="n">
        <v>1</v>
      </c>
      <c r="Q325" s="8" t="n">
        <v>0</v>
      </c>
    </row>
    <row r="326">
      <c r="A326" s="8" t="n">
        <v>347</v>
      </c>
      <c r="B326" s="8" t="inlineStr">
        <is>
          <t>CASH_IN</t>
        </is>
      </c>
      <c r="C326" s="9" t="n">
        <v>237436.46</v>
      </c>
      <c r="D326" s="8" t="inlineStr">
        <is>
          <t>C2051740759</t>
        </is>
      </c>
      <c r="E326" s="9" t="n">
        <v>107265</v>
      </c>
      <c r="F326" s="9" t="n">
        <v>344701.46</v>
      </c>
      <c r="G326" s="8" t="inlineStr">
        <is>
          <t>C108656129</t>
        </is>
      </c>
      <c r="H326" s="9" t="n">
        <v>1815092.92</v>
      </c>
      <c r="I326" s="9" t="n">
        <v>1577656.45</v>
      </c>
      <c r="J326" s="10" t="n">
        <v>0</v>
      </c>
      <c r="K326" s="8" t="n">
        <v>0</v>
      </c>
      <c r="L326" s="8" t="n">
        <v>0</v>
      </c>
      <c r="M326" s="9" t="n">
        <v>1707827.92</v>
      </c>
      <c r="N326" s="9" t="n">
        <v>474872.92</v>
      </c>
      <c r="O326" s="9" t="n">
        <v>474872.93</v>
      </c>
      <c r="P326" s="8" t="n">
        <v>1</v>
      </c>
      <c r="Q326" s="8" t="n">
        <v>0</v>
      </c>
    </row>
    <row r="327">
      <c r="A327" s="8" t="n">
        <v>308</v>
      </c>
      <c r="B327" s="8" t="inlineStr">
        <is>
          <t>PAYMENT</t>
        </is>
      </c>
      <c r="C327" s="9" t="n">
        <v>9363.59</v>
      </c>
      <c r="D327" s="8" t="inlineStr">
        <is>
          <t>C1441135897</t>
        </is>
      </c>
      <c r="E327" s="9" t="n">
        <v>68548</v>
      </c>
      <c r="F327" s="9" t="n">
        <v>59184.41</v>
      </c>
      <c r="G327" s="8" t="inlineStr">
        <is>
          <t>M674116595</t>
        </is>
      </c>
      <c r="H327" s="9" t="n">
        <v>0</v>
      </c>
      <c r="I327" s="9" t="n">
        <v>0</v>
      </c>
      <c r="J327" s="10" t="n">
        <v>0</v>
      </c>
      <c r="K327" s="8" t="n">
        <v>1</v>
      </c>
      <c r="L327" s="8" t="n">
        <v>0</v>
      </c>
      <c r="M327" s="9" t="n">
        <v>68548</v>
      </c>
      <c r="N327" s="9" t="n">
        <v>0</v>
      </c>
      <c r="O327" s="9" t="n">
        <v>9363.59</v>
      </c>
      <c r="P327" s="8" t="n">
        <v>0</v>
      </c>
      <c r="Q327" s="8" t="n">
        <v>1</v>
      </c>
    </row>
    <row r="328">
      <c r="A328" s="8" t="n">
        <v>228</v>
      </c>
      <c r="B328" s="8" t="inlineStr">
        <is>
          <t>CASH_OUT</t>
        </is>
      </c>
      <c r="C328" s="9" t="n">
        <v>111397.18</v>
      </c>
      <c r="D328" s="8" t="inlineStr">
        <is>
          <t>C1976852958</t>
        </is>
      </c>
      <c r="E328" s="9" t="n">
        <v>0</v>
      </c>
      <c r="F328" s="9" t="n">
        <v>0</v>
      </c>
      <c r="G328" s="8" t="inlineStr">
        <is>
          <t>C1320394517</t>
        </is>
      </c>
      <c r="H328" s="9" t="n">
        <v>1623505.6</v>
      </c>
      <c r="I328" s="9" t="n">
        <v>1734902.77</v>
      </c>
      <c r="J328" s="10" t="n">
        <v>0</v>
      </c>
      <c r="K328" s="8" t="n">
        <v>0</v>
      </c>
      <c r="L328" s="8" t="n">
        <v>1</v>
      </c>
      <c r="M328" s="9" t="n">
        <v>1623505.6</v>
      </c>
      <c r="N328" s="9" t="n">
        <v>111397.18</v>
      </c>
      <c r="O328" s="9" t="n">
        <v>0.01</v>
      </c>
      <c r="P328" s="8" t="n">
        <v>1</v>
      </c>
      <c r="Q328" s="8" t="n">
        <v>0</v>
      </c>
    </row>
    <row r="329">
      <c r="A329" s="8" t="n">
        <v>162</v>
      </c>
      <c r="B329" s="8" t="inlineStr">
        <is>
          <t>CASH_IN</t>
        </is>
      </c>
      <c r="C329" s="9" t="n">
        <v>40816.97</v>
      </c>
      <c r="D329" s="8" t="inlineStr">
        <is>
          <t>C1200749022</t>
        </is>
      </c>
      <c r="E329" s="9" t="n">
        <v>8054630.43</v>
      </c>
      <c r="F329" s="9" t="n">
        <v>8095447.4</v>
      </c>
      <c r="G329" s="8" t="inlineStr">
        <is>
          <t>C1626422253</t>
        </is>
      </c>
      <c r="H329" s="9" t="n">
        <v>189979.07</v>
      </c>
      <c r="I329" s="9" t="n">
        <v>149162.1</v>
      </c>
      <c r="J329" s="10" t="n">
        <v>0</v>
      </c>
      <c r="K329" s="8" t="n">
        <v>0</v>
      </c>
      <c r="L329" s="8" t="n">
        <v>0</v>
      </c>
      <c r="M329" s="9" t="n">
        <v>7864651.359999999</v>
      </c>
      <c r="N329" s="9" t="n">
        <v>81633.94</v>
      </c>
      <c r="O329" s="9" t="n">
        <v>81633.94</v>
      </c>
      <c r="P329" s="8" t="n">
        <v>1</v>
      </c>
      <c r="Q329" s="8" t="n">
        <v>0</v>
      </c>
    </row>
    <row r="330">
      <c r="A330" s="8" t="n">
        <v>58</v>
      </c>
      <c r="B330" s="8" t="inlineStr">
        <is>
          <t>CASH_OUT</t>
        </is>
      </c>
      <c r="C330" s="9" t="n">
        <v>3156421.43</v>
      </c>
      <c r="D330" s="8" t="inlineStr">
        <is>
          <t>C597790533</t>
        </is>
      </c>
      <c r="E330" s="9" t="n">
        <v>3156421.43</v>
      </c>
      <c r="F330" s="9" t="n">
        <v>0</v>
      </c>
      <c r="G330" s="8" t="inlineStr">
        <is>
          <t>C1365109989</t>
        </is>
      </c>
      <c r="H330" s="9" t="n">
        <v>181440.45</v>
      </c>
      <c r="I330" s="9" t="n">
        <v>3337861.88</v>
      </c>
      <c r="J330" s="11" t="n">
        <v>1</v>
      </c>
      <c r="K330" s="8" t="n">
        <v>0</v>
      </c>
      <c r="L330" s="8" t="n">
        <v>1</v>
      </c>
      <c r="M330" s="9" t="n">
        <v>2974980.98</v>
      </c>
      <c r="N330" s="9" t="n">
        <v>0</v>
      </c>
      <c r="O330" s="9" t="n">
        <v>0</v>
      </c>
      <c r="P330" s="8" t="n">
        <v>1</v>
      </c>
      <c r="Q330" s="8" t="n">
        <v>1</v>
      </c>
    </row>
    <row r="331">
      <c r="A331" s="8" t="n">
        <v>376</v>
      </c>
      <c r="B331" s="8" t="inlineStr">
        <is>
          <t>CASH_IN</t>
        </is>
      </c>
      <c r="C331" s="9" t="n">
        <v>115628.18</v>
      </c>
      <c r="D331" s="8" t="inlineStr">
        <is>
          <t>C1672445736</t>
        </is>
      </c>
      <c r="E331" s="9" t="n">
        <v>11223371.83</v>
      </c>
      <c r="F331" s="9" t="n">
        <v>11339000.01</v>
      </c>
      <c r="G331" s="8" t="inlineStr">
        <is>
          <t>C427931869</t>
        </is>
      </c>
      <c r="H331" s="9" t="n">
        <v>2813748.72</v>
      </c>
      <c r="I331" s="9" t="n">
        <v>2698120.54</v>
      </c>
      <c r="J331" s="10" t="n">
        <v>0</v>
      </c>
      <c r="K331" s="8" t="n">
        <v>0</v>
      </c>
      <c r="L331" s="8" t="n">
        <v>0</v>
      </c>
      <c r="M331" s="9" t="n">
        <v>8409623.109999999</v>
      </c>
      <c r="N331" s="9" t="n">
        <v>231256.36</v>
      </c>
      <c r="O331" s="9" t="n">
        <v>231256.36</v>
      </c>
      <c r="P331" s="8" t="n">
        <v>1</v>
      </c>
      <c r="Q331" s="8" t="n">
        <v>0</v>
      </c>
    </row>
    <row r="332">
      <c r="A332" s="8" t="n">
        <v>257</v>
      </c>
      <c r="B332" s="8" t="inlineStr">
        <is>
          <t>CASH_OUT</t>
        </is>
      </c>
      <c r="C332" s="9" t="n">
        <v>55903.28</v>
      </c>
      <c r="D332" s="8" t="inlineStr">
        <is>
          <t>C1912566634</t>
        </is>
      </c>
      <c r="E332" s="9" t="n">
        <v>0</v>
      </c>
      <c r="F332" s="9" t="n">
        <v>0</v>
      </c>
      <c r="G332" s="8" t="inlineStr">
        <is>
          <t>C239731893</t>
        </is>
      </c>
      <c r="H332" s="9" t="n">
        <v>2214396.63</v>
      </c>
      <c r="I332" s="9" t="n">
        <v>2270299.9</v>
      </c>
      <c r="J332" s="10" t="n">
        <v>0</v>
      </c>
      <c r="K332" s="8" t="n">
        <v>0</v>
      </c>
      <c r="L332" s="8" t="n">
        <v>1</v>
      </c>
      <c r="M332" s="9" t="n">
        <v>2214396.63</v>
      </c>
      <c r="N332" s="9" t="n">
        <v>55903.28</v>
      </c>
      <c r="O332" s="9" t="n">
        <v>0.01</v>
      </c>
      <c r="P332" s="8" t="n">
        <v>1</v>
      </c>
      <c r="Q332" s="8" t="n">
        <v>0</v>
      </c>
    </row>
    <row r="333">
      <c r="A333" s="8" t="n">
        <v>40</v>
      </c>
      <c r="B333" s="8" t="inlineStr">
        <is>
          <t>CASH_IN</t>
        </is>
      </c>
      <c r="C333" s="9" t="n">
        <v>137630.69</v>
      </c>
      <c r="D333" s="8" t="inlineStr">
        <is>
          <t>C539231400</t>
        </is>
      </c>
      <c r="E333" s="9" t="n">
        <v>1228168.71</v>
      </c>
      <c r="F333" s="9" t="n">
        <v>1365799.4</v>
      </c>
      <c r="G333" s="8" t="inlineStr">
        <is>
          <t>C1906677016</t>
        </is>
      </c>
      <c r="H333" s="9" t="n">
        <v>323570.25</v>
      </c>
      <c r="I333" s="9" t="n">
        <v>185939.56</v>
      </c>
      <c r="J333" s="10" t="n">
        <v>0</v>
      </c>
      <c r="K333" s="8" t="n">
        <v>0</v>
      </c>
      <c r="L333" s="8" t="n">
        <v>0</v>
      </c>
      <c r="M333" s="9" t="n">
        <v>904598.46</v>
      </c>
      <c r="N333" s="9" t="n">
        <v>275261.38</v>
      </c>
      <c r="O333" s="9" t="n">
        <v>275261.38</v>
      </c>
      <c r="P333" s="8" t="n">
        <v>1</v>
      </c>
      <c r="Q333" s="8" t="n">
        <v>0</v>
      </c>
    </row>
    <row r="334">
      <c r="A334" s="8" t="n">
        <v>402</v>
      </c>
      <c r="B334" s="8" t="inlineStr">
        <is>
          <t>CASH_OUT</t>
        </is>
      </c>
      <c r="C334" s="9" t="n">
        <v>102197.94</v>
      </c>
      <c r="D334" s="8" t="inlineStr">
        <is>
          <t>C308790077</t>
        </is>
      </c>
      <c r="E334" s="9" t="n">
        <v>40815</v>
      </c>
      <c r="F334" s="9" t="n">
        <v>0</v>
      </c>
      <c r="G334" s="8" t="inlineStr">
        <is>
          <t>C1369095486</t>
        </is>
      </c>
      <c r="H334" s="9" t="n">
        <v>0</v>
      </c>
      <c r="I334" s="9" t="n">
        <v>102197.94</v>
      </c>
      <c r="J334" s="10" t="n">
        <v>0</v>
      </c>
      <c r="K334" s="8" t="n">
        <v>0</v>
      </c>
      <c r="L334" s="8" t="n">
        <v>1</v>
      </c>
      <c r="M334" s="9" t="n">
        <v>40815</v>
      </c>
      <c r="N334" s="9" t="n">
        <v>61382.94</v>
      </c>
      <c r="O334" s="9" t="n">
        <v>0</v>
      </c>
      <c r="P334" s="8" t="n">
        <v>1</v>
      </c>
      <c r="Q334" s="8" t="n">
        <v>0</v>
      </c>
    </row>
    <row r="335">
      <c r="A335" s="8" t="n">
        <v>348</v>
      </c>
      <c r="B335" s="8" t="inlineStr">
        <is>
          <t>PAYMENT</t>
        </is>
      </c>
      <c r="C335" s="9" t="n">
        <v>30225.44</v>
      </c>
      <c r="D335" s="8" t="inlineStr">
        <is>
          <t>C1166318317</t>
        </is>
      </c>
      <c r="E335" s="9" t="n">
        <v>10051</v>
      </c>
      <c r="F335" s="9" t="n">
        <v>0</v>
      </c>
      <c r="G335" s="8" t="inlineStr">
        <is>
          <t>M1764683243</t>
        </is>
      </c>
      <c r="H335" s="9" t="n">
        <v>0</v>
      </c>
      <c r="I335" s="9" t="n">
        <v>0</v>
      </c>
      <c r="J335" s="10" t="n">
        <v>0</v>
      </c>
      <c r="K335" s="8" t="n">
        <v>1</v>
      </c>
      <c r="L335" s="8" t="n">
        <v>0</v>
      </c>
      <c r="M335" s="9" t="n">
        <v>10051</v>
      </c>
      <c r="N335" s="9" t="n">
        <v>20174.44</v>
      </c>
      <c r="O335" s="9" t="n">
        <v>30225.44</v>
      </c>
      <c r="P335" s="8" t="n">
        <v>0</v>
      </c>
      <c r="Q335" s="8" t="n">
        <v>0</v>
      </c>
    </row>
    <row r="336">
      <c r="A336" s="8" t="n">
        <v>162</v>
      </c>
      <c r="B336" s="8" t="inlineStr">
        <is>
          <t>CASH_OUT</t>
        </is>
      </c>
      <c r="C336" s="9" t="n">
        <v>64865.86</v>
      </c>
      <c r="D336" s="8" t="inlineStr">
        <is>
          <t>C1715533471</t>
        </is>
      </c>
      <c r="E336" s="9" t="n">
        <v>766672</v>
      </c>
      <c r="F336" s="9" t="n">
        <v>701806.14</v>
      </c>
      <c r="G336" s="8" t="inlineStr">
        <is>
          <t>C61462541</t>
        </is>
      </c>
      <c r="H336" s="9" t="n">
        <v>3446372.36</v>
      </c>
      <c r="I336" s="9" t="n">
        <v>3511238.22</v>
      </c>
      <c r="J336" s="10" t="n">
        <v>0</v>
      </c>
      <c r="K336" s="8" t="n">
        <v>0</v>
      </c>
      <c r="L336" s="8" t="n">
        <v>1</v>
      </c>
      <c r="M336" s="9" t="n">
        <v>2679700.36</v>
      </c>
      <c r="N336" s="9" t="n">
        <v>0</v>
      </c>
      <c r="O336" s="9" t="n">
        <v>-0</v>
      </c>
      <c r="P336" s="8" t="n">
        <v>1</v>
      </c>
      <c r="Q336" s="8" t="n">
        <v>1</v>
      </c>
    </row>
    <row r="337">
      <c r="A337" s="8" t="n">
        <v>187</v>
      </c>
      <c r="B337" s="8" t="inlineStr">
        <is>
          <t>CASH_IN</t>
        </is>
      </c>
      <c r="C337" s="9" t="n">
        <v>310355.31</v>
      </c>
      <c r="D337" s="8" t="inlineStr">
        <is>
          <t>C854619244</t>
        </is>
      </c>
      <c r="E337" s="9" t="n">
        <v>10723</v>
      </c>
      <c r="F337" s="9" t="n">
        <v>321078.31</v>
      </c>
      <c r="G337" s="8" t="inlineStr">
        <is>
          <t>C40481485</t>
        </is>
      </c>
      <c r="H337" s="9" t="n">
        <v>1596.78</v>
      </c>
      <c r="I337" s="9" t="n">
        <v>0</v>
      </c>
      <c r="J337" s="10" t="n">
        <v>0</v>
      </c>
      <c r="K337" s="8" t="n">
        <v>0</v>
      </c>
      <c r="L337" s="8" t="n">
        <v>0</v>
      </c>
      <c r="M337" s="9" t="n">
        <v>9126.219999999999</v>
      </c>
      <c r="N337" s="9" t="n">
        <v>620710.62</v>
      </c>
      <c r="O337" s="9" t="n">
        <v>311952.09</v>
      </c>
      <c r="P337" s="8" t="n">
        <v>1</v>
      </c>
      <c r="Q337" s="8" t="n">
        <v>0</v>
      </c>
    </row>
    <row r="338">
      <c r="A338" s="8" t="n">
        <v>160</v>
      </c>
      <c r="B338" s="8" t="inlineStr">
        <is>
          <t>CASH_OUT</t>
        </is>
      </c>
      <c r="C338" s="9" t="n">
        <v>251748.53</v>
      </c>
      <c r="D338" s="8" t="inlineStr">
        <is>
          <t>C1393976491</t>
        </is>
      </c>
      <c r="E338" s="9" t="n">
        <v>20190</v>
      </c>
      <c r="F338" s="9" t="n">
        <v>0</v>
      </c>
      <c r="G338" s="8" t="inlineStr">
        <is>
          <t>C965633676</t>
        </is>
      </c>
      <c r="H338" s="9" t="n">
        <v>297977.33</v>
      </c>
      <c r="I338" s="9" t="n">
        <v>549725.86</v>
      </c>
      <c r="J338" s="10" t="n">
        <v>0</v>
      </c>
      <c r="K338" s="8" t="n">
        <v>0</v>
      </c>
      <c r="L338" s="8" t="n">
        <v>1</v>
      </c>
      <c r="M338" s="9" t="n">
        <v>277787.33</v>
      </c>
      <c r="N338" s="9" t="n">
        <v>231558.53</v>
      </c>
      <c r="O338" s="9" t="n">
        <v>0</v>
      </c>
      <c r="P338" s="8" t="n">
        <v>1</v>
      </c>
      <c r="Q338" s="8" t="n">
        <v>0</v>
      </c>
    </row>
    <row r="339">
      <c r="A339" s="8" t="n">
        <v>15</v>
      </c>
      <c r="B339" s="8" t="inlineStr">
        <is>
          <t>CASH_OUT</t>
        </is>
      </c>
      <c r="C339" s="9" t="n">
        <v>186082.12</v>
      </c>
      <c r="D339" s="8" t="inlineStr">
        <is>
          <t>C1139493181</t>
        </is>
      </c>
      <c r="E339" s="9" t="n">
        <v>0</v>
      </c>
      <c r="F339" s="9" t="n">
        <v>0</v>
      </c>
      <c r="G339" s="8" t="inlineStr">
        <is>
          <t>C1810510489</t>
        </is>
      </c>
      <c r="H339" s="9" t="n">
        <v>4461287.94</v>
      </c>
      <c r="I339" s="9" t="n">
        <v>4647370.06</v>
      </c>
      <c r="J339" s="10" t="n">
        <v>0</v>
      </c>
      <c r="K339" s="8" t="n">
        <v>0</v>
      </c>
      <c r="L339" s="8" t="n">
        <v>1</v>
      </c>
      <c r="M339" s="9" t="n">
        <v>4461287.94</v>
      </c>
      <c r="N339" s="9" t="n">
        <v>186082.12</v>
      </c>
      <c r="O339" s="9" t="n">
        <v>0</v>
      </c>
      <c r="P339" s="8" t="n">
        <v>1</v>
      </c>
      <c r="Q339" s="8" t="n">
        <v>0</v>
      </c>
    </row>
    <row r="340">
      <c r="A340" s="8" t="n">
        <v>207</v>
      </c>
      <c r="B340" s="8" t="inlineStr">
        <is>
          <t>CASH_IN</t>
        </is>
      </c>
      <c r="C340" s="9" t="n">
        <v>128070.95</v>
      </c>
      <c r="D340" s="8" t="inlineStr">
        <is>
          <t>C1676670417</t>
        </is>
      </c>
      <c r="E340" s="9" t="n">
        <v>7324806.63</v>
      </c>
      <c r="F340" s="9" t="n">
        <v>7452877.58</v>
      </c>
      <c r="G340" s="8" t="inlineStr">
        <is>
          <t>C758627209</t>
        </is>
      </c>
      <c r="H340" s="9" t="n">
        <v>195118.35</v>
      </c>
      <c r="I340" s="9" t="n">
        <v>67047.39999999999</v>
      </c>
      <c r="J340" s="10" t="n">
        <v>0</v>
      </c>
      <c r="K340" s="8" t="n">
        <v>0</v>
      </c>
      <c r="L340" s="8" t="n">
        <v>0</v>
      </c>
      <c r="M340" s="9" t="n">
        <v>7129688.28</v>
      </c>
      <c r="N340" s="9" t="n">
        <v>256141.9</v>
      </c>
      <c r="O340" s="9" t="n">
        <v>256141.9</v>
      </c>
      <c r="P340" s="8" t="n">
        <v>1</v>
      </c>
      <c r="Q340" s="8" t="n">
        <v>0</v>
      </c>
    </row>
    <row r="341">
      <c r="A341" s="8" t="n">
        <v>8</v>
      </c>
      <c r="B341" s="8" t="inlineStr">
        <is>
          <t>TRANSFER</t>
        </is>
      </c>
      <c r="C341" s="9" t="n">
        <v>43092</v>
      </c>
      <c r="D341" s="8" t="inlineStr">
        <is>
          <t>C1683174795</t>
        </is>
      </c>
      <c r="E341" s="9" t="n">
        <v>43092</v>
      </c>
      <c r="F341" s="9" t="n">
        <v>0</v>
      </c>
      <c r="G341" s="8" t="inlineStr">
        <is>
          <t>C427998326</t>
        </is>
      </c>
      <c r="H341" s="9" t="n">
        <v>0</v>
      </c>
      <c r="I341" s="9" t="n">
        <v>0</v>
      </c>
      <c r="J341" s="11" t="n">
        <v>1</v>
      </c>
      <c r="K341" s="8" t="n">
        <v>0</v>
      </c>
      <c r="L341" s="8" t="n">
        <v>1</v>
      </c>
      <c r="M341" s="9" t="n">
        <v>43092</v>
      </c>
      <c r="N341" s="9" t="n">
        <v>0</v>
      </c>
      <c r="O341" s="9" t="n">
        <v>43092</v>
      </c>
      <c r="P341" s="8" t="n">
        <v>1</v>
      </c>
      <c r="Q341" s="8" t="n">
        <v>1</v>
      </c>
    </row>
    <row r="342">
      <c r="A342" s="8" t="n">
        <v>391</v>
      </c>
      <c r="B342" s="8" t="inlineStr">
        <is>
          <t>TRANSFER</t>
        </is>
      </c>
      <c r="C342" s="9" t="n">
        <v>4559921.56</v>
      </c>
      <c r="D342" s="8" t="inlineStr">
        <is>
          <t>C785953522</t>
        </is>
      </c>
      <c r="E342" s="9" t="n">
        <v>4559921.56</v>
      </c>
      <c r="F342" s="9" t="n">
        <v>0</v>
      </c>
      <c r="G342" s="8" t="inlineStr">
        <is>
          <t>C1331350711</t>
        </is>
      </c>
      <c r="H342" s="9" t="n">
        <v>0</v>
      </c>
      <c r="I342" s="9" t="n">
        <v>0</v>
      </c>
      <c r="J342" s="11" t="n">
        <v>1</v>
      </c>
      <c r="K342" s="8" t="n">
        <v>0</v>
      </c>
      <c r="L342" s="8" t="n">
        <v>1</v>
      </c>
      <c r="M342" s="9" t="n">
        <v>4559921.56</v>
      </c>
      <c r="N342" s="9" t="n">
        <v>0</v>
      </c>
      <c r="O342" s="9" t="n">
        <v>4559921.56</v>
      </c>
      <c r="P342" s="8" t="n">
        <v>1</v>
      </c>
      <c r="Q342" s="8" t="n">
        <v>1</v>
      </c>
    </row>
    <row r="343">
      <c r="A343" s="8" t="n">
        <v>511</v>
      </c>
      <c r="B343" s="8" t="inlineStr">
        <is>
          <t>TRANSFER</t>
        </is>
      </c>
      <c r="C343" s="9" t="n">
        <v>150929.12</v>
      </c>
      <c r="D343" s="8" t="inlineStr">
        <is>
          <t>C421782533</t>
        </is>
      </c>
      <c r="E343" s="9" t="n">
        <v>150929.12</v>
      </c>
      <c r="F343" s="9" t="n">
        <v>0</v>
      </c>
      <c r="G343" s="8" t="inlineStr">
        <is>
          <t>C2098308110</t>
        </is>
      </c>
      <c r="H343" s="9" t="n">
        <v>0</v>
      </c>
      <c r="I343" s="9" t="n">
        <v>0</v>
      </c>
      <c r="J343" s="11" t="n">
        <v>1</v>
      </c>
      <c r="K343" s="8" t="n">
        <v>0</v>
      </c>
      <c r="L343" s="8" t="n">
        <v>1</v>
      </c>
      <c r="M343" s="9" t="n">
        <v>150929.12</v>
      </c>
      <c r="N343" s="9" t="n">
        <v>0</v>
      </c>
      <c r="O343" s="9" t="n">
        <v>150929.12</v>
      </c>
      <c r="P343" s="8" t="n">
        <v>1</v>
      </c>
      <c r="Q343" s="8" t="n">
        <v>1</v>
      </c>
    </row>
    <row r="344">
      <c r="A344" s="8" t="n">
        <v>205</v>
      </c>
      <c r="B344" s="8" t="inlineStr">
        <is>
          <t>CASH_OUT</t>
        </is>
      </c>
      <c r="C344" s="9" t="n">
        <v>112472.03</v>
      </c>
      <c r="D344" s="8" t="inlineStr">
        <is>
          <t>C957485286</t>
        </is>
      </c>
      <c r="E344" s="9" t="n">
        <v>23786</v>
      </c>
      <c r="F344" s="9" t="n">
        <v>0</v>
      </c>
      <c r="G344" s="8" t="inlineStr">
        <is>
          <t>C1349130090</t>
        </is>
      </c>
      <c r="H344" s="9" t="n">
        <v>1063691.34</v>
      </c>
      <c r="I344" s="9" t="n">
        <v>1176163.37</v>
      </c>
      <c r="J344" s="10" t="n">
        <v>0</v>
      </c>
      <c r="K344" s="8" t="n">
        <v>0</v>
      </c>
      <c r="L344" s="8" t="n">
        <v>1</v>
      </c>
      <c r="M344" s="9" t="n">
        <v>1039905.34</v>
      </c>
      <c r="N344" s="9" t="n">
        <v>88686.03</v>
      </c>
      <c r="O344" s="9" t="n">
        <v>0</v>
      </c>
      <c r="P344" s="8" t="n">
        <v>1</v>
      </c>
      <c r="Q344" s="8" t="n">
        <v>0</v>
      </c>
    </row>
    <row r="345">
      <c r="A345" s="8" t="n">
        <v>399</v>
      </c>
      <c r="B345" s="8" t="inlineStr">
        <is>
          <t>TRANSFER</t>
        </is>
      </c>
      <c r="C345" s="9" t="n">
        <v>277518.19</v>
      </c>
      <c r="D345" s="8" t="inlineStr">
        <is>
          <t>C2001949069</t>
        </is>
      </c>
      <c r="E345" s="9" t="n">
        <v>0</v>
      </c>
      <c r="F345" s="9" t="n">
        <v>0</v>
      </c>
      <c r="G345" s="8" t="inlineStr">
        <is>
          <t>C974236077</t>
        </is>
      </c>
      <c r="H345" s="9" t="n">
        <v>1215759.98</v>
      </c>
      <c r="I345" s="9" t="n">
        <v>1493278.17</v>
      </c>
      <c r="J345" s="10" t="n">
        <v>0</v>
      </c>
      <c r="K345" s="8" t="n">
        <v>0</v>
      </c>
      <c r="L345" s="8" t="n">
        <v>1</v>
      </c>
      <c r="M345" s="9" t="n">
        <v>1215759.98</v>
      </c>
      <c r="N345" s="9" t="n">
        <v>277518.19</v>
      </c>
      <c r="O345" s="9" t="n">
        <v>0</v>
      </c>
      <c r="P345" s="8" t="n">
        <v>1</v>
      </c>
      <c r="Q345" s="8" t="n">
        <v>0</v>
      </c>
    </row>
    <row r="346">
      <c r="A346" s="8" t="n">
        <v>187</v>
      </c>
      <c r="B346" s="8" t="inlineStr">
        <is>
          <t>CASH_IN</t>
        </is>
      </c>
      <c r="C346" s="9" t="n">
        <v>130420.17</v>
      </c>
      <c r="D346" s="8" t="inlineStr">
        <is>
          <t>C1420963767</t>
        </is>
      </c>
      <c r="E346" s="9" t="n">
        <v>6727217.25</v>
      </c>
      <c r="F346" s="9" t="n">
        <v>6857637.42</v>
      </c>
      <c r="G346" s="8" t="inlineStr">
        <is>
          <t>C1972190120</t>
        </is>
      </c>
      <c r="H346" s="9" t="n">
        <v>3754934.42</v>
      </c>
      <c r="I346" s="9" t="n">
        <v>3624514.25</v>
      </c>
      <c r="J346" s="10" t="n">
        <v>0</v>
      </c>
      <c r="K346" s="8" t="n">
        <v>0</v>
      </c>
      <c r="L346" s="8" t="n">
        <v>0</v>
      </c>
      <c r="M346" s="9" t="n">
        <v>2972282.83</v>
      </c>
      <c r="N346" s="9" t="n">
        <v>260840.34</v>
      </c>
      <c r="O346" s="9" t="n">
        <v>260840.34</v>
      </c>
      <c r="P346" s="8" t="n">
        <v>1</v>
      </c>
      <c r="Q346" s="8" t="n">
        <v>0</v>
      </c>
    </row>
    <row r="347">
      <c r="A347" s="8" t="n">
        <v>201</v>
      </c>
      <c r="B347" s="8" t="inlineStr">
        <is>
          <t>PAYMENT</t>
        </is>
      </c>
      <c r="C347" s="9" t="n">
        <v>6431.12</v>
      </c>
      <c r="D347" s="8" t="inlineStr">
        <is>
          <t>C2059375820</t>
        </is>
      </c>
      <c r="E347" s="9" t="n">
        <v>0</v>
      </c>
      <c r="F347" s="9" t="n">
        <v>0</v>
      </c>
      <c r="G347" s="8" t="inlineStr">
        <is>
          <t>M55426021</t>
        </is>
      </c>
      <c r="H347" s="9" t="n">
        <v>0</v>
      </c>
      <c r="I347" s="9" t="n">
        <v>0</v>
      </c>
      <c r="J347" s="10" t="n">
        <v>0</v>
      </c>
      <c r="K347" s="8" t="n">
        <v>1</v>
      </c>
      <c r="L347" s="8" t="n">
        <v>0</v>
      </c>
      <c r="M347" s="9" t="n">
        <v>0</v>
      </c>
      <c r="N347" s="9" t="n">
        <v>6431.12</v>
      </c>
      <c r="O347" s="9" t="n">
        <v>6431.12</v>
      </c>
      <c r="P347" s="8" t="n">
        <v>0</v>
      </c>
      <c r="Q347" s="8" t="n">
        <v>0</v>
      </c>
    </row>
    <row r="348">
      <c r="A348" s="8" t="n">
        <v>41</v>
      </c>
      <c r="B348" s="8" t="inlineStr">
        <is>
          <t>PAYMENT</t>
        </is>
      </c>
      <c r="C348" s="9" t="n">
        <v>7317.67</v>
      </c>
      <c r="D348" s="8" t="inlineStr">
        <is>
          <t>C340761121</t>
        </is>
      </c>
      <c r="E348" s="9" t="n">
        <v>0</v>
      </c>
      <c r="F348" s="9" t="n">
        <v>0</v>
      </c>
      <c r="G348" s="8" t="inlineStr">
        <is>
          <t>M754114444</t>
        </is>
      </c>
      <c r="H348" s="9" t="n">
        <v>0</v>
      </c>
      <c r="I348" s="9" t="n">
        <v>0</v>
      </c>
      <c r="J348" s="10" t="n">
        <v>0</v>
      </c>
      <c r="K348" s="8" t="n">
        <v>1</v>
      </c>
      <c r="L348" s="8" t="n">
        <v>0</v>
      </c>
      <c r="M348" s="9" t="n">
        <v>0</v>
      </c>
      <c r="N348" s="9" t="n">
        <v>7317.67</v>
      </c>
      <c r="O348" s="9" t="n">
        <v>7317.67</v>
      </c>
      <c r="P348" s="8" t="n">
        <v>0</v>
      </c>
      <c r="Q348" s="8" t="n">
        <v>0</v>
      </c>
    </row>
    <row r="349">
      <c r="A349" s="8" t="n">
        <v>129</v>
      </c>
      <c r="B349" s="8" t="inlineStr">
        <is>
          <t>TRANSFER</t>
        </is>
      </c>
      <c r="C349" s="9" t="n">
        <v>33582.39</v>
      </c>
      <c r="D349" s="8" t="inlineStr">
        <is>
          <t>C205642156</t>
        </is>
      </c>
      <c r="E349" s="9" t="n">
        <v>0</v>
      </c>
      <c r="F349" s="9" t="n">
        <v>0</v>
      </c>
      <c r="G349" s="8" t="inlineStr">
        <is>
          <t>C2044749637</t>
        </is>
      </c>
      <c r="H349" s="9" t="n">
        <v>102634.4</v>
      </c>
      <c r="I349" s="9" t="n">
        <v>136216.79</v>
      </c>
      <c r="J349" s="10" t="n">
        <v>0</v>
      </c>
      <c r="K349" s="8" t="n">
        <v>0</v>
      </c>
      <c r="L349" s="8" t="n">
        <v>1</v>
      </c>
      <c r="M349" s="9" t="n">
        <v>102634.4</v>
      </c>
      <c r="N349" s="9" t="n">
        <v>33582.39</v>
      </c>
      <c r="O349" s="9" t="n">
        <v>-0</v>
      </c>
      <c r="P349" s="8" t="n">
        <v>1</v>
      </c>
      <c r="Q349" s="8" t="n">
        <v>0</v>
      </c>
    </row>
    <row r="350">
      <c r="A350" s="8" t="n">
        <v>156</v>
      </c>
      <c r="B350" s="8" t="inlineStr">
        <is>
          <t>PAYMENT</t>
        </is>
      </c>
      <c r="C350" s="9" t="n">
        <v>2348.03</v>
      </c>
      <c r="D350" s="8" t="inlineStr">
        <is>
          <t>C592549735</t>
        </is>
      </c>
      <c r="E350" s="9" t="n">
        <v>0</v>
      </c>
      <c r="F350" s="9" t="n">
        <v>0</v>
      </c>
      <c r="G350" s="8" t="inlineStr">
        <is>
          <t>M663271072</t>
        </is>
      </c>
      <c r="H350" s="9" t="n">
        <v>0</v>
      </c>
      <c r="I350" s="9" t="n">
        <v>0</v>
      </c>
      <c r="J350" s="10" t="n">
        <v>0</v>
      </c>
      <c r="K350" s="8" t="n">
        <v>1</v>
      </c>
      <c r="L350" s="8" t="n">
        <v>0</v>
      </c>
      <c r="M350" s="9" t="n">
        <v>0</v>
      </c>
      <c r="N350" s="9" t="n">
        <v>2348.03</v>
      </c>
      <c r="O350" s="9" t="n">
        <v>2348.03</v>
      </c>
      <c r="P350" s="8" t="n">
        <v>0</v>
      </c>
      <c r="Q350" s="8" t="n">
        <v>0</v>
      </c>
    </row>
    <row r="351">
      <c r="A351" s="8" t="n">
        <v>367</v>
      </c>
      <c r="B351" s="8" t="inlineStr">
        <is>
          <t>TRANSFER</t>
        </is>
      </c>
      <c r="C351" s="9" t="n">
        <v>520500.14</v>
      </c>
      <c r="D351" s="8" t="inlineStr">
        <is>
          <t>C75004200</t>
        </is>
      </c>
      <c r="E351" s="9" t="n">
        <v>520500.14</v>
      </c>
      <c r="F351" s="9" t="n">
        <v>0</v>
      </c>
      <c r="G351" s="8" t="inlineStr">
        <is>
          <t>C687978944</t>
        </is>
      </c>
      <c r="H351" s="9" t="n">
        <v>0</v>
      </c>
      <c r="I351" s="9" t="n">
        <v>0</v>
      </c>
      <c r="J351" s="11" t="n">
        <v>1</v>
      </c>
      <c r="K351" s="8" t="n">
        <v>0</v>
      </c>
      <c r="L351" s="8" t="n">
        <v>1</v>
      </c>
      <c r="M351" s="9" t="n">
        <v>520500.14</v>
      </c>
      <c r="N351" s="9" t="n">
        <v>0</v>
      </c>
      <c r="O351" s="9" t="n">
        <v>520500.14</v>
      </c>
      <c r="P351" s="8" t="n">
        <v>1</v>
      </c>
      <c r="Q351" s="8" t="n">
        <v>1</v>
      </c>
    </row>
    <row r="352">
      <c r="A352" s="8" t="n">
        <v>347</v>
      </c>
      <c r="B352" s="8" t="inlineStr">
        <is>
          <t>CASH_IN</t>
        </is>
      </c>
      <c r="C352" s="9" t="n">
        <v>203792.43</v>
      </c>
      <c r="D352" s="8" t="inlineStr">
        <is>
          <t>C606844490</t>
        </is>
      </c>
      <c r="E352" s="9" t="n">
        <v>74912</v>
      </c>
      <c r="F352" s="9" t="n">
        <v>278704.43</v>
      </c>
      <c r="G352" s="8" t="inlineStr">
        <is>
          <t>C1142247227</t>
        </is>
      </c>
      <c r="H352" s="9" t="n">
        <v>0</v>
      </c>
      <c r="I352" s="9" t="n">
        <v>0</v>
      </c>
      <c r="J352" s="10" t="n">
        <v>0</v>
      </c>
      <c r="K352" s="8" t="n">
        <v>0</v>
      </c>
      <c r="L352" s="8" t="n">
        <v>0</v>
      </c>
      <c r="M352" s="9" t="n">
        <v>74912</v>
      </c>
      <c r="N352" s="9" t="n">
        <v>407584.86</v>
      </c>
      <c r="O352" s="9" t="n">
        <v>203792.43</v>
      </c>
      <c r="P352" s="8" t="n">
        <v>1</v>
      </c>
      <c r="Q352" s="8" t="n">
        <v>0</v>
      </c>
    </row>
    <row r="353">
      <c r="A353" s="8" t="n">
        <v>274</v>
      </c>
      <c r="B353" s="8" t="inlineStr">
        <is>
          <t>CASH_IN</t>
        </is>
      </c>
      <c r="C353" s="9" t="n">
        <v>35637.89</v>
      </c>
      <c r="D353" s="8" t="inlineStr">
        <is>
          <t>C1675904487</t>
        </is>
      </c>
      <c r="E353" s="9" t="n">
        <v>889063.0600000001</v>
      </c>
      <c r="F353" s="9" t="n">
        <v>924700.95</v>
      </c>
      <c r="G353" s="8" t="inlineStr">
        <is>
          <t>C1490224890</t>
        </is>
      </c>
      <c r="H353" s="9" t="n">
        <v>385009.33</v>
      </c>
      <c r="I353" s="9" t="n">
        <v>349371.44</v>
      </c>
      <c r="J353" s="10" t="n">
        <v>0</v>
      </c>
      <c r="K353" s="8" t="n">
        <v>0</v>
      </c>
      <c r="L353" s="8" t="n">
        <v>0</v>
      </c>
      <c r="M353" s="9" t="n">
        <v>504053.73</v>
      </c>
      <c r="N353" s="9" t="n">
        <v>71275.78</v>
      </c>
      <c r="O353" s="9" t="n">
        <v>71275.78</v>
      </c>
      <c r="P353" s="8" t="n">
        <v>1</v>
      </c>
      <c r="Q353" s="8" t="n">
        <v>0</v>
      </c>
    </row>
    <row r="354">
      <c r="A354" s="8" t="n">
        <v>43</v>
      </c>
      <c r="B354" s="8" t="inlineStr">
        <is>
          <t>CASH_IN</t>
        </is>
      </c>
      <c r="C354" s="9" t="n">
        <v>119469.88</v>
      </c>
      <c r="D354" s="8" t="inlineStr">
        <is>
          <t>C1135450892</t>
        </is>
      </c>
      <c r="E354" s="9" t="n">
        <v>1178727.6</v>
      </c>
      <c r="F354" s="9" t="n">
        <v>1298197.49</v>
      </c>
      <c r="G354" s="8" t="inlineStr">
        <is>
          <t>C1908869642</t>
        </is>
      </c>
      <c r="H354" s="9" t="n">
        <v>325749.27</v>
      </c>
      <c r="I354" s="9" t="n">
        <v>206279.39</v>
      </c>
      <c r="J354" s="10" t="n">
        <v>0</v>
      </c>
      <c r="K354" s="8" t="n">
        <v>0</v>
      </c>
      <c r="L354" s="8" t="n">
        <v>0</v>
      </c>
      <c r="M354" s="9" t="n">
        <v>852978.3300000001</v>
      </c>
      <c r="N354" s="9" t="n">
        <v>238939.77</v>
      </c>
      <c r="O354" s="9" t="n">
        <v>238939.76</v>
      </c>
      <c r="P354" s="8" t="n">
        <v>1</v>
      </c>
      <c r="Q354" s="8" t="n">
        <v>0</v>
      </c>
    </row>
    <row r="355">
      <c r="A355" s="8" t="n">
        <v>210</v>
      </c>
      <c r="B355" s="8" t="inlineStr">
        <is>
          <t>PAYMENT</t>
        </is>
      </c>
      <c r="C355" s="9" t="n">
        <v>2369.01</v>
      </c>
      <c r="D355" s="8" t="inlineStr">
        <is>
          <t>C754890880</t>
        </is>
      </c>
      <c r="E355" s="9" t="n">
        <v>0</v>
      </c>
      <c r="F355" s="9" t="n">
        <v>0</v>
      </c>
      <c r="G355" s="8" t="inlineStr">
        <is>
          <t>M361928228</t>
        </is>
      </c>
      <c r="H355" s="9" t="n">
        <v>0</v>
      </c>
      <c r="I355" s="9" t="n">
        <v>0</v>
      </c>
      <c r="J355" s="10" t="n">
        <v>0</v>
      </c>
      <c r="K355" s="8" t="n">
        <v>1</v>
      </c>
      <c r="L355" s="8" t="n">
        <v>0</v>
      </c>
      <c r="M355" s="9" t="n">
        <v>0</v>
      </c>
      <c r="N355" s="9" t="n">
        <v>2369.01</v>
      </c>
      <c r="O355" s="9" t="n">
        <v>2369.01</v>
      </c>
      <c r="P355" s="8" t="n">
        <v>0</v>
      </c>
      <c r="Q355" s="8" t="n">
        <v>0</v>
      </c>
    </row>
    <row r="356">
      <c r="A356" s="8" t="n">
        <v>629</v>
      </c>
      <c r="B356" s="8" t="inlineStr">
        <is>
          <t>TRANSFER</t>
        </is>
      </c>
      <c r="C356" s="9" t="n">
        <v>547672.2</v>
      </c>
      <c r="D356" s="8" t="inlineStr">
        <is>
          <t>C1661851556</t>
        </is>
      </c>
      <c r="E356" s="9" t="n">
        <v>547672.2</v>
      </c>
      <c r="F356" s="9" t="n">
        <v>0</v>
      </c>
      <c r="G356" s="8" t="inlineStr">
        <is>
          <t>C1014616442</t>
        </is>
      </c>
      <c r="H356" s="9" t="n">
        <v>0</v>
      </c>
      <c r="I356" s="9" t="n">
        <v>0</v>
      </c>
      <c r="J356" s="11" t="n">
        <v>1</v>
      </c>
      <c r="K356" s="8" t="n">
        <v>0</v>
      </c>
      <c r="L356" s="8" t="n">
        <v>1</v>
      </c>
      <c r="M356" s="9" t="n">
        <v>547672.2</v>
      </c>
      <c r="N356" s="9" t="n">
        <v>0</v>
      </c>
      <c r="O356" s="9" t="n">
        <v>547672.2</v>
      </c>
      <c r="P356" s="8" t="n">
        <v>1</v>
      </c>
      <c r="Q356" s="8" t="n">
        <v>1</v>
      </c>
    </row>
    <row r="357">
      <c r="A357" s="8" t="n">
        <v>42</v>
      </c>
      <c r="B357" s="8" t="inlineStr">
        <is>
          <t>PAYMENT</t>
        </is>
      </c>
      <c r="C357" s="9" t="n">
        <v>2407.88</v>
      </c>
      <c r="D357" s="8" t="inlineStr">
        <is>
          <t>C335129382</t>
        </is>
      </c>
      <c r="E357" s="9" t="n">
        <v>0</v>
      </c>
      <c r="F357" s="9" t="n">
        <v>0</v>
      </c>
      <c r="G357" s="8" t="inlineStr">
        <is>
          <t>M311638747</t>
        </is>
      </c>
      <c r="H357" s="9" t="n">
        <v>0</v>
      </c>
      <c r="I357" s="9" t="n">
        <v>0</v>
      </c>
      <c r="J357" s="10" t="n">
        <v>0</v>
      </c>
      <c r="K357" s="8" t="n">
        <v>1</v>
      </c>
      <c r="L357" s="8" t="n">
        <v>0</v>
      </c>
      <c r="M357" s="9" t="n">
        <v>0</v>
      </c>
      <c r="N357" s="9" t="n">
        <v>2407.88</v>
      </c>
      <c r="O357" s="9" t="n">
        <v>2407.88</v>
      </c>
      <c r="P357" s="8" t="n">
        <v>0</v>
      </c>
      <c r="Q357" s="8" t="n">
        <v>0</v>
      </c>
    </row>
    <row r="358">
      <c r="A358" s="8" t="n">
        <v>378</v>
      </c>
      <c r="B358" s="8" t="inlineStr">
        <is>
          <t>PAYMENT</t>
        </is>
      </c>
      <c r="C358" s="9" t="n">
        <v>4982.19</v>
      </c>
      <c r="D358" s="8" t="inlineStr">
        <is>
          <t>C1122160796</t>
        </is>
      </c>
      <c r="E358" s="9" t="n">
        <v>94793</v>
      </c>
      <c r="F358" s="9" t="n">
        <v>89810.81</v>
      </c>
      <c r="G358" s="8" t="inlineStr">
        <is>
          <t>M41237620</t>
        </is>
      </c>
      <c r="H358" s="9" t="n">
        <v>0</v>
      </c>
      <c r="I358" s="9" t="n">
        <v>0</v>
      </c>
      <c r="J358" s="10" t="n">
        <v>0</v>
      </c>
      <c r="K358" s="8" t="n">
        <v>1</v>
      </c>
      <c r="L358" s="8" t="n">
        <v>0</v>
      </c>
      <c r="M358" s="9" t="n">
        <v>94793</v>
      </c>
      <c r="N358" s="9" t="n">
        <v>0</v>
      </c>
      <c r="O358" s="9" t="n">
        <v>4982.19</v>
      </c>
      <c r="P358" s="8" t="n">
        <v>0</v>
      </c>
      <c r="Q358" s="8" t="n">
        <v>1</v>
      </c>
    </row>
    <row r="359">
      <c r="A359" s="8" t="n">
        <v>256</v>
      </c>
      <c r="B359" s="8" t="inlineStr">
        <is>
          <t>CASH_OUT</t>
        </is>
      </c>
      <c r="C359" s="9" t="n">
        <v>56638.75</v>
      </c>
      <c r="D359" s="8" t="inlineStr">
        <is>
          <t>C1373999647</t>
        </is>
      </c>
      <c r="E359" s="9" t="n">
        <v>98937</v>
      </c>
      <c r="F359" s="9" t="n">
        <v>42298.25</v>
      </c>
      <c r="G359" s="8" t="inlineStr">
        <is>
          <t>C1430574684</t>
        </is>
      </c>
      <c r="H359" s="9" t="n">
        <v>0</v>
      </c>
      <c r="I359" s="9" t="n">
        <v>56638.75</v>
      </c>
      <c r="J359" s="10" t="n">
        <v>0</v>
      </c>
      <c r="K359" s="8" t="n">
        <v>0</v>
      </c>
      <c r="L359" s="8" t="n">
        <v>1</v>
      </c>
      <c r="M359" s="9" t="n">
        <v>98937</v>
      </c>
      <c r="N359" s="9" t="n">
        <v>0</v>
      </c>
      <c r="O359" s="9" t="n">
        <v>0</v>
      </c>
      <c r="P359" s="8" t="n">
        <v>1</v>
      </c>
      <c r="Q359" s="8" t="n">
        <v>1</v>
      </c>
    </row>
    <row r="360">
      <c r="A360" s="8" t="n">
        <v>691</v>
      </c>
      <c r="B360" s="8" t="inlineStr">
        <is>
          <t>CASH_OUT</t>
        </is>
      </c>
      <c r="C360" s="9" t="n">
        <v>32935.25</v>
      </c>
      <c r="D360" s="8" t="inlineStr">
        <is>
          <t>C2017409191</t>
        </is>
      </c>
      <c r="E360" s="9" t="n">
        <v>32935.25</v>
      </c>
      <c r="F360" s="9" t="n">
        <v>0</v>
      </c>
      <c r="G360" s="8" t="inlineStr">
        <is>
          <t>C1772041191</t>
        </is>
      </c>
      <c r="H360" s="9" t="n">
        <v>0</v>
      </c>
      <c r="I360" s="9" t="n">
        <v>32935.25</v>
      </c>
      <c r="J360" s="11" t="n">
        <v>1</v>
      </c>
      <c r="K360" s="8" t="n">
        <v>0</v>
      </c>
      <c r="L360" s="8" t="n">
        <v>1</v>
      </c>
      <c r="M360" s="9" t="n">
        <v>32935.25</v>
      </c>
      <c r="N360" s="9" t="n">
        <v>0</v>
      </c>
      <c r="O360" s="9" t="n">
        <v>0</v>
      </c>
      <c r="P360" s="8" t="n">
        <v>1</v>
      </c>
      <c r="Q360" s="8" t="n">
        <v>1</v>
      </c>
    </row>
    <row r="361">
      <c r="A361" s="8" t="n">
        <v>207</v>
      </c>
      <c r="B361" s="8" t="inlineStr">
        <is>
          <t>CASH_OUT</t>
        </is>
      </c>
      <c r="C361" s="9" t="n">
        <v>400356.88</v>
      </c>
      <c r="D361" s="8" t="inlineStr">
        <is>
          <t>C139167305</t>
        </is>
      </c>
      <c r="E361" s="9" t="n">
        <v>43012</v>
      </c>
      <c r="F361" s="9" t="n">
        <v>0</v>
      </c>
      <c r="G361" s="8" t="inlineStr">
        <is>
          <t>C901221475</t>
        </is>
      </c>
      <c r="H361" s="9" t="n">
        <v>0</v>
      </c>
      <c r="I361" s="9" t="n">
        <v>400356.88</v>
      </c>
      <c r="J361" s="10" t="n">
        <v>0</v>
      </c>
      <c r="K361" s="8" t="n">
        <v>0</v>
      </c>
      <c r="L361" s="8" t="n">
        <v>1</v>
      </c>
      <c r="M361" s="9" t="n">
        <v>43012</v>
      </c>
      <c r="N361" s="9" t="n">
        <v>357344.88</v>
      </c>
      <c r="O361" s="9" t="n">
        <v>0</v>
      </c>
      <c r="P361" s="8" t="n">
        <v>1</v>
      </c>
      <c r="Q361" s="8" t="n">
        <v>0</v>
      </c>
    </row>
    <row r="362">
      <c r="A362" s="8" t="n">
        <v>33</v>
      </c>
      <c r="B362" s="8" t="inlineStr">
        <is>
          <t>PAYMENT</t>
        </is>
      </c>
      <c r="C362" s="9" t="n">
        <v>27644.56</v>
      </c>
      <c r="D362" s="8" t="inlineStr">
        <is>
          <t>C2112884222</t>
        </is>
      </c>
      <c r="E362" s="9" t="n">
        <v>20416</v>
      </c>
      <c r="F362" s="9" t="n">
        <v>0</v>
      </c>
      <c r="G362" s="8" t="inlineStr">
        <is>
          <t>M1105781181</t>
        </is>
      </c>
      <c r="H362" s="9" t="n">
        <v>0</v>
      </c>
      <c r="I362" s="9" t="n">
        <v>0</v>
      </c>
      <c r="J362" s="10" t="n">
        <v>0</v>
      </c>
      <c r="K362" s="8" t="n">
        <v>1</v>
      </c>
      <c r="L362" s="8" t="n">
        <v>0</v>
      </c>
      <c r="M362" s="9" t="n">
        <v>20416</v>
      </c>
      <c r="N362" s="9" t="n">
        <v>7228.56</v>
      </c>
      <c r="O362" s="9" t="n">
        <v>27644.56</v>
      </c>
      <c r="P362" s="8" t="n">
        <v>0</v>
      </c>
      <c r="Q362" s="8" t="n">
        <v>0</v>
      </c>
    </row>
    <row r="363">
      <c r="A363" s="8" t="n">
        <v>179</v>
      </c>
      <c r="B363" s="8" t="inlineStr">
        <is>
          <t>CASH_OUT</t>
        </is>
      </c>
      <c r="C363" s="9" t="n">
        <v>333525.49</v>
      </c>
      <c r="D363" s="8" t="inlineStr">
        <is>
          <t>C587545662</t>
        </is>
      </c>
      <c r="E363" s="9" t="n">
        <v>13423</v>
      </c>
      <c r="F363" s="9" t="n">
        <v>0</v>
      </c>
      <c r="G363" s="8" t="inlineStr">
        <is>
          <t>C1594419396</t>
        </is>
      </c>
      <c r="H363" s="9" t="n">
        <v>10666.13</v>
      </c>
      <c r="I363" s="9" t="n">
        <v>344191.62</v>
      </c>
      <c r="J363" s="10" t="n">
        <v>0</v>
      </c>
      <c r="K363" s="8" t="n">
        <v>0</v>
      </c>
      <c r="L363" s="8" t="n">
        <v>1</v>
      </c>
      <c r="M363" s="9" t="n">
        <v>2756.870000000001</v>
      </c>
      <c r="N363" s="9" t="n">
        <v>320102.49</v>
      </c>
      <c r="O363" s="9" t="n">
        <v>0</v>
      </c>
      <c r="P363" s="8" t="n">
        <v>1</v>
      </c>
      <c r="Q363" s="8" t="n">
        <v>0</v>
      </c>
    </row>
    <row r="364">
      <c r="A364" s="8" t="n">
        <v>542</v>
      </c>
      <c r="B364" s="8" t="inlineStr">
        <is>
          <t>CASH_OUT</t>
        </is>
      </c>
      <c r="C364" s="9" t="n">
        <v>9494.15</v>
      </c>
      <c r="D364" s="8" t="inlineStr">
        <is>
          <t>C1066036919</t>
        </is>
      </c>
      <c r="E364" s="9" t="n">
        <v>29848</v>
      </c>
      <c r="F364" s="9" t="n">
        <v>20353.85</v>
      </c>
      <c r="G364" s="8" t="inlineStr">
        <is>
          <t>C423733860</t>
        </is>
      </c>
      <c r="H364" s="9" t="n">
        <v>1497283.18</v>
      </c>
      <c r="I364" s="9" t="n">
        <v>1506777.33</v>
      </c>
      <c r="J364" s="10" t="n">
        <v>0</v>
      </c>
      <c r="K364" s="8" t="n">
        <v>0</v>
      </c>
      <c r="L364" s="8" t="n">
        <v>1</v>
      </c>
      <c r="M364" s="9" t="n">
        <v>1467435.18</v>
      </c>
      <c r="N364" s="9" t="n">
        <v>0</v>
      </c>
      <c r="O364" s="9" t="n">
        <v>-0</v>
      </c>
      <c r="P364" s="8" t="n">
        <v>1</v>
      </c>
      <c r="Q364" s="8" t="n">
        <v>1</v>
      </c>
    </row>
    <row r="365">
      <c r="A365" s="8" t="n">
        <v>599</v>
      </c>
      <c r="B365" s="8" t="inlineStr">
        <is>
          <t>CASH_OUT</t>
        </is>
      </c>
      <c r="C365" s="9" t="n">
        <v>90379.49000000001</v>
      </c>
      <c r="D365" s="8" t="inlineStr">
        <is>
          <t>C824881081</t>
        </is>
      </c>
      <c r="E365" s="9" t="n">
        <v>12992.96</v>
      </c>
      <c r="F365" s="9" t="n">
        <v>0</v>
      </c>
      <c r="G365" s="8" t="inlineStr">
        <is>
          <t>C1846613186</t>
        </is>
      </c>
      <c r="H365" s="9" t="n">
        <v>4936890.36</v>
      </c>
      <c r="I365" s="9" t="n">
        <v>5027269.85</v>
      </c>
      <c r="J365" s="10" t="n">
        <v>0</v>
      </c>
      <c r="K365" s="8" t="n">
        <v>0</v>
      </c>
      <c r="L365" s="8" t="n">
        <v>1</v>
      </c>
      <c r="M365" s="9" t="n">
        <v>4923897.4</v>
      </c>
      <c r="N365" s="9" t="n">
        <v>77386.53</v>
      </c>
      <c r="O365" s="9" t="n">
        <v>0</v>
      </c>
      <c r="P365" s="8" t="n">
        <v>1</v>
      </c>
      <c r="Q365" s="8" t="n">
        <v>0</v>
      </c>
    </row>
    <row r="366">
      <c r="A366" s="8" t="n">
        <v>326</v>
      </c>
      <c r="B366" s="8" t="inlineStr">
        <is>
          <t>CASH_OUT</t>
        </is>
      </c>
      <c r="C366" s="9" t="n">
        <v>159119.05</v>
      </c>
      <c r="D366" s="8" t="inlineStr">
        <is>
          <t>C814668440</t>
        </is>
      </c>
      <c r="E366" s="9" t="n">
        <v>0</v>
      </c>
      <c r="F366" s="9" t="n">
        <v>0</v>
      </c>
      <c r="G366" s="8" t="inlineStr">
        <is>
          <t>C839431155</t>
        </is>
      </c>
      <c r="H366" s="9" t="n">
        <v>372902.72</v>
      </c>
      <c r="I366" s="9" t="n">
        <v>532021.77</v>
      </c>
      <c r="J366" s="10" t="n">
        <v>0</v>
      </c>
      <c r="K366" s="8" t="n">
        <v>0</v>
      </c>
      <c r="L366" s="8" t="n">
        <v>1</v>
      </c>
      <c r="M366" s="9" t="n">
        <v>372902.72</v>
      </c>
      <c r="N366" s="9" t="n">
        <v>159119.05</v>
      </c>
      <c r="O366" s="9" t="n">
        <v>0</v>
      </c>
      <c r="P366" s="8" t="n">
        <v>1</v>
      </c>
      <c r="Q366" s="8" t="n">
        <v>0</v>
      </c>
    </row>
    <row r="367">
      <c r="A367" s="8" t="n">
        <v>305</v>
      </c>
      <c r="B367" s="8" t="inlineStr">
        <is>
          <t>CASH_OUT</t>
        </is>
      </c>
      <c r="C367" s="9" t="n">
        <v>259665.09</v>
      </c>
      <c r="D367" s="8" t="inlineStr">
        <is>
          <t>C205038451</t>
        </is>
      </c>
      <c r="E367" s="9" t="n">
        <v>51828</v>
      </c>
      <c r="F367" s="9" t="n">
        <v>0</v>
      </c>
      <c r="G367" s="8" t="inlineStr">
        <is>
          <t>C1334013457</t>
        </is>
      </c>
      <c r="H367" s="9" t="n">
        <v>2904019.73</v>
      </c>
      <c r="I367" s="9" t="n">
        <v>3163684.83</v>
      </c>
      <c r="J367" s="10" t="n">
        <v>0</v>
      </c>
      <c r="K367" s="8" t="n">
        <v>0</v>
      </c>
      <c r="L367" s="8" t="n">
        <v>1</v>
      </c>
      <c r="M367" s="9" t="n">
        <v>2852191.73</v>
      </c>
      <c r="N367" s="9" t="n">
        <v>207837.09</v>
      </c>
      <c r="O367" s="9" t="n">
        <v>-0.01</v>
      </c>
      <c r="P367" s="8" t="n">
        <v>1</v>
      </c>
      <c r="Q367" s="8" t="n">
        <v>0</v>
      </c>
    </row>
    <row r="368">
      <c r="A368" s="8" t="n">
        <v>304</v>
      </c>
      <c r="B368" s="8" t="inlineStr">
        <is>
          <t>PAYMENT</t>
        </is>
      </c>
      <c r="C368" s="9" t="n">
        <v>38274.65</v>
      </c>
      <c r="D368" s="8" t="inlineStr">
        <is>
          <t>C1312328366</t>
        </is>
      </c>
      <c r="E368" s="9" t="n">
        <v>0</v>
      </c>
      <c r="F368" s="9" t="n">
        <v>0</v>
      </c>
      <c r="G368" s="8" t="inlineStr">
        <is>
          <t>M1834984842</t>
        </is>
      </c>
      <c r="H368" s="9" t="n">
        <v>0</v>
      </c>
      <c r="I368" s="9" t="n">
        <v>0</v>
      </c>
      <c r="J368" s="10" t="n">
        <v>0</v>
      </c>
      <c r="K368" s="8" t="n">
        <v>1</v>
      </c>
      <c r="L368" s="8" t="n">
        <v>0</v>
      </c>
      <c r="M368" s="9" t="n">
        <v>0</v>
      </c>
      <c r="N368" s="9" t="n">
        <v>38274.65</v>
      </c>
      <c r="O368" s="9" t="n">
        <v>38274.65</v>
      </c>
      <c r="P368" s="8" t="n">
        <v>0</v>
      </c>
      <c r="Q368" s="8" t="n">
        <v>0</v>
      </c>
    </row>
    <row r="369">
      <c r="A369" s="8" t="n">
        <v>372</v>
      </c>
      <c r="B369" s="8" t="inlineStr">
        <is>
          <t>CASH_OUT</t>
        </is>
      </c>
      <c r="C369" s="9" t="n">
        <v>144485.85</v>
      </c>
      <c r="D369" s="8" t="inlineStr">
        <is>
          <t>C1335513544</t>
        </is>
      </c>
      <c r="E369" s="9" t="n">
        <v>81715</v>
      </c>
      <c r="F369" s="9" t="n">
        <v>0</v>
      </c>
      <c r="G369" s="8" t="inlineStr">
        <is>
          <t>C1338903268</t>
        </is>
      </c>
      <c r="H369" s="9" t="n">
        <v>15950.17</v>
      </c>
      <c r="I369" s="9" t="n">
        <v>160436.02</v>
      </c>
      <c r="J369" s="10" t="n">
        <v>0</v>
      </c>
      <c r="K369" s="8" t="n">
        <v>0</v>
      </c>
      <c r="L369" s="8" t="n">
        <v>1</v>
      </c>
      <c r="M369" s="9" t="n">
        <v>65764.83</v>
      </c>
      <c r="N369" s="9" t="n">
        <v>62770.85</v>
      </c>
      <c r="O369" s="9" t="n">
        <v>0</v>
      </c>
      <c r="P369" s="8" t="n">
        <v>1</v>
      </c>
      <c r="Q369" s="8" t="n">
        <v>0</v>
      </c>
    </row>
    <row r="370">
      <c r="A370" s="8" t="n">
        <v>228</v>
      </c>
      <c r="B370" s="8" t="inlineStr">
        <is>
          <t>CASH_IN</t>
        </is>
      </c>
      <c r="C370" s="9" t="n">
        <v>56024.85</v>
      </c>
      <c r="D370" s="8" t="inlineStr">
        <is>
          <t>C1155655828</t>
        </is>
      </c>
      <c r="E370" s="9" t="n">
        <v>1579616.69</v>
      </c>
      <c r="F370" s="9" t="n">
        <v>1635641.54</v>
      </c>
      <c r="G370" s="8" t="inlineStr">
        <is>
          <t>C224149370</t>
        </is>
      </c>
      <c r="H370" s="9" t="n">
        <v>5292171.64</v>
      </c>
      <c r="I370" s="9" t="n">
        <v>5236146.79</v>
      </c>
      <c r="J370" s="10" t="n">
        <v>0</v>
      </c>
      <c r="K370" s="8" t="n">
        <v>0</v>
      </c>
      <c r="L370" s="8" t="n">
        <v>0</v>
      </c>
      <c r="M370" s="9" t="n">
        <v>3712554.95</v>
      </c>
      <c r="N370" s="9" t="n">
        <v>112049.7</v>
      </c>
      <c r="O370" s="9" t="n">
        <v>112049.7</v>
      </c>
      <c r="P370" s="8" t="n">
        <v>1</v>
      </c>
      <c r="Q370" s="8" t="n">
        <v>0</v>
      </c>
    </row>
    <row r="371">
      <c r="A371" s="8" t="n">
        <v>570</v>
      </c>
      <c r="B371" s="8" t="inlineStr">
        <is>
          <t>PAYMENT</t>
        </is>
      </c>
      <c r="C371" s="9" t="n">
        <v>930.04</v>
      </c>
      <c r="D371" s="8" t="inlineStr">
        <is>
          <t>C1756943465</t>
        </is>
      </c>
      <c r="E371" s="9" t="n">
        <v>0</v>
      </c>
      <c r="F371" s="9" t="n">
        <v>0</v>
      </c>
      <c r="G371" s="8" t="inlineStr">
        <is>
          <t>M1048703550</t>
        </is>
      </c>
      <c r="H371" s="9" t="n">
        <v>0</v>
      </c>
      <c r="I371" s="9" t="n">
        <v>0</v>
      </c>
      <c r="J371" s="10" t="n">
        <v>0</v>
      </c>
      <c r="K371" s="8" t="n">
        <v>1</v>
      </c>
      <c r="L371" s="8" t="n">
        <v>0</v>
      </c>
      <c r="M371" s="9" t="n">
        <v>0</v>
      </c>
      <c r="N371" s="9" t="n">
        <v>930.04</v>
      </c>
      <c r="O371" s="9" t="n">
        <v>930.04</v>
      </c>
      <c r="P371" s="8" t="n">
        <v>0</v>
      </c>
      <c r="Q371" s="8" t="n">
        <v>0</v>
      </c>
    </row>
    <row r="372">
      <c r="A372" s="8" t="n">
        <v>325</v>
      </c>
      <c r="B372" s="8" t="inlineStr">
        <is>
          <t>TRANSFER</t>
        </is>
      </c>
      <c r="C372" s="9" t="n">
        <v>30846.84</v>
      </c>
      <c r="D372" s="8" t="inlineStr">
        <is>
          <t>C913635242</t>
        </is>
      </c>
      <c r="E372" s="9" t="n">
        <v>30846.84</v>
      </c>
      <c r="F372" s="9" t="n">
        <v>0</v>
      </c>
      <c r="G372" s="8" t="inlineStr">
        <is>
          <t>C282425253</t>
        </is>
      </c>
      <c r="H372" s="9" t="n">
        <v>0</v>
      </c>
      <c r="I372" s="9" t="n">
        <v>0</v>
      </c>
      <c r="J372" s="11" t="n">
        <v>1</v>
      </c>
      <c r="K372" s="8" t="n">
        <v>0</v>
      </c>
      <c r="L372" s="8" t="n">
        <v>1</v>
      </c>
      <c r="M372" s="9" t="n">
        <v>30846.84</v>
      </c>
      <c r="N372" s="9" t="n">
        <v>0</v>
      </c>
      <c r="O372" s="9" t="n">
        <v>30846.84</v>
      </c>
      <c r="P372" s="8" t="n">
        <v>1</v>
      </c>
      <c r="Q372" s="8" t="n">
        <v>1</v>
      </c>
    </row>
    <row r="373">
      <c r="A373" s="8" t="n">
        <v>598</v>
      </c>
      <c r="B373" s="8" t="inlineStr">
        <is>
          <t>TRANSFER</t>
        </is>
      </c>
      <c r="C373" s="9" t="n">
        <v>5566368.02</v>
      </c>
      <c r="D373" s="8" t="inlineStr">
        <is>
          <t>C94269091</t>
        </is>
      </c>
      <c r="E373" s="9" t="n">
        <v>5566368.02</v>
      </c>
      <c r="F373" s="9" t="n">
        <v>0</v>
      </c>
      <c r="G373" s="8" t="inlineStr">
        <is>
          <t>C2096924215</t>
        </is>
      </c>
      <c r="H373" s="9" t="n">
        <v>0</v>
      </c>
      <c r="I373" s="9" t="n">
        <v>0</v>
      </c>
      <c r="J373" s="11" t="n">
        <v>1</v>
      </c>
      <c r="K373" s="8" t="n">
        <v>0</v>
      </c>
      <c r="L373" s="8" t="n">
        <v>1</v>
      </c>
      <c r="M373" s="9" t="n">
        <v>5566368.02</v>
      </c>
      <c r="N373" s="9" t="n">
        <v>0</v>
      </c>
      <c r="O373" s="9" t="n">
        <v>5566368.02</v>
      </c>
      <c r="P373" s="8" t="n">
        <v>1</v>
      </c>
      <c r="Q373" s="8" t="n">
        <v>1</v>
      </c>
    </row>
    <row r="374">
      <c r="A374" s="8" t="n">
        <v>329</v>
      </c>
      <c r="B374" s="8" t="inlineStr">
        <is>
          <t>PAYMENT</t>
        </is>
      </c>
      <c r="C374" s="9" t="n">
        <v>35304.4</v>
      </c>
      <c r="D374" s="8" t="inlineStr">
        <is>
          <t>C1635405122</t>
        </is>
      </c>
      <c r="E374" s="9" t="n">
        <v>91639</v>
      </c>
      <c r="F374" s="9" t="n">
        <v>56334.6</v>
      </c>
      <c r="G374" s="8" t="inlineStr">
        <is>
          <t>M1199625738</t>
        </is>
      </c>
      <c r="H374" s="9" t="n">
        <v>0</v>
      </c>
      <c r="I374" s="9" t="n">
        <v>0</v>
      </c>
      <c r="J374" s="10" t="n">
        <v>0</v>
      </c>
      <c r="K374" s="8" t="n">
        <v>1</v>
      </c>
      <c r="L374" s="8" t="n">
        <v>0</v>
      </c>
      <c r="M374" s="9" t="n">
        <v>91639</v>
      </c>
      <c r="N374" s="9" t="n">
        <v>0</v>
      </c>
      <c r="O374" s="9" t="n">
        <v>35304.4</v>
      </c>
      <c r="P374" s="8" t="n">
        <v>0</v>
      </c>
      <c r="Q374" s="8" t="n">
        <v>1</v>
      </c>
    </row>
    <row r="375">
      <c r="A375" s="8" t="n">
        <v>164</v>
      </c>
      <c r="B375" s="8" t="inlineStr">
        <is>
          <t>PAYMENT</t>
        </is>
      </c>
      <c r="C375" s="9" t="n">
        <v>10362.27</v>
      </c>
      <c r="D375" s="8" t="inlineStr">
        <is>
          <t>C560384998</t>
        </is>
      </c>
      <c r="E375" s="9" t="n">
        <v>142560.99</v>
      </c>
      <c r="F375" s="9" t="n">
        <v>132198.72</v>
      </c>
      <c r="G375" s="8" t="inlineStr">
        <is>
          <t>M1018343005</t>
        </is>
      </c>
      <c r="H375" s="9" t="n">
        <v>0</v>
      </c>
      <c r="I375" s="9" t="n">
        <v>0</v>
      </c>
      <c r="J375" s="10" t="n">
        <v>0</v>
      </c>
      <c r="K375" s="8" t="n">
        <v>1</v>
      </c>
      <c r="L375" s="8" t="n">
        <v>0</v>
      </c>
      <c r="M375" s="9" t="n">
        <v>142560.99</v>
      </c>
      <c r="N375" s="9" t="n">
        <v>0</v>
      </c>
      <c r="O375" s="9" t="n">
        <v>10362.27</v>
      </c>
      <c r="P375" s="8" t="n">
        <v>0</v>
      </c>
      <c r="Q375" s="8" t="n">
        <v>1</v>
      </c>
    </row>
    <row r="376">
      <c r="A376" s="8" t="n">
        <v>573</v>
      </c>
      <c r="B376" s="8" t="inlineStr">
        <is>
          <t>CASH_OUT</t>
        </is>
      </c>
      <c r="C376" s="9" t="n">
        <v>71591.12</v>
      </c>
      <c r="D376" s="8" t="inlineStr">
        <is>
          <t>C937231676</t>
        </is>
      </c>
      <c r="E376" s="9" t="n">
        <v>22305</v>
      </c>
      <c r="F376" s="9" t="n">
        <v>0</v>
      </c>
      <c r="G376" s="8" t="inlineStr">
        <is>
          <t>C1532926104</t>
        </is>
      </c>
      <c r="H376" s="9" t="n">
        <v>225784.53</v>
      </c>
      <c r="I376" s="9" t="n">
        <v>297375.65</v>
      </c>
      <c r="J376" s="10" t="n">
        <v>0</v>
      </c>
      <c r="K376" s="8" t="n">
        <v>0</v>
      </c>
      <c r="L376" s="8" t="n">
        <v>1</v>
      </c>
      <c r="M376" s="9" t="n">
        <v>203479.53</v>
      </c>
      <c r="N376" s="9" t="n">
        <v>49286.12</v>
      </c>
      <c r="O376" s="9" t="n">
        <v>0</v>
      </c>
      <c r="P376" s="8" t="n">
        <v>1</v>
      </c>
      <c r="Q376" s="8" t="n">
        <v>0</v>
      </c>
    </row>
    <row r="377">
      <c r="A377" s="8" t="n">
        <v>358</v>
      </c>
      <c r="B377" s="8" t="inlineStr">
        <is>
          <t>CASH_OUT</t>
        </is>
      </c>
      <c r="C377" s="9" t="n">
        <v>226201.25</v>
      </c>
      <c r="D377" s="8" t="inlineStr">
        <is>
          <t>C500072442</t>
        </is>
      </c>
      <c r="E377" s="9" t="n">
        <v>0</v>
      </c>
      <c r="F377" s="9" t="n">
        <v>0</v>
      </c>
      <c r="G377" s="8" t="inlineStr">
        <is>
          <t>C2013628175</t>
        </is>
      </c>
      <c r="H377" s="9" t="n">
        <v>369501.11</v>
      </c>
      <c r="I377" s="9" t="n">
        <v>595702.37</v>
      </c>
      <c r="J377" s="10" t="n">
        <v>0</v>
      </c>
      <c r="K377" s="8" t="n">
        <v>0</v>
      </c>
      <c r="L377" s="8" t="n">
        <v>1</v>
      </c>
      <c r="M377" s="9" t="n">
        <v>369501.11</v>
      </c>
      <c r="N377" s="9" t="n">
        <v>226201.25</v>
      </c>
      <c r="O377" s="9" t="n">
        <v>-0.01</v>
      </c>
      <c r="P377" s="8" t="n">
        <v>1</v>
      </c>
      <c r="Q377" s="8" t="n">
        <v>0</v>
      </c>
    </row>
    <row r="378">
      <c r="A378" s="8" t="n">
        <v>62</v>
      </c>
      <c r="B378" s="8" t="inlineStr">
        <is>
          <t>TRANSFER</t>
        </is>
      </c>
      <c r="C378" s="9" t="n">
        <v>407833.62</v>
      </c>
      <c r="D378" s="8" t="inlineStr">
        <is>
          <t>C1585122257</t>
        </is>
      </c>
      <c r="E378" s="9" t="n">
        <v>407833.62</v>
      </c>
      <c r="F378" s="9" t="n">
        <v>0</v>
      </c>
      <c r="G378" s="8" t="inlineStr">
        <is>
          <t>C645113065</t>
        </is>
      </c>
      <c r="H378" s="9" t="n">
        <v>0</v>
      </c>
      <c r="I378" s="9" t="n">
        <v>0</v>
      </c>
      <c r="J378" s="11" t="n">
        <v>1</v>
      </c>
      <c r="K378" s="8" t="n">
        <v>0</v>
      </c>
      <c r="L378" s="8" t="n">
        <v>1</v>
      </c>
      <c r="M378" s="9" t="n">
        <v>407833.62</v>
      </c>
      <c r="N378" s="9" t="n">
        <v>0</v>
      </c>
      <c r="O378" s="9" t="n">
        <v>407833.62</v>
      </c>
      <c r="P378" s="8" t="n">
        <v>1</v>
      </c>
      <c r="Q378" s="8" t="n">
        <v>1</v>
      </c>
    </row>
    <row r="379">
      <c r="A379" s="8" t="n">
        <v>19</v>
      </c>
      <c r="B379" s="8" t="inlineStr">
        <is>
          <t>CASH_OUT</t>
        </is>
      </c>
      <c r="C379" s="9" t="n">
        <v>134950.64</v>
      </c>
      <c r="D379" s="8" t="inlineStr">
        <is>
          <t>C1144781389</t>
        </is>
      </c>
      <c r="E379" s="9" t="n">
        <v>20105</v>
      </c>
      <c r="F379" s="9" t="n">
        <v>0</v>
      </c>
      <c r="G379" s="8" t="inlineStr">
        <is>
          <t>C1332787120</t>
        </is>
      </c>
      <c r="H379" s="9" t="n">
        <v>656369.8100000001</v>
      </c>
      <c r="I379" s="9" t="n">
        <v>791320.45</v>
      </c>
      <c r="J379" s="10" t="n">
        <v>0</v>
      </c>
      <c r="K379" s="8" t="n">
        <v>0</v>
      </c>
      <c r="L379" s="8" t="n">
        <v>1</v>
      </c>
      <c r="M379" s="9" t="n">
        <v>636264.8100000001</v>
      </c>
      <c r="N379" s="9" t="n">
        <v>114845.64</v>
      </c>
      <c r="O379" s="9" t="n">
        <v>0</v>
      </c>
      <c r="P379" s="8" t="n">
        <v>1</v>
      </c>
      <c r="Q379" s="8" t="n">
        <v>0</v>
      </c>
    </row>
    <row r="380">
      <c r="A380" s="8" t="n">
        <v>255</v>
      </c>
      <c r="B380" s="8" t="inlineStr">
        <is>
          <t>PAYMENT</t>
        </is>
      </c>
      <c r="C380" s="9" t="n">
        <v>9000.42</v>
      </c>
      <c r="D380" s="8" t="inlineStr">
        <is>
          <t>C1183419479</t>
        </is>
      </c>
      <c r="E380" s="9" t="n">
        <v>0</v>
      </c>
      <c r="F380" s="9" t="n">
        <v>0</v>
      </c>
      <c r="G380" s="8" t="inlineStr">
        <is>
          <t>M164931588</t>
        </is>
      </c>
      <c r="H380" s="9" t="n">
        <v>0</v>
      </c>
      <c r="I380" s="9" t="n">
        <v>0</v>
      </c>
      <c r="J380" s="10" t="n">
        <v>0</v>
      </c>
      <c r="K380" s="8" t="n">
        <v>1</v>
      </c>
      <c r="L380" s="8" t="n">
        <v>0</v>
      </c>
      <c r="M380" s="9" t="n">
        <v>0</v>
      </c>
      <c r="N380" s="9" t="n">
        <v>9000.42</v>
      </c>
      <c r="O380" s="9" t="n">
        <v>9000.42</v>
      </c>
      <c r="P380" s="8" t="n">
        <v>0</v>
      </c>
      <c r="Q380" s="8" t="n">
        <v>0</v>
      </c>
    </row>
    <row r="381">
      <c r="A381" s="8" t="n">
        <v>230</v>
      </c>
      <c r="B381" s="8" t="inlineStr">
        <is>
          <t>CASH_OUT</t>
        </is>
      </c>
      <c r="C381" s="9" t="n">
        <v>263121.93</v>
      </c>
      <c r="D381" s="8" t="inlineStr">
        <is>
          <t>C313586729</t>
        </is>
      </c>
      <c r="E381" s="9" t="n">
        <v>0</v>
      </c>
      <c r="F381" s="9" t="n">
        <v>0</v>
      </c>
      <c r="G381" s="8" t="inlineStr">
        <is>
          <t>C1011109339</t>
        </is>
      </c>
      <c r="H381" s="9" t="n">
        <v>544315.05</v>
      </c>
      <c r="I381" s="9" t="n">
        <v>807436.98</v>
      </c>
      <c r="J381" s="10" t="n">
        <v>0</v>
      </c>
      <c r="K381" s="8" t="n">
        <v>0</v>
      </c>
      <c r="L381" s="8" t="n">
        <v>1</v>
      </c>
      <c r="M381" s="9" t="n">
        <v>544315.05</v>
      </c>
      <c r="N381" s="9" t="n">
        <v>263121.93</v>
      </c>
      <c r="O381" s="9" t="n">
        <v>0</v>
      </c>
      <c r="P381" s="8" t="n">
        <v>1</v>
      </c>
      <c r="Q381" s="8" t="n">
        <v>0</v>
      </c>
    </row>
    <row r="382">
      <c r="A382" s="8" t="n">
        <v>373</v>
      </c>
      <c r="B382" s="8" t="inlineStr">
        <is>
          <t>CASH_IN</t>
        </is>
      </c>
      <c r="C382" s="9" t="n">
        <v>422558.65</v>
      </c>
      <c r="D382" s="8" t="inlineStr">
        <is>
          <t>C1398244976</t>
        </is>
      </c>
      <c r="E382" s="9" t="n">
        <v>2108099.35</v>
      </c>
      <c r="F382" s="9" t="n">
        <v>2530657.99</v>
      </c>
      <c r="G382" s="8" t="inlineStr">
        <is>
          <t>C595011530</t>
        </is>
      </c>
      <c r="H382" s="9" t="n">
        <v>615282.26</v>
      </c>
      <c r="I382" s="9" t="n">
        <v>192723.61</v>
      </c>
      <c r="J382" s="10" t="n">
        <v>0</v>
      </c>
      <c r="K382" s="8" t="n">
        <v>0</v>
      </c>
      <c r="L382" s="8" t="n">
        <v>0</v>
      </c>
      <c r="M382" s="9" t="n">
        <v>1492817.09</v>
      </c>
      <c r="N382" s="9" t="n">
        <v>845117.29</v>
      </c>
      <c r="O382" s="9" t="n">
        <v>845117.3</v>
      </c>
      <c r="P382" s="8" t="n">
        <v>1</v>
      </c>
      <c r="Q382" s="8" t="n">
        <v>0</v>
      </c>
    </row>
    <row r="383">
      <c r="A383" s="8" t="n">
        <v>140</v>
      </c>
      <c r="B383" s="8" t="inlineStr">
        <is>
          <t>TRANSFER</t>
        </is>
      </c>
      <c r="C383" s="9" t="n">
        <v>6783.47</v>
      </c>
      <c r="D383" s="8" t="inlineStr">
        <is>
          <t>C2103265286</t>
        </is>
      </c>
      <c r="E383" s="9" t="n">
        <v>6783.47</v>
      </c>
      <c r="F383" s="9" t="n">
        <v>0</v>
      </c>
      <c r="G383" s="8" t="inlineStr">
        <is>
          <t>C1983881188</t>
        </is>
      </c>
      <c r="H383" s="9" t="n">
        <v>0</v>
      </c>
      <c r="I383" s="9" t="n">
        <v>0</v>
      </c>
      <c r="J383" s="11" t="n">
        <v>1</v>
      </c>
      <c r="K383" s="8" t="n">
        <v>0</v>
      </c>
      <c r="L383" s="8" t="n">
        <v>1</v>
      </c>
      <c r="M383" s="9" t="n">
        <v>6783.47</v>
      </c>
      <c r="N383" s="9" t="n">
        <v>0</v>
      </c>
      <c r="O383" s="9" t="n">
        <v>6783.47</v>
      </c>
      <c r="P383" s="8" t="n">
        <v>1</v>
      </c>
      <c r="Q383" s="8" t="n">
        <v>1</v>
      </c>
    </row>
    <row r="384">
      <c r="A384" s="8" t="n">
        <v>305</v>
      </c>
      <c r="B384" s="8" t="inlineStr">
        <is>
          <t>TRANSFER</t>
        </is>
      </c>
      <c r="C384" s="9" t="n">
        <v>1754597.44</v>
      </c>
      <c r="D384" s="8" t="inlineStr">
        <is>
          <t>C276718485</t>
        </is>
      </c>
      <c r="E384" s="9" t="n">
        <v>1754597.44</v>
      </c>
      <c r="F384" s="9" t="n">
        <v>0</v>
      </c>
      <c r="G384" s="8" t="inlineStr">
        <is>
          <t>C1947776397</t>
        </is>
      </c>
      <c r="H384" s="9" t="n">
        <v>0</v>
      </c>
      <c r="I384" s="9" t="n">
        <v>0</v>
      </c>
      <c r="J384" s="11" t="n">
        <v>1</v>
      </c>
      <c r="K384" s="8" t="n">
        <v>0</v>
      </c>
      <c r="L384" s="8" t="n">
        <v>1</v>
      </c>
      <c r="M384" s="9" t="n">
        <v>1754597.44</v>
      </c>
      <c r="N384" s="9" t="n">
        <v>0</v>
      </c>
      <c r="O384" s="9" t="n">
        <v>1754597.44</v>
      </c>
      <c r="P384" s="8" t="n">
        <v>1</v>
      </c>
      <c r="Q384" s="8" t="n">
        <v>1</v>
      </c>
    </row>
    <row r="385">
      <c r="A385" s="8" t="n">
        <v>16</v>
      </c>
      <c r="B385" s="8" t="inlineStr">
        <is>
          <t>PAYMENT</t>
        </is>
      </c>
      <c r="C385" s="9" t="n">
        <v>3496.05</v>
      </c>
      <c r="D385" s="8" t="inlineStr">
        <is>
          <t>C916258739</t>
        </is>
      </c>
      <c r="E385" s="9" t="n">
        <v>8173.46</v>
      </c>
      <c r="F385" s="9" t="n">
        <v>4677.4</v>
      </c>
      <c r="G385" s="8" t="inlineStr">
        <is>
          <t>M1492926859</t>
        </is>
      </c>
      <c r="H385" s="9" t="n">
        <v>0</v>
      </c>
      <c r="I385" s="9" t="n">
        <v>0</v>
      </c>
      <c r="J385" s="10" t="n">
        <v>0</v>
      </c>
      <c r="K385" s="8" t="n">
        <v>1</v>
      </c>
      <c r="L385" s="8" t="n">
        <v>0</v>
      </c>
      <c r="M385" s="9" t="n">
        <v>8173.46</v>
      </c>
      <c r="N385" s="9" t="n">
        <v>-0.01</v>
      </c>
      <c r="O385" s="9" t="n">
        <v>3496.05</v>
      </c>
      <c r="P385" s="8" t="n">
        <v>0</v>
      </c>
      <c r="Q385" s="8" t="n">
        <v>1</v>
      </c>
    </row>
    <row r="386">
      <c r="A386" s="8" t="n">
        <v>347</v>
      </c>
      <c r="B386" s="8" t="inlineStr">
        <is>
          <t>CASH_OUT</t>
        </is>
      </c>
      <c r="C386" s="9" t="n">
        <v>65920.55</v>
      </c>
      <c r="D386" s="8" t="inlineStr">
        <is>
          <t>C1332385108</t>
        </is>
      </c>
      <c r="E386" s="9" t="n">
        <v>11091</v>
      </c>
      <c r="F386" s="9" t="n">
        <v>0</v>
      </c>
      <c r="G386" s="8" t="inlineStr">
        <is>
          <t>C1232987679</t>
        </is>
      </c>
      <c r="H386" s="9" t="n">
        <v>17432.31</v>
      </c>
      <c r="I386" s="9" t="n">
        <v>83352.86</v>
      </c>
      <c r="J386" s="10" t="n">
        <v>0</v>
      </c>
      <c r="K386" s="8" t="n">
        <v>0</v>
      </c>
      <c r="L386" s="8" t="n">
        <v>1</v>
      </c>
      <c r="M386" s="9" t="n">
        <v>6341.310000000001</v>
      </c>
      <c r="N386" s="9" t="n">
        <v>54829.55</v>
      </c>
      <c r="O386" s="9" t="n">
        <v>0</v>
      </c>
      <c r="P386" s="8" t="n">
        <v>1</v>
      </c>
      <c r="Q386" s="8" t="n">
        <v>0</v>
      </c>
    </row>
    <row r="387">
      <c r="A387" s="8" t="n">
        <v>282</v>
      </c>
      <c r="B387" s="8" t="inlineStr">
        <is>
          <t>TRANSFER</t>
        </is>
      </c>
      <c r="C387" s="9" t="n">
        <v>1142860.01</v>
      </c>
      <c r="D387" s="8" t="inlineStr">
        <is>
          <t>C1236247325</t>
        </is>
      </c>
      <c r="E387" s="9" t="n">
        <v>0</v>
      </c>
      <c r="F387" s="9" t="n">
        <v>0</v>
      </c>
      <c r="G387" s="8" t="inlineStr">
        <is>
          <t>C936796036</t>
        </is>
      </c>
      <c r="H387" s="9" t="n">
        <v>1216992.66</v>
      </c>
      <c r="I387" s="9" t="n">
        <v>2359852.67</v>
      </c>
      <c r="J387" s="10" t="n">
        <v>0</v>
      </c>
      <c r="K387" s="8" t="n">
        <v>0</v>
      </c>
      <c r="L387" s="8" t="n">
        <v>1</v>
      </c>
      <c r="M387" s="9" t="n">
        <v>1216992.66</v>
      </c>
      <c r="N387" s="9" t="n">
        <v>1142860.01</v>
      </c>
      <c r="O387" s="9" t="n">
        <v>0</v>
      </c>
      <c r="P387" s="8" t="n">
        <v>1</v>
      </c>
      <c r="Q387" s="8" t="n">
        <v>0</v>
      </c>
    </row>
    <row r="388">
      <c r="A388" s="8" t="n">
        <v>160</v>
      </c>
      <c r="B388" s="8" t="inlineStr">
        <is>
          <t>TRANSFER</t>
        </is>
      </c>
      <c r="C388" s="9" t="n">
        <v>183445.38</v>
      </c>
      <c r="D388" s="8" t="inlineStr">
        <is>
          <t>C1742291180</t>
        </is>
      </c>
      <c r="E388" s="9" t="n">
        <v>0</v>
      </c>
      <c r="F388" s="9" t="n">
        <v>0</v>
      </c>
      <c r="G388" s="8" t="inlineStr">
        <is>
          <t>C1660507242</t>
        </is>
      </c>
      <c r="H388" s="9" t="n">
        <v>6366393.51</v>
      </c>
      <c r="I388" s="9" t="n">
        <v>6549838.89</v>
      </c>
      <c r="J388" s="10" t="n">
        <v>0</v>
      </c>
      <c r="K388" s="8" t="n">
        <v>0</v>
      </c>
      <c r="L388" s="8" t="n">
        <v>1</v>
      </c>
      <c r="M388" s="9" t="n">
        <v>6366393.51</v>
      </c>
      <c r="N388" s="9" t="n">
        <v>183445.38</v>
      </c>
      <c r="O388" s="9" t="n">
        <v>0</v>
      </c>
      <c r="P388" s="8" t="n">
        <v>1</v>
      </c>
      <c r="Q388" s="8" t="n">
        <v>0</v>
      </c>
    </row>
    <row r="389">
      <c r="A389" s="8" t="n">
        <v>301</v>
      </c>
      <c r="B389" s="8" t="inlineStr">
        <is>
          <t>CASH_OUT</t>
        </is>
      </c>
      <c r="C389" s="9" t="n">
        <v>229100.69</v>
      </c>
      <c r="D389" s="8" t="inlineStr">
        <is>
          <t>C620707220</t>
        </is>
      </c>
      <c r="E389" s="9" t="n">
        <v>20703</v>
      </c>
      <c r="F389" s="9" t="n">
        <v>0</v>
      </c>
      <c r="G389" s="8" t="inlineStr">
        <is>
          <t>C1810413239</t>
        </is>
      </c>
      <c r="H389" s="9" t="n">
        <v>354635.17</v>
      </c>
      <c r="I389" s="9" t="n">
        <v>583735.87</v>
      </c>
      <c r="J389" s="10" t="n">
        <v>0</v>
      </c>
      <c r="K389" s="8" t="n">
        <v>0</v>
      </c>
      <c r="L389" s="8" t="n">
        <v>1</v>
      </c>
      <c r="M389" s="9" t="n">
        <v>333932.17</v>
      </c>
      <c r="N389" s="9" t="n">
        <v>208397.69</v>
      </c>
      <c r="O389" s="9" t="n">
        <v>-0.01</v>
      </c>
      <c r="P389" s="8" t="n">
        <v>1</v>
      </c>
      <c r="Q389" s="8" t="n">
        <v>0</v>
      </c>
    </row>
    <row r="390">
      <c r="A390" s="8" t="n">
        <v>395</v>
      </c>
      <c r="B390" s="8" t="inlineStr">
        <is>
          <t>CASH_OUT</t>
        </is>
      </c>
      <c r="C390" s="9" t="n">
        <v>104470.34</v>
      </c>
      <c r="D390" s="8" t="inlineStr">
        <is>
          <t>C660783143</t>
        </is>
      </c>
      <c r="E390" s="9" t="n">
        <v>16915</v>
      </c>
      <c r="F390" s="9" t="n">
        <v>0</v>
      </c>
      <c r="G390" s="8" t="inlineStr">
        <is>
          <t>C1893975441</t>
        </is>
      </c>
      <c r="H390" s="9" t="n">
        <v>224853.53</v>
      </c>
      <c r="I390" s="9" t="n">
        <v>329323.87</v>
      </c>
      <c r="J390" s="10" t="n">
        <v>0</v>
      </c>
      <c r="K390" s="8" t="n">
        <v>0</v>
      </c>
      <c r="L390" s="8" t="n">
        <v>1</v>
      </c>
      <c r="M390" s="9" t="n">
        <v>207938.53</v>
      </c>
      <c r="N390" s="9" t="n">
        <v>87555.34</v>
      </c>
      <c r="O390" s="9" t="n">
        <v>0</v>
      </c>
      <c r="P390" s="8" t="n">
        <v>1</v>
      </c>
      <c r="Q390" s="8" t="n">
        <v>0</v>
      </c>
    </row>
    <row r="391">
      <c r="A391" s="8" t="n">
        <v>290</v>
      </c>
      <c r="B391" s="8" t="inlineStr">
        <is>
          <t>CASH_IN</t>
        </is>
      </c>
      <c r="C391" s="9" t="n">
        <v>105877.79</v>
      </c>
      <c r="D391" s="8" t="inlineStr">
        <is>
          <t>C1331652785</t>
        </is>
      </c>
      <c r="E391" s="9" t="n">
        <v>2774146.98</v>
      </c>
      <c r="F391" s="9" t="n">
        <v>2880024.77</v>
      </c>
      <c r="G391" s="8" t="inlineStr">
        <is>
          <t>C169714695</t>
        </is>
      </c>
      <c r="H391" s="9" t="n">
        <v>446137.78</v>
      </c>
      <c r="I391" s="9" t="n">
        <v>340259.99</v>
      </c>
      <c r="J391" s="10" t="n">
        <v>0</v>
      </c>
      <c r="K391" s="8" t="n">
        <v>0</v>
      </c>
      <c r="L391" s="8" t="n">
        <v>0</v>
      </c>
      <c r="M391" s="9" t="n">
        <v>2328009.2</v>
      </c>
      <c r="N391" s="9" t="n">
        <v>211755.58</v>
      </c>
      <c r="O391" s="9" t="n">
        <v>211755.58</v>
      </c>
      <c r="P391" s="8" t="n">
        <v>1</v>
      </c>
      <c r="Q391" s="8" t="n">
        <v>0</v>
      </c>
    </row>
    <row r="392">
      <c r="A392" s="8" t="n">
        <v>403</v>
      </c>
      <c r="B392" s="8" t="inlineStr">
        <is>
          <t>TRANSFER</t>
        </is>
      </c>
      <c r="C392" s="9" t="n">
        <v>206759.95</v>
      </c>
      <c r="D392" s="8" t="inlineStr">
        <is>
          <t>C922133038</t>
        </is>
      </c>
      <c r="E392" s="9" t="n">
        <v>9091</v>
      </c>
      <c r="F392" s="9" t="n">
        <v>0</v>
      </c>
      <c r="G392" s="8" t="inlineStr">
        <is>
          <t>C2025236630</t>
        </is>
      </c>
      <c r="H392" s="9" t="n">
        <v>172630.33</v>
      </c>
      <c r="I392" s="9" t="n">
        <v>379390.28</v>
      </c>
      <c r="J392" s="10" t="n">
        <v>0</v>
      </c>
      <c r="K392" s="8" t="n">
        <v>0</v>
      </c>
      <c r="L392" s="8" t="n">
        <v>1</v>
      </c>
      <c r="M392" s="9" t="n">
        <v>163539.33</v>
      </c>
      <c r="N392" s="9" t="n">
        <v>197668.95</v>
      </c>
      <c r="O392" s="9" t="n">
        <v>0</v>
      </c>
      <c r="P392" s="8" t="n">
        <v>1</v>
      </c>
      <c r="Q392" s="8" t="n">
        <v>0</v>
      </c>
    </row>
    <row r="393">
      <c r="A393" s="8" t="n">
        <v>137</v>
      </c>
      <c r="B393" s="8" t="inlineStr">
        <is>
          <t>PAYMENT</t>
        </is>
      </c>
      <c r="C393" s="9" t="n">
        <v>8632.52</v>
      </c>
      <c r="D393" s="8" t="inlineStr">
        <is>
          <t>C743124115</t>
        </is>
      </c>
      <c r="E393" s="9" t="n">
        <v>0</v>
      </c>
      <c r="F393" s="9" t="n">
        <v>0</v>
      </c>
      <c r="G393" s="8" t="inlineStr">
        <is>
          <t>M690287945</t>
        </is>
      </c>
      <c r="H393" s="9" t="n">
        <v>0</v>
      </c>
      <c r="I393" s="9" t="n">
        <v>0</v>
      </c>
      <c r="J393" s="10" t="n">
        <v>0</v>
      </c>
      <c r="K393" s="8" t="n">
        <v>1</v>
      </c>
      <c r="L393" s="8" t="n">
        <v>0</v>
      </c>
      <c r="M393" s="9" t="n">
        <v>0</v>
      </c>
      <c r="N393" s="9" t="n">
        <v>8632.52</v>
      </c>
      <c r="O393" s="9" t="n">
        <v>8632.52</v>
      </c>
      <c r="P393" s="8" t="n">
        <v>0</v>
      </c>
      <c r="Q393" s="8" t="n">
        <v>0</v>
      </c>
    </row>
    <row r="394">
      <c r="A394" s="8" t="n">
        <v>282</v>
      </c>
      <c r="B394" s="8" t="inlineStr">
        <is>
          <t>CASH_IN</t>
        </is>
      </c>
      <c r="C394" s="9" t="n">
        <v>113898.84</v>
      </c>
      <c r="D394" s="8" t="inlineStr">
        <is>
          <t>C1761850367</t>
        </is>
      </c>
      <c r="E394" s="9" t="n">
        <v>10247266.68</v>
      </c>
      <c r="F394" s="9" t="n">
        <v>10361165.53</v>
      </c>
      <c r="G394" s="8" t="inlineStr">
        <is>
          <t>C1310181252</t>
        </is>
      </c>
      <c r="H394" s="9" t="n">
        <v>265294.63</v>
      </c>
      <c r="I394" s="9" t="n">
        <v>151395.79</v>
      </c>
      <c r="J394" s="10" t="n">
        <v>0</v>
      </c>
      <c r="K394" s="8" t="n">
        <v>0</v>
      </c>
      <c r="L394" s="8" t="n">
        <v>0</v>
      </c>
      <c r="M394" s="9" t="n">
        <v>9981972.050000001</v>
      </c>
      <c r="N394" s="9" t="n">
        <v>227797.69</v>
      </c>
      <c r="O394" s="9" t="n">
        <v>227797.68</v>
      </c>
      <c r="P394" s="8" t="n">
        <v>1</v>
      </c>
      <c r="Q394" s="8" t="n">
        <v>0</v>
      </c>
    </row>
    <row r="395">
      <c r="A395" s="8" t="n">
        <v>11</v>
      </c>
      <c r="B395" s="8" t="inlineStr">
        <is>
          <t>PAYMENT</t>
        </is>
      </c>
      <c r="C395" s="9" t="n">
        <v>20139.86</v>
      </c>
      <c r="D395" s="8" t="inlineStr">
        <is>
          <t>C901012219</t>
        </is>
      </c>
      <c r="E395" s="9" t="n">
        <v>0</v>
      </c>
      <c r="F395" s="9" t="n">
        <v>0</v>
      </c>
      <c r="G395" s="8" t="inlineStr">
        <is>
          <t>M1603075040</t>
        </is>
      </c>
      <c r="H395" s="9" t="n">
        <v>0</v>
      </c>
      <c r="I395" s="9" t="n">
        <v>0</v>
      </c>
      <c r="J395" s="10" t="n">
        <v>0</v>
      </c>
      <c r="K395" s="8" t="n">
        <v>1</v>
      </c>
      <c r="L395" s="8" t="n">
        <v>0</v>
      </c>
      <c r="M395" s="9" t="n">
        <v>0</v>
      </c>
      <c r="N395" s="9" t="n">
        <v>20139.86</v>
      </c>
      <c r="O395" s="9" t="n">
        <v>20139.86</v>
      </c>
      <c r="P395" s="8" t="n">
        <v>0</v>
      </c>
      <c r="Q395" s="8" t="n">
        <v>0</v>
      </c>
    </row>
    <row r="396">
      <c r="A396" s="8" t="n">
        <v>45</v>
      </c>
      <c r="B396" s="8" t="inlineStr">
        <is>
          <t>CASH_OUT</t>
        </is>
      </c>
      <c r="C396" s="9" t="n">
        <v>143123.22</v>
      </c>
      <c r="D396" s="8" t="inlineStr">
        <is>
          <t>C1144757939</t>
        </is>
      </c>
      <c r="E396" s="9" t="n">
        <v>302318</v>
      </c>
      <c r="F396" s="9" t="n">
        <v>159194.78</v>
      </c>
      <c r="G396" s="8" t="inlineStr">
        <is>
          <t>C1903423539</t>
        </is>
      </c>
      <c r="H396" s="9" t="n">
        <v>568567.1</v>
      </c>
      <c r="I396" s="9" t="n">
        <v>711690.3100000001</v>
      </c>
      <c r="J396" s="10" t="n">
        <v>0</v>
      </c>
      <c r="K396" s="8" t="n">
        <v>0</v>
      </c>
      <c r="L396" s="8" t="n">
        <v>1</v>
      </c>
      <c r="M396" s="9" t="n">
        <v>266249.1</v>
      </c>
      <c r="N396" s="9" t="n">
        <v>0</v>
      </c>
      <c r="O396" s="9" t="n">
        <v>0.01</v>
      </c>
      <c r="P396" s="8" t="n">
        <v>1</v>
      </c>
      <c r="Q396" s="8" t="n">
        <v>1</v>
      </c>
    </row>
    <row r="397">
      <c r="A397" s="8" t="n">
        <v>138</v>
      </c>
      <c r="B397" s="8" t="inlineStr">
        <is>
          <t>CASH_OUT</t>
        </is>
      </c>
      <c r="C397" s="9" t="n">
        <v>68958.50999999999</v>
      </c>
      <c r="D397" s="8" t="inlineStr">
        <is>
          <t>C693188414</t>
        </is>
      </c>
      <c r="E397" s="9" t="n">
        <v>0</v>
      </c>
      <c r="F397" s="9" t="n">
        <v>0</v>
      </c>
      <c r="G397" s="8" t="inlineStr">
        <is>
          <t>C1305206206</t>
        </is>
      </c>
      <c r="H397" s="9" t="n">
        <v>145298.88</v>
      </c>
      <c r="I397" s="9" t="n">
        <v>214257.4</v>
      </c>
      <c r="J397" s="10" t="n">
        <v>0</v>
      </c>
      <c r="K397" s="8" t="n">
        <v>0</v>
      </c>
      <c r="L397" s="8" t="n">
        <v>1</v>
      </c>
      <c r="M397" s="9" t="n">
        <v>145298.88</v>
      </c>
      <c r="N397" s="9" t="n">
        <v>68958.50999999999</v>
      </c>
      <c r="O397" s="9" t="n">
        <v>-0.01</v>
      </c>
      <c r="P397" s="8" t="n">
        <v>1</v>
      </c>
      <c r="Q397" s="8" t="n">
        <v>0</v>
      </c>
    </row>
    <row r="398">
      <c r="A398" s="8" t="n">
        <v>158</v>
      </c>
      <c r="B398" s="8" t="inlineStr">
        <is>
          <t>CASH_OUT</t>
        </is>
      </c>
      <c r="C398" s="9" t="n">
        <v>358229.38</v>
      </c>
      <c r="D398" s="8" t="inlineStr">
        <is>
          <t>C595279645</t>
        </is>
      </c>
      <c r="E398" s="9" t="n">
        <v>21127</v>
      </c>
      <c r="F398" s="9" t="n">
        <v>0</v>
      </c>
      <c r="G398" s="8" t="inlineStr">
        <is>
          <t>C834047596</t>
        </is>
      </c>
      <c r="H398" s="9" t="n">
        <v>0</v>
      </c>
      <c r="I398" s="9" t="n">
        <v>358229.38</v>
      </c>
      <c r="J398" s="10" t="n">
        <v>0</v>
      </c>
      <c r="K398" s="8" t="n">
        <v>0</v>
      </c>
      <c r="L398" s="8" t="n">
        <v>1</v>
      </c>
      <c r="M398" s="9" t="n">
        <v>21127</v>
      </c>
      <c r="N398" s="9" t="n">
        <v>337102.38</v>
      </c>
      <c r="O398" s="9" t="n">
        <v>0</v>
      </c>
      <c r="P398" s="8" t="n">
        <v>1</v>
      </c>
      <c r="Q398" s="8" t="n">
        <v>0</v>
      </c>
    </row>
    <row r="399">
      <c r="A399" s="8" t="n">
        <v>274</v>
      </c>
      <c r="B399" s="8" t="inlineStr">
        <is>
          <t>TRANSFER</t>
        </is>
      </c>
      <c r="C399" s="9" t="n">
        <v>982414.0600000001</v>
      </c>
      <c r="D399" s="8" t="inlineStr">
        <is>
          <t>C837087174</t>
        </is>
      </c>
      <c r="E399" s="9" t="n">
        <v>982414.0600000001</v>
      </c>
      <c r="F399" s="9" t="n">
        <v>0</v>
      </c>
      <c r="G399" s="8" t="inlineStr">
        <is>
          <t>C2003416160</t>
        </is>
      </c>
      <c r="H399" s="9" t="n">
        <v>0</v>
      </c>
      <c r="I399" s="9" t="n">
        <v>0</v>
      </c>
      <c r="J399" s="11" t="n">
        <v>1</v>
      </c>
      <c r="K399" s="8" t="n">
        <v>0</v>
      </c>
      <c r="L399" s="8" t="n">
        <v>1</v>
      </c>
      <c r="M399" s="9" t="n">
        <v>982414.0600000001</v>
      </c>
      <c r="N399" s="9" t="n">
        <v>0</v>
      </c>
      <c r="O399" s="9" t="n">
        <v>982414.0600000001</v>
      </c>
      <c r="P399" s="8" t="n">
        <v>1</v>
      </c>
      <c r="Q399" s="8" t="n">
        <v>1</v>
      </c>
    </row>
    <row r="400">
      <c r="A400" s="8" t="n">
        <v>350</v>
      </c>
      <c r="B400" s="8" t="inlineStr">
        <is>
          <t>DEBIT</t>
        </is>
      </c>
      <c r="C400" s="9" t="n">
        <v>3281.5</v>
      </c>
      <c r="D400" s="8" t="inlineStr">
        <is>
          <t>C1887878016</t>
        </is>
      </c>
      <c r="E400" s="9" t="n">
        <v>28439</v>
      </c>
      <c r="F400" s="9" t="n">
        <v>25157.5</v>
      </c>
      <c r="G400" s="8" t="inlineStr">
        <is>
          <t>C808924837</t>
        </is>
      </c>
      <c r="H400" s="9" t="n">
        <v>155773.91</v>
      </c>
      <c r="I400" s="9" t="n">
        <v>159055.42</v>
      </c>
      <c r="J400" s="10" t="n">
        <v>0</v>
      </c>
      <c r="K400" s="8" t="n">
        <v>1</v>
      </c>
      <c r="L400" s="8" t="n">
        <v>0</v>
      </c>
      <c r="M400" s="9" t="n">
        <v>127334.91</v>
      </c>
      <c r="N400" s="9" t="n">
        <v>0</v>
      </c>
      <c r="O400" s="9" t="n">
        <v>-0.01</v>
      </c>
      <c r="P400" s="8" t="n">
        <v>1</v>
      </c>
      <c r="Q400" s="8" t="n">
        <v>1</v>
      </c>
    </row>
    <row r="401">
      <c r="A401" s="8" t="n">
        <v>378</v>
      </c>
      <c r="B401" s="8" t="inlineStr">
        <is>
          <t>PAYMENT</t>
        </is>
      </c>
      <c r="C401" s="9" t="n">
        <v>36950.76</v>
      </c>
      <c r="D401" s="8" t="inlineStr">
        <is>
          <t>C242560129</t>
        </is>
      </c>
      <c r="E401" s="9" t="n">
        <v>0</v>
      </c>
      <c r="F401" s="9" t="n">
        <v>0</v>
      </c>
      <c r="G401" s="8" t="inlineStr">
        <is>
          <t>M2132887754</t>
        </is>
      </c>
      <c r="H401" s="9" t="n">
        <v>0</v>
      </c>
      <c r="I401" s="9" t="n">
        <v>0</v>
      </c>
      <c r="J401" s="10" t="n">
        <v>0</v>
      </c>
      <c r="K401" s="8" t="n">
        <v>1</v>
      </c>
      <c r="L401" s="8" t="n">
        <v>0</v>
      </c>
      <c r="M401" s="9" t="n">
        <v>0</v>
      </c>
      <c r="N401" s="9" t="n">
        <v>36950.76</v>
      </c>
      <c r="O401" s="9" t="n">
        <v>36950.76</v>
      </c>
      <c r="P401" s="8" t="n">
        <v>0</v>
      </c>
      <c r="Q401" s="8" t="n">
        <v>0</v>
      </c>
    </row>
    <row r="402">
      <c r="A402" s="8" t="n">
        <v>43</v>
      </c>
      <c r="B402" s="8" t="inlineStr">
        <is>
          <t>CASH_IN</t>
        </is>
      </c>
      <c r="C402" s="9" t="n">
        <v>197123.11</v>
      </c>
      <c r="D402" s="8" t="inlineStr">
        <is>
          <t>C1370660036</t>
        </is>
      </c>
      <c r="E402" s="9" t="n">
        <v>0</v>
      </c>
      <c r="F402" s="9" t="n">
        <v>197123.11</v>
      </c>
      <c r="G402" s="8" t="inlineStr">
        <is>
          <t>C2026315441</t>
        </is>
      </c>
      <c r="H402" s="9" t="n">
        <v>12884118.49</v>
      </c>
      <c r="I402" s="9" t="n">
        <v>12686995.38</v>
      </c>
      <c r="J402" s="10" t="n">
        <v>0</v>
      </c>
      <c r="K402" s="8" t="n">
        <v>0</v>
      </c>
      <c r="L402" s="8" t="n">
        <v>0</v>
      </c>
      <c r="M402" s="9" t="n">
        <v>12884118.49</v>
      </c>
      <c r="N402" s="9" t="n">
        <v>394246.22</v>
      </c>
      <c r="O402" s="9" t="n">
        <v>394246.22</v>
      </c>
      <c r="P402" s="8" t="n">
        <v>1</v>
      </c>
      <c r="Q402" s="8" t="n">
        <v>0</v>
      </c>
    </row>
    <row r="403">
      <c r="A403" s="8" t="n">
        <v>235</v>
      </c>
      <c r="B403" s="8" t="inlineStr">
        <is>
          <t>TRANSFER</t>
        </is>
      </c>
      <c r="C403" s="9" t="n">
        <v>1369544.19</v>
      </c>
      <c r="D403" s="8" t="inlineStr">
        <is>
          <t>C1336273672</t>
        </is>
      </c>
      <c r="E403" s="9" t="n">
        <v>1369544.19</v>
      </c>
      <c r="F403" s="9" t="n">
        <v>0</v>
      </c>
      <c r="G403" s="8" t="inlineStr">
        <is>
          <t>C1534512884</t>
        </is>
      </c>
      <c r="H403" s="9" t="n">
        <v>0</v>
      </c>
      <c r="I403" s="9" t="n">
        <v>0</v>
      </c>
      <c r="J403" s="11" t="n">
        <v>1</v>
      </c>
      <c r="K403" s="8" t="n">
        <v>0</v>
      </c>
      <c r="L403" s="8" t="n">
        <v>1</v>
      </c>
      <c r="M403" s="9" t="n">
        <v>1369544.19</v>
      </c>
      <c r="N403" s="9" t="n">
        <v>0</v>
      </c>
      <c r="O403" s="9" t="n">
        <v>1369544.19</v>
      </c>
      <c r="P403" s="8" t="n">
        <v>1</v>
      </c>
      <c r="Q403" s="8" t="n">
        <v>1</v>
      </c>
    </row>
    <row r="404">
      <c r="A404" s="8" t="n">
        <v>2</v>
      </c>
      <c r="B404" s="8" t="inlineStr">
        <is>
          <t>CASH_OUT</t>
        </is>
      </c>
      <c r="C404" s="9" t="n">
        <v>1096187.24</v>
      </c>
      <c r="D404" s="8" t="inlineStr">
        <is>
          <t>C77163673</t>
        </is>
      </c>
      <c r="E404" s="9" t="n">
        <v>1096187.24</v>
      </c>
      <c r="F404" s="9" t="n">
        <v>0</v>
      </c>
      <c r="G404" s="8" t="inlineStr">
        <is>
          <t>C644345897</t>
        </is>
      </c>
      <c r="H404" s="9" t="n">
        <v>0</v>
      </c>
      <c r="I404" s="9" t="n">
        <v>1096187.24</v>
      </c>
      <c r="J404" s="11" t="n">
        <v>1</v>
      </c>
      <c r="K404" s="8" t="n">
        <v>0</v>
      </c>
      <c r="L404" s="8" t="n">
        <v>1</v>
      </c>
      <c r="M404" s="9" t="n">
        <v>1096187.24</v>
      </c>
      <c r="N404" s="9" t="n">
        <v>0</v>
      </c>
      <c r="O404" s="9" t="n">
        <v>0</v>
      </c>
      <c r="P404" s="8" t="n">
        <v>1</v>
      </c>
      <c r="Q404" s="8" t="n">
        <v>1</v>
      </c>
    </row>
    <row r="405">
      <c r="A405" s="8" t="n">
        <v>346</v>
      </c>
      <c r="B405" s="8" t="inlineStr">
        <is>
          <t>CASH_OUT</t>
        </is>
      </c>
      <c r="C405" s="9" t="n">
        <v>221321.87</v>
      </c>
      <c r="D405" s="8" t="inlineStr">
        <is>
          <t>C1410223005</t>
        </is>
      </c>
      <c r="E405" s="9" t="n">
        <v>25206</v>
      </c>
      <c r="F405" s="9" t="n">
        <v>0</v>
      </c>
      <c r="G405" s="8" t="inlineStr">
        <is>
          <t>C1998690667</t>
        </is>
      </c>
      <c r="H405" s="9" t="n">
        <v>1778061.25</v>
      </c>
      <c r="I405" s="9" t="n">
        <v>1999383.13</v>
      </c>
      <c r="J405" s="10" t="n">
        <v>0</v>
      </c>
      <c r="K405" s="8" t="n">
        <v>0</v>
      </c>
      <c r="L405" s="8" t="n">
        <v>1</v>
      </c>
      <c r="M405" s="9" t="n">
        <v>1752855.25</v>
      </c>
      <c r="N405" s="9" t="n">
        <v>196115.87</v>
      </c>
      <c r="O405" s="9" t="n">
        <v>-0.01</v>
      </c>
      <c r="P405" s="8" t="n">
        <v>1</v>
      </c>
      <c r="Q405" s="8" t="n">
        <v>0</v>
      </c>
    </row>
    <row r="406">
      <c r="A406" s="8" t="n">
        <v>131</v>
      </c>
      <c r="B406" s="8" t="inlineStr">
        <is>
          <t>CASH_OUT</t>
        </is>
      </c>
      <c r="C406" s="9" t="n">
        <v>330944.22</v>
      </c>
      <c r="D406" s="8" t="inlineStr">
        <is>
          <t>C1228974915</t>
        </is>
      </c>
      <c r="E406" s="9" t="n">
        <v>0</v>
      </c>
      <c r="F406" s="9" t="n">
        <v>0</v>
      </c>
      <c r="G406" s="8" t="inlineStr">
        <is>
          <t>C1485034389</t>
        </is>
      </c>
      <c r="H406" s="9" t="n">
        <v>970342.5699999999</v>
      </c>
      <c r="I406" s="9" t="n">
        <v>1301286.79</v>
      </c>
      <c r="J406" s="10" t="n">
        <v>0</v>
      </c>
      <c r="K406" s="8" t="n">
        <v>0</v>
      </c>
      <c r="L406" s="8" t="n">
        <v>1</v>
      </c>
      <c r="M406" s="9" t="n">
        <v>970342.5699999999</v>
      </c>
      <c r="N406" s="9" t="n">
        <v>330944.22</v>
      </c>
      <c r="O406" s="9" t="n">
        <v>0</v>
      </c>
      <c r="P406" s="8" t="n">
        <v>1</v>
      </c>
      <c r="Q406" s="8" t="n">
        <v>0</v>
      </c>
    </row>
    <row r="407">
      <c r="A407" s="8" t="n">
        <v>273</v>
      </c>
      <c r="B407" s="8" t="inlineStr">
        <is>
          <t>CASH_IN</t>
        </is>
      </c>
      <c r="C407" s="9" t="n">
        <v>47889.15</v>
      </c>
      <c r="D407" s="8" t="inlineStr">
        <is>
          <t>C1958898955</t>
        </is>
      </c>
      <c r="E407" s="9" t="n">
        <v>5424481.7</v>
      </c>
      <c r="F407" s="9" t="n">
        <v>5472370.85</v>
      </c>
      <c r="G407" s="8" t="inlineStr">
        <is>
          <t>C1235336315</t>
        </is>
      </c>
      <c r="H407" s="9" t="n">
        <v>284413.64</v>
      </c>
      <c r="I407" s="9" t="n">
        <v>236524.49</v>
      </c>
      <c r="J407" s="10" t="n">
        <v>0</v>
      </c>
      <c r="K407" s="8" t="n">
        <v>0</v>
      </c>
      <c r="L407" s="8" t="n">
        <v>0</v>
      </c>
      <c r="M407" s="9" t="n">
        <v>5140068.060000001</v>
      </c>
      <c r="N407" s="9" t="n">
        <v>95778.3</v>
      </c>
      <c r="O407" s="9" t="n">
        <v>95778.3</v>
      </c>
      <c r="P407" s="8" t="n">
        <v>1</v>
      </c>
      <c r="Q407" s="8" t="n">
        <v>0</v>
      </c>
    </row>
    <row r="408">
      <c r="A408" s="8" t="n">
        <v>406</v>
      </c>
      <c r="B408" s="8" t="inlineStr">
        <is>
          <t>TRANSFER</t>
        </is>
      </c>
      <c r="C408" s="9" t="n">
        <v>2426076.89</v>
      </c>
      <c r="D408" s="8" t="inlineStr">
        <is>
          <t>C64180102</t>
        </is>
      </c>
      <c r="E408" s="9" t="n">
        <v>2426076.89</v>
      </c>
      <c r="F408" s="9" t="n">
        <v>0</v>
      </c>
      <c r="G408" s="8" t="inlineStr">
        <is>
          <t>C902434449</t>
        </is>
      </c>
      <c r="H408" s="9" t="n">
        <v>0</v>
      </c>
      <c r="I408" s="9" t="n">
        <v>0</v>
      </c>
      <c r="J408" s="11" t="n">
        <v>1</v>
      </c>
      <c r="K408" s="8" t="n">
        <v>0</v>
      </c>
      <c r="L408" s="8" t="n">
        <v>1</v>
      </c>
      <c r="M408" s="9" t="n">
        <v>2426076.89</v>
      </c>
      <c r="N408" s="9" t="n">
        <v>0</v>
      </c>
      <c r="O408" s="9" t="n">
        <v>2426076.89</v>
      </c>
      <c r="P408" s="8" t="n">
        <v>1</v>
      </c>
      <c r="Q408" s="8" t="n">
        <v>1</v>
      </c>
    </row>
    <row r="409">
      <c r="A409" s="8" t="n">
        <v>309</v>
      </c>
      <c r="B409" s="8" t="inlineStr">
        <is>
          <t>PAYMENT</t>
        </is>
      </c>
      <c r="C409" s="9" t="n">
        <v>12343.96</v>
      </c>
      <c r="D409" s="8" t="inlineStr">
        <is>
          <t>C1736533942</t>
        </is>
      </c>
      <c r="E409" s="9" t="n">
        <v>0</v>
      </c>
      <c r="F409" s="9" t="n">
        <v>0</v>
      </c>
      <c r="G409" s="8" t="inlineStr">
        <is>
          <t>M49552858</t>
        </is>
      </c>
      <c r="H409" s="9" t="n">
        <v>0</v>
      </c>
      <c r="I409" s="9" t="n">
        <v>0</v>
      </c>
      <c r="J409" s="10" t="n">
        <v>0</v>
      </c>
      <c r="K409" s="8" t="n">
        <v>1</v>
      </c>
      <c r="L409" s="8" t="n">
        <v>0</v>
      </c>
      <c r="M409" s="9" t="n">
        <v>0</v>
      </c>
      <c r="N409" s="9" t="n">
        <v>12343.96</v>
      </c>
      <c r="O409" s="9" t="n">
        <v>12343.96</v>
      </c>
      <c r="P409" s="8" t="n">
        <v>0</v>
      </c>
      <c r="Q409" s="8" t="n">
        <v>0</v>
      </c>
    </row>
    <row r="410">
      <c r="A410" s="8" t="n">
        <v>518</v>
      </c>
      <c r="B410" s="8" t="inlineStr">
        <is>
          <t>CASH_OUT</t>
        </is>
      </c>
      <c r="C410" s="9" t="n">
        <v>167294.58</v>
      </c>
      <c r="D410" s="8" t="inlineStr">
        <is>
          <t>C1995904427</t>
        </is>
      </c>
      <c r="E410" s="9" t="n">
        <v>41270</v>
      </c>
      <c r="F410" s="9" t="n">
        <v>0</v>
      </c>
      <c r="G410" s="8" t="inlineStr">
        <is>
          <t>C793377256</t>
        </is>
      </c>
      <c r="H410" s="9" t="n">
        <v>1169489.44</v>
      </c>
      <c r="I410" s="9" t="n">
        <v>1336784.02</v>
      </c>
      <c r="J410" s="10" t="n">
        <v>0</v>
      </c>
      <c r="K410" s="8" t="n">
        <v>0</v>
      </c>
      <c r="L410" s="8" t="n">
        <v>1</v>
      </c>
      <c r="M410" s="9" t="n">
        <v>1128219.44</v>
      </c>
      <c r="N410" s="9" t="n">
        <v>126024.58</v>
      </c>
      <c r="O410" s="9" t="n">
        <v>0</v>
      </c>
      <c r="P410" s="8" t="n">
        <v>1</v>
      </c>
      <c r="Q410" s="8" t="n">
        <v>0</v>
      </c>
    </row>
    <row r="411">
      <c r="A411" s="8" t="n">
        <v>352</v>
      </c>
      <c r="B411" s="8" t="inlineStr">
        <is>
          <t>CASH_IN</t>
        </is>
      </c>
      <c r="C411" s="9" t="n">
        <v>159798.93</v>
      </c>
      <c r="D411" s="8" t="inlineStr">
        <is>
          <t>C1260598470</t>
        </is>
      </c>
      <c r="E411" s="9" t="n">
        <v>5336477.22</v>
      </c>
      <c r="F411" s="9" t="n">
        <v>5496276.15</v>
      </c>
      <c r="G411" s="8" t="inlineStr">
        <is>
          <t>C1339235554</t>
        </is>
      </c>
      <c r="H411" s="9" t="n">
        <v>479033.39</v>
      </c>
      <c r="I411" s="9" t="n">
        <v>319234.46</v>
      </c>
      <c r="J411" s="10" t="n">
        <v>0</v>
      </c>
      <c r="K411" s="8" t="n">
        <v>0</v>
      </c>
      <c r="L411" s="8" t="n">
        <v>0</v>
      </c>
      <c r="M411" s="9" t="n">
        <v>4857443.83</v>
      </c>
      <c r="N411" s="9" t="n">
        <v>319597.86</v>
      </c>
      <c r="O411" s="9" t="n">
        <v>319597.86</v>
      </c>
      <c r="P411" s="8" t="n">
        <v>1</v>
      </c>
      <c r="Q411" s="8" t="n">
        <v>0</v>
      </c>
    </row>
    <row r="412">
      <c r="A412" s="8" t="n">
        <v>181</v>
      </c>
      <c r="B412" s="8" t="inlineStr">
        <is>
          <t>PAYMENT</t>
        </is>
      </c>
      <c r="C412" s="9" t="n">
        <v>3325.36</v>
      </c>
      <c r="D412" s="8" t="inlineStr">
        <is>
          <t>C1054374370</t>
        </is>
      </c>
      <c r="E412" s="9" t="n">
        <v>0</v>
      </c>
      <c r="F412" s="9" t="n">
        <v>0</v>
      </c>
      <c r="G412" s="8" t="inlineStr">
        <is>
          <t>M411510279</t>
        </is>
      </c>
      <c r="H412" s="9" t="n">
        <v>0</v>
      </c>
      <c r="I412" s="9" t="n">
        <v>0</v>
      </c>
      <c r="J412" s="10" t="n">
        <v>0</v>
      </c>
      <c r="K412" s="8" t="n">
        <v>1</v>
      </c>
      <c r="L412" s="8" t="n">
        <v>0</v>
      </c>
      <c r="M412" s="9" t="n">
        <v>0</v>
      </c>
      <c r="N412" s="9" t="n">
        <v>3325.36</v>
      </c>
      <c r="O412" s="9" t="n">
        <v>3325.36</v>
      </c>
      <c r="P412" s="8" t="n">
        <v>0</v>
      </c>
      <c r="Q412" s="8" t="n">
        <v>0</v>
      </c>
    </row>
    <row r="413">
      <c r="A413" s="8" t="n">
        <v>330</v>
      </c>
      <c r="B413" s="8" t="inlineStr">
        <is>
          <t>PAYMENT</t>
        </is>
      </c>
      <c r="C413" s="9" t="n">
        <v>1961.86</v>
      </c>
      <c r="D413" s="8" t="inlineStr">
        <is>
          <t>C1502345731</t>
        </is>
      </c>
      <c r="E413" s="9" t="n">
        <v>0</v>
      </c>
      <c r="F413" s="9" t="n">
        <v>0</v>
      </c>
      <c r="G413" s="8" t="inlineStr">
        <is>
          <t>M198076240</t>
        </is>
      </c>
      <c r="H413" s="9" t="n">
        <v>0</v>
      </c>
      <c r="I413" s="9" t="n">
        <v>0</v>
      </c>
      <c r="J413" s="10" t="n">
        <v>0</v>
      </c>
      <c r="K413" s="8" t="n">
        <v>1</v>
      </c>
      <c r="L413" s="8" t="n">
        <v>0</v>
      </c>
      <c r="M413" s="9" t="n">
        <v>0</v>
      </c>
      <c r="N413" s="9" t="n">
        <v>1961.86</v>
      </c>
      <c r="O413" s="9" t="n">
        <v>1961.86</v>
      </c>
      <c r="P413" s="8" t="n">
        <v>0</v>
      </c>
      <c r="Q413" s="8" t="n">
        <v>0</v>
      </c>
    </row>
    <row r="414">
      <c r="A414" s="8" t="n">
        <v>330</v>
      </c>
      <c r="B414" s="8" t="inlineStr">
        <is>
          <t>PAYMENT</t>
        </is>
      </c>
      <c r="C414" s="9" t="n">
        <v>23768.57</v>
      </c>
      <c r="D414" s="8" t="inlineStr">
        <is>
          <t>C341896442</t>
        </is>
      </c>
      <c r="E414" s="9" t="n">
        <v>705</v>
      </c>
      <c r="F414" s="9" t="n">
        <v>0</v>
      </c>
      <c r="G414" s="8" t="inlineStr">
        <is>
          <t>M190065520</t>
        </is>
      </c>
      <c r="H414" s="9" t="n">
        <v>0</v>
      </c>
      <c r="I414" s="9" t="n">
        <v>0</v>
      </c>
      <c r="J414" s="10" t="n">
        <v>0</v>
      </c>
      <c r="K414" s="8" t="n">
        <v>1</v>
      </c>
      <c r="L414" s="8" t="n">
        <v>0</v>
      </c>
      <c r="M414" s="9" t="n">
        <v>705</v>
      </c>
      <c r="N414" s="9" t="n">
        <v>23063.57</v>
      </c>
      <c r="O414" s="9" t="n">
        <v>23768.57</v>
      </c>
      <c r="P414" s="8" t="n">
        <v>0</v>
      </c>
      <c r="Q414" s="8" t="n">
        <v>0</v>
      </c>
    </row>
    <row r="415">
      <c r="A415" s="8" t="n">
        <v>211</v>
      </c>
      <c r="B415" s="8" t="inlineStr">
        <is>
          <t>CASH_OUT</t>
        </is>
      </c>
      <c r="C415" s="9" t="n">
        <v>58528.62</v>
      </c>
      <c r="D415" s="8" t="inlineStr">
        <is>
          <t>C411043016</t>
        </is>
      </c>
      <c r="E415" s="9" t="n">
        <v>2044</v>
      </c>
      <c r="F415" s="9" t="n">
        <v>0</v>
      </c>
      <c r="G415" s="8" t="inlineStr">
        <is>
          <t>C1832936189</t>
        </is>
      </c>
      <c r="H415" s="9" t="n">
        <v>5770348.15</v>
      </c>
      <c r="I415" s="9" t="n">
        <v>5828876.78</v>
      </c>
      <c r="J415" s="10" t="n">
        <v>0</v>
      </c>
      <c r="K415" s="8" t="n">
        <v>0</v>
      </c>
      <c r="L415" s="8" t="n">
        <v>1</v>
      </c>
      <c r="M415" s="9" t="n">
        <v>5768304.15</v>
      </c>
      <c r="N415" s="9" t="n">
        <v>56484.62</v>
      </c>
      <c r="O415" s="9" t="n">
        <v>-0.01</v>
      </c>
      <c r="P415" s="8" t="n">
        <v>1</v>
      </c>
      <c r="Q415" s="8" t="n">
        <v>0</v>
      </c>
    </row>
    <row r="416">
      <c r="A416" s="8" t="n">
        <v>156</v>
      </c>
      <c r="B416" s="8" t="inlineStr">
        <is>
          <t>CASH_OUT</t>
        </is>
      </c>
      <c r="C416" s="9" t="n">
        <v>773696.12</v>
      </c>
      <c r="D416" s="8" t="inlineStr">
        <is>
          <t>C1433143249</t>
        </is>
      </c>
      <c r="E416" s="9" t="n">
        <v>773696.12</v>
      </c>
      <c r="F416" s="9" t="n">
        <v>0</v>
      </c>
      <c r="G416" s="8" t="inlineStr">
        <is>
          <t>C2122364089</t>
        </is>
      </c>
      <c r="H416" s="9" t="n">
        <v>0</v>
      </c>
      <c r="I416" s="9" t="n">
        <v>773696.12</v>
      </c>
      <c r="J416" s="11" t="n">
        <v>1</v>
      </c>
      <c r="K416" s="8" t="n">
        <v>0</v>
      </c>
      <c r="L416" s="8" t="n">
        <v>1</v>
      </c>
      <c r="M416" s="9" t="n">
        <v>773696.12</v>
      </c>
      <c r="N416" s="9" t="n">
        <v>0</v>
      </c>
      <c r="O416" s="9" t="n">
        <v>0</v>
      </c>
      <c r="P416" s="8" t="n">
        <v>1</v>
      </c>
      <c r="Q416" s="8" t="n">
        <v>1</v>
      </c>
    </row>
    <row r="417">
      <c r="A417" s="8" t="n">
        <v>185</v>
      </c>
      <c r="B417" s="8" t="inlineStr">
        <is>
          <t>CASH_OUT</t>
        </is>
      </c>
      <c r="C417" s="9" t="n">
        <v>19404.45</v>
      </c>
      <c r="D417" s="8" t="inlineStr">
        <is>
          <t>C1640732829</t>
        </is>
      </c>
      <c r="E417" s="9" t="n">
        <v>167248.55</v>
      </c>
      <c r="F417" s="9" t="n">
        <v>147844.1</v>
      </c>
      <c r="G417" s="8" t="inlineStr">
        <is>
          <t>C455560652</t>
        </is>
      </c>
      <c r="H417" s="9" t="n">
        <v>1496064.89</v>
      </c>
      <c r="I417" s="9" t="n">
        <v>1515469.34</v>
      </c>
      <c r="J417" s="10" t="n">
        <v>0</v>
      </c>
      <c r="K417" s="8" t="n">
        <v>0</v>
      </c>
      <c r="L417" s="8" t="n">
        <v>1</v>
      </c>
      <c r="M417" s="9" t="n">
        <v>1328816.34</v>
      </c>
      <c r="N417" s="9" t="n">
        <v>0</v>
      </c>
      <c r="O417" s="9" t="n">
        <v>-0</v>
      </c>
      <c r="P417" s="8" t="n">
        <v>1</v>
      </c>
      <c r="Q417" s="8" t="n">
        <v>1</v>
      </c>
    </row>
    <row r="418">
      <c r="A418" s="8" t="n">
        <v>449</v>
      </c>
      <c r="B418" s="8" t="inlineStr">
        <is>
          <t>TRANSFER</t>
        </is>
      </c>
      <c r="C418" s="9" t="n">
        <v>166880.54</v>
      </c>
      <c r="D418" s="8" t="inlineStr">
        <is>
          <t>C692202599</t>
        </is>
      </c>
      <c r="E418" s="9" t="n">
        <v>166880.54</v>
      </c>
      <c r="F418" s="9" t="n">
        <v>0</v>
      </c>
      <c r="G418" s="8" t="inlineStr">
        <is>
          <t>C1404927892</t>
        </is>
      </c>
      <c r="H418" s="9" t="n">
        <v>0</v>
      </c>
      <c r="I418" s="9" t="n">
        <v>0</v>
      </c>
      <c r="J418" s="11" t="n">
        <v>1</v>
      </c>
      <c r="K418" s="8" t="n">
        <v>0</v>
      </c>
      <c r="L418" s="8" t="n">
        <v>1</v>
      </c>
      <c r="M418" s="9" t="n">
        <v>166880.54</v>
      </c>
      <c r="N418" s="9" t="n">
        <v>0</v>
      </c>
      <c r="O418" s="9" t="n">
        <v>166880.54</v>
      </c>
      <c r="P418" s="8" t="n">
        <v>1</v>
      </c>
      <c r="Q418" s="8" t="n">
        <v>1</v>
      </c>
    </row>
    <row r="419">
      <c r="A419" s="8" t="n">
        <v>189</v>
      </c>
      <c r="B419" s="8" t="inlineStr">
        <is>
          <t>TRANSFER</t>
        </is>
      </c>
      <c r="C419" s="9" t="n">
        <v>32676.96</v>
      </c>
      <c r="D419" s="8" t="inlineStr">
        <is>
          <t>C1954412573</t>
        </is>
      </c>
      <c r="E419" s="9" t="n">
        <v>0</v>
      </c>
      <c r="F419" s="9" t="n">
        <v>0</v>
      </c>
      <c r="G419" s="8" t="inlineStr">
        <is>
          <t>C643581004</t>
        </is>
      </c>
      <c r="H419" s="9" t="n">
        <v>1339776.79</v>
      </c>
      <c r="I419" s="9" t="n">
        <v>1372453.75</v>
      </c>
      <c r="J419" s="10" t="n">
        <v>0</v>
      </c>
      <c r="K419" s="8" t="n">
        <v>0</v>
      </c>
      <c r="L419" s="8" t="n">
        <v>1</v>
      </c>
      <c r="M419" s="9" t="n">
        <v>1339776.79</v>
      </c>
      <c r="N419" s="9" t="n">
        <v>32676.96</v>
      </c>
      <c r="O419" s="9" t="n">
        <v>0</v>
      </c>
      <c r="P419" s="8" t="n">
        <v>1</v>
      </c>
      <c r="Q419" s="8" t="n">
        <v>0</v>
      </c>
    </row>
    <row r="420">
      <c r="A420" s="8" t="n">
        <v>393</v>
      </c>
      <c r="B420" s="8" t="inlineStr">
        <is>
          <t>PAYMENT</t>
        </is>
      </c>
      <c r="C420" s="9" t="n">
        <v>11442.15</v>
      </c>
      <c r="D420" s="8" t="inlineStr">
        <is>
          <t>C2137640583</t>
        </is>
      </c>
      <c r="E420" s="9" t="n">
        <v>44336</v>
      </c>
      <c r="F420" s="9" t="n">
        <v>32893.85</v>
      </c>
      <c r="G420" s="8" t="inlineStr">
        <is>
          <t>M848034827</t>
        </is>
      </c>
      <c r="H420" s="9" t="n">
        <v>0</v>
      </c>
      <c r="I420" s="9" t="n">
        <v>0</v>
      </c>
      <c r="J420" s="10" t="n">
        <v>0</v>
      </c>
      <c r="K420" s="8" t="n">
        <v>1</v>
      </c>
      <c r="L420" s="8" t="n">
        <v>0</v>
      </c>
      <c r="M420" s="9" t="n">
        <v>44336</v>
      </c>
      <c r="N420" s="9" t="n">
        <v>0</v>
      </c>
      <c r="O420" s="9" t="n">
        <v>11442.15</v>
      </c>
      <c r="P420" s="8" t="n">
        <v>0</v>
      </c>
      <c r="Q420" s="8" t="n">
        <v>1</v>
      </c>
    </row>
    <row r="421">
      <c r="A421" s="8" t="n">
        <v>177</v>
      </c>
      <c r="B421" s="8" t="inlineStr">
        <is>
          <t>PAYMENT</t>
        </is>
      </c>
      <c r="C421" s="9" t="n">
        <v>281.99</v>
      </c>
      <c r="D421" s="8" t="inlineStr">
        <is>
          <t>C1303448505</t>
        </is>
      </c>
      <c r="E421" s="9" t="n">
        <v>0</v>
      </c>
      <c r="F421" s="9" t="n">
        <v>0</v>
      </c>
      <c r="G421" s="8" t="inlineStr">
        <is>
          <t>M1403330146</t>
        </is>
      </c>
      <c r="H421" s="9" t="n">
        <v>0</v>
      </c>
      <c r="I421" s="9" t="n">
        <v>0</v>
      </c>
      <c r="J421" s="10" t="n">
        <v>0</v>
      </c>
      <c r="K421" s="8" t="n">
        <v>1</v>
      </c>
      <c r="L421" s="8" t="n">
        <v>0</v>
      </c>
      <c r="M421" s="9" t="n">
        <v>0</v>
      </c>
      <c r="N421" s="9" t="n">
        <v>281.99</v>
      </c>
      <c r="O421" s="9" t="n">
        <v>281.99</v>
      </c>
      <c r="P421" s="8" t="n">
        <v>0</v>
      </c>
      <c r="Q421" s="8" t="n">
        <v>0</v>
      </c>
    </row>
    <row r="422">
      <c r="A422" s="8" t="n">
        <v>160</v>
      </c>
      <c r="B422" s="8" t="inlineStr">
        <is>
          <t>CASH_OUT</t>
        </is>
      </c>
      <c r="C422" s="9" t="n">
        <v>10000000</v>
      </c>
      <c r="D422" s="8" t="inlineStr">
        <is>
          <t>C525906402</t>
        </is>
      </c>
      <c r="E422" s="9" t="n">
        <v>10000000</v>
      </c>
      <c r="F422" s="9" t="n">
        <v>0</v>
      </c>
      <c r="G422" s="8" t="inlineStr">
        <is>
          <t>C43869769</t>
        </is>
      </c>
      <c r="H422" s="9" t="n">
        <v>2145275.47</v>
      </c>
      <c r="I422" s="9" t="n">
        <v>12145275.47</v>
      </c>
      <c r="J422" s="11" t="n">
        <v>1</v>
      </c>
      <c r="K422" s="8" t="n">
        <v>0</v>
      </c>
      <c r="L422" s="8" t="n">
        <v>1</v>
      </c>
      <c r="M422" s="9" t="n">
        <v>7854724.529999999</v>
      </c>
      <c r="N422" s="9" t="n">
        <v>0</v>
      </c>
      <c r="O422" s="9" t="n">
        <v>0</v>
      </c>
      <c r="P422" s="8" t="n">
        <v>1</v>
      </c>
      <c r="Q422" s="8" t="n">
        <v>1</v>
      </c>
    </row>
    <row r="423">
      <c r="A423" s="8" t="n">
        <v>227</v>
      </c>
      <c r="B423" s="8" t="inlineStr">
        <is>
          <t>PAYMENT</t>
        </is>
      </c>
      <c r="C423" s="9" t="n">
        <v>40886.72</v>
      </c>
      <c r="D423" s="8" t="inlineStr">
        <is>
          <t>C1939144644</t>
        </is>
      </c>
      <c r="E423" s="9" t="n">
        <v>0</v>
      </c>
      <c r="F423" s="9" t="n">
        <v>0</v>
      </c>
      <c r="G423" s="8" t="inlineStr">
        <is>
          <t>M457800578</t>
        </is>
      </c>
      <c r="H423" s="9" t="n">
        <v>0</v>
      </c>
      <c r="I423" s="9" t="n">
        <v>0</v>
      </c>
      <c r="J423" s="10" t="n">
        <v>0</v>
      </c>
      <c r="K423" s="8" t="n">
        <v>1</v>
      </c>
      <c r="L423" s="8" t="n">
        <v>0</v>
      </c>
      <c r="M423" s="9" t="n">
        <v>0</v>
      </c>
      <c r="N423" s="9" t="n">
        <v>40886.72</v>
      </c>
      <c r="O423" s="9" t="n">
        <v>40886.72</v>
      </c>
      <c r="P423" s="8" t="n">
        <v>0</v>
      </c>
      <c r="Q423" s="8" t="n">
        <v>0</v>
      </c>
    </row>
    <row r="424">
      <c r="A424" s="8" t="n">
        <v>159</v>
      </c>
      <c r="B424" s="8" t="inlineStr">
        <is>
          <t>PAYMENT</t>
        </is>
      </c>
      <c r="C424" s="9" t="n">
        <v>29768.52</v>
      </c>
      <c r="D424" s="8" t="inlineStr">
        <is>
          <t>C1158998124</t>
        </is>
      </c>
      <c r="E424" s="9" t="n">
        <v>1581</v>
      </c>
      <c r="F424" s="9" t="n">
        <v>0</v>
      </c>
      <c r="G424" s="8" t="inlineStr">
        <is>
          <t>M2120497911</t>
        </is>
      </c>
      <c r="H424" s="9" t="n">
        <v>0</v>
      </c>
      <c r="I424" s="9" t="n">
        <v>0</v>
      </c>
      <c r="J424" s="10" t="n">
        <v>0</v>
      </c>
      <c r="K424" s="8" t="n">
        <v>1</v>
      </c>
      <c r="L424" s="8" t="n">
        <v>0</v>
      </c>
      <c r="M424" s="9" t="n">
        <v>1581</v>
      </c>
      <c r="N424" s="9" t="n">
        <v>28187.52</v>
      </c>
      <c r="O424" s="9" t="n">
        <v>29768.52</v>
      </c>
      <c r="P424" s="8" t="n">
        <v>0</v>
      </c>
      <c r="Q424" s="8" t="n">
        <v>0</v>
      </c>
    </row>
    <row r="425">
      <c r="A425" s="8" t="n">
        <v>307</v>
      </c>
      <c r="B425" s="8" t="inlineStr">
        <is>
          <t>PAYMENT</t>
        </is>
      </c>
      <c r="C425" s="9" t="n">
        <v>25030.03</v>
      </c>
      <c r="D425" s="8" t="inlineStr">
        <is>
          <t>C1070032929</t>
        </is>
      </c>
      <c r="E425" s="9" t="n">
        <v>0</v>
      </c>
      <c r="F425" s="9" t="n">
        <v>0</v>
      </c>
      <c r="G425" s="8" t="inlineStr">
        <is>
          <t>M1577764991</t>
        </is>
      </c>
      <c r="H425" s="9" t="n">
        <v>0</v>
      </c>
      <c r="I425" s="9" t="n">
        <v>0</v>
      </c>
      <c r="J425" s="10" t="n">
        <v>0</v>
      </c>
      <c r="K425" s="8" t="n">
        <v>1</v>
      </c>
      <c r="L425" s="8" t="n">
        <v>0</v>
      </c>
      <c r="M425" s="9" t="n">
        <v>0</v>
      </c>
      <c r="N425" s="9" t="n">
        <v>25030.03</v>
      </c>
      <c r="O425" s="9" t="n">
        <v>25030.03</v>
      </c>
      <c r="P425" s="8" t="n">
        <v>0</v>
      </c>
      <c r="Q425" s="8" t="n">
        <v>0</v>
      </c>
    </row>
    <row r="426">
      <c r="A426" s="8" t="n">
        <v>379</v>
      </c>
      <c r="B426" s="8" t="inlineStr">
        <is>
          <t>CASH_OUT</t>
        </is>
      </c>
      <c r="C426" s="9" t="n">
        <v>29631.42</v>
      </c>
      <c r="D426" s="8" t="inlineStr">
        <is>
          <t>C1598666339</t>
        </is>
      </c>
      <c r="E426" s="9" t="n">
        <v>0</v>
      </c>
      <c r="F426" s="9" t="n">
        <v>0</v>
      </c>
      <c r="G426" s="8" t="inlineStr">
        <is>
          <t>C836309524</t>
        </is>
      </c>
      <c r="H426" s="9" t="n">
        <v>2113837.72</v>
      </c>
      <c r="I426" s="9" t="n">
        <v>2143469.14</v>
      </c>
      <c r="J426" s="10" t="n">
        <v>0</v>
      </c>
      <c r="K426" s="8" t="n">
        <v>0</v>
      </c>
      <c r="L426" s="8" t="n">
        <v>1</v>
      </c>
      <c r="M426" s="9" t="n">
        <v>2113837.72</v>
      </c>
      <c r="N426" s="9" t="n">
        <v>29631.42</v>
      </c>
      <c r="O426" s="9" t="n">
        <v>0</v>
      </c>
      <c r="P426" s="8" t="n">
        <v>1</v>
      </c>
      <c r="Q426" s="8" t="n">
        <v>0</v>
      </c>
    </row>
    <row r="427">
      <c r="A427" s="8" t="n">
        <v>20</v>
      </c>
      <c r="B427" s="8" t="inlineStr">
        <is>
          <t>CASH_OUT</t>
        </is>
      </c>
      <c r="C427" s="9" t="n">
        <v>5457.7</v>
      </c>
      <c r="D427" s="8" t="inlineStr">
        <is>
          <t>C592718298</t>
        </is>
      </c>
      <c r="E427" s="9" t="n">
        <v>9351</v>
      </c>
      <c r="F427" s="9" t="n">
        <v>3893.3</v>
      </c>
      <c r="G427" s="8" t="inlineStr">
        <is>
          <t>C1519510551</t>
        </is>
      </c>
      <c r="H427" s="9" t="n">
        <v>624220.12</v>
      </c>
      <c r="I427" s="9" t="n">
        <v>629677.8100000001</v>
      </c>
      <c r="J427" s="10" t="n">
        <v>0</v>
      </c>
      <c r="K427" s="8" t="n">
        <v>0</v>
      </c>
      <c r="L427" s="8" t="n">
        <v>1</v>
      </c>
      <c r="M427" s="9" t="n">
        <v>614869.12</v>
      </c>
      <c r="N427" s="9" t="n">
        <v>0</v>
      </c>
      <c r="O427" s="9" t="n">
        <v>0.01</v>
      </c>
      <c r="P427" s="8" t="n">
        <v>1</v>
      </c>
      <c r="Q427" s="8" t="n">
        <v>1</v>
      </c>
    </row>
    <row r="428">
      <c r="A428" s="8" t="n">
        <v>135</v>
      </c>
      <c r="B428" s="8" t="inlineStr">
        <is>
          <t>CASH_OUT</t>
        </is>
      </c>
      <c r="C428" s="9" t="n">
        <v>255101.02</v>
      </c>
      <c r="D428" s="8" t="inlineStr">
        <is>
          <t>C1338373565</t>
        </is>
      </c>
      <c r="E428" s="9" t="n">
        <v>0</v>
      </c>
      <c r="F428" s="9" t="n">
        <v>0</v>
      </c>
      <c r="G428" s="8" t="inlineStr">
        <is>
          <t>C1052798010</t>
        </is>
      </c>
      <c r="H428" s="9" t="n">
        <v>2076851.34</v>
      </c>
      <c r="I428" s="9" t="n">
        <v>2331952.36</v>
      </c>
      <c r="J428" s="10" t="n">
        <v>0</v>
      </c>
      <c r="K428" s="8" t="n">
        <v>0</v>
      </c>
      <c r="L428" s="8" t="n">
        <v>1</v>
      </c>
      <c r="M428" s="9" t="n">
        <v>2076851.34</v>
      </c>
      <c r="N428" s="9" t="n">
        <v>255101.02</v>
      </c>
      <c r="O428" s="9" t="n">
        <v>0</v>
      </c>
      <c r="P428" s="8" t="n">
        <v>1</v>
      </c>
      <c r="Q428" s="8" t="n">
        <v>0</v>
      </c>
    </row>
    <row r="429">
      <c r="A429" s="8" t="n">
        <v>380</v>
      </c>
      <c r="B429" s="8" t="inlineStr">
        <is>
          <t>TRANSFER</t>
        </is>
      </c>
      <c r="C429" s="9" t="n">
        <v>49076.27</v>
      </c>
      <c r="D429" s="8" t="inlineStr">
        <is>
          <t>C955833247</t>
        </is>
      </c>
      <c r="E429" s="9" t="n">
        <v>49076.27</v>
      </c>
      <c r="F429" s="9" t="n">
        <v>0</v>
      </c>
      <c r="G429" s="8" t="inlineStr">
        <is>
          <t>C517854187</t>
        </is>
      </c>
      <c r="H429" s="9" t="n">
        <v>0</v>
      </c>
      <c r="I429" s="9" t="n">
        <v>0</v>
      </c>
      <c r="J429" s="11" t="n">
        <v>1</v>
      </c>
      <c r="K429" s="8" t="n">
        <v>0</v>
      </c>
      <c r="L429" s="8" t="n">
        <v>1</v>
      </c>
      <c r="M429" s="9" t="n">
        <v>49076.27</v>
      </c>
      <c r="N429" s="9" t="n">
        <v>0</v>
      </c>
      <c r="O429" s="9" t="n">
        <v>49076.27</v>
      </c>
      <c r="P429" s="8" t="n">
        <v>1</v>
      </c>
      <c r="Q429" s="8" t="n">
        <v>1</v>
      </c>
    </row>
    <row r="430">
      <c r="A430" s="8" t="n">
        <v>259</v>
      </c>
      <c r="B430" s="8" t="inlineStr">
        <is>
          <t>CASH_IN</t>
        </is>
      </c>
      <c r="C430" s="9" t="n">
        <v>87882.08</v>
      </c>
      <c r="D430" s="8" t="inlineStr">
        <is>
          <t>C400430851</t>
        </is>
      </c>
      <c r="E430" s="9" t="n">
        <v>14637</v>
      </c>
      <c r="F430" s="9" t="n">
        <v>102519.08</v>
      </c>
      <c r="G430" s="8" t="inlineStr">
        <is>
          <t>C1450816631</t>
        </is>
      </c>
      <c r="H430" s="9" t="n">
        <v>412811.5</v>
      </c>
      <c r="I430" s="9" t="n">
        <v>324929.42</v>
      </c>
      <c r="J430" s="10" t="n">
        <v>0</v>
      </c>
      <c r="K430" s="8" t="n">
        <v>0</v>
      </c>
      <c r="L430" s="8" t="n">
        <v>0</v>
      </c>
      <c r="M430" s="9" t="n">
        <v>398174.5</v>
      </c>
      <c r="N430" s="9" t="n">
        <v>175764.16</v>
      </c>
      <c r="O430" s="9" t="n">
        <v>175764.16</v>
      </c>
      <c r="P430" s="8" t="n">
        <v>1</v>
      </c>
      <c r="Q430" s="8" t="n">
        <v>0</v>
      </c>
    </row>
    <row r="431">
      <c r="A431" s="8" t="n">
        <v>139</v>
      </c>
      <c r="B431" s="8" t="inlineStr">
        <is>
          <t>PAYMENT</t>
        </is>
      </c>
      <c r="C431" s="9" t="n">
        <v>261.04</v>
      </c>
      <c r="D431" s="8" t="inlineStr">
        <is>
          <t>C2009538366</t>
        </is>
      </c>
      <c r="E431" s="9" t="n">
        <v>55348.29</v>
      </c>
      <c r="F431" s="9" t="n">
        <v>55087.26</v>
      </c>
      <c r="G431" s="8" t="inlineStr">
        <is>
          <t>M1741307387</t>
        </is>
      </c>
      <c r="H431" s="9" t="n">
        <v>0</v>
      </c>
      <c r="I431" s="9" t="n">
        <v>0</v>
      </c>
      <c r="J431" s="10" t="n">
        <v>0</v>
      </c>
      <c r="K431" s="8" t="n">
        <v>1</v>
      </c>
      <c r="L431" s="8" t="n">
        <v>0</v>
      </c>
      <c r="M431" s="9" t="n">
        <v>55348.29</v>
      </c>
      <c r="N431" s="9" t="n">
        <v>0.01</v>
      </c>
      <c r="O431" s="9" t="n">
        <v>261.04</v>
      </c>
      <c r="P431" s="8" t="n">
        <v>0</v>
      </c>
      <c r="Q431" s="8" t="n">
        <v>1</v>
      </c>
    </row>
    <row r="432">
      <c r="A432" s="8" t="n">
        <v>436</v>
      </c>
      <c r="B432" s="8" t="inlineStr">
        <is>
          <t>CASH_OUT</t>
        </is>
      </c>
      <c r="C432" s="9" t="n">
        <v>1532229.72</v>
      </c>
      <c r="D432" s="8" t="inlineStr">
        <is>
          <t>C685396140</t>
        </is>
      </c>
      <c r="E432" s="9" t="n">
        <v>1532229.72</v>
      </c>
      <c r="F432" s="9" t="n">
        <v>0</v>
      </c>
      <c r="G432" s="8" t="inlineStr">
        <is>
          <t>C961098321</t>
        </is>
      </c>
      <c r="H432" s="9" t="n">
        <v>89278.84</v>
      </c>
      <c r="I432" s="9" t="n">
        <v>1621508.56</v>
      </c>
      <c r="J432" s="11" t="n">
        <v>1</v>
      </c>
      <c r="K432" s="8" t="n">
        <v>0</v>
      </c>
      <c r="L432" s="8" t="n">
        <v>1</v>
      </c>
      <c r="M432" s="9" t="n">
        <v>1442950.88</v>
      </c>
      <c r="N432" s="9" t="n">
        <v>0</v>
      </c>
      <c r="O432" s="9" t="n">
        <v>0</v>
      </c>
      <c r="P432" s="8" t="n">
        <v>1</v>
      </c>
      <c r="Q432" s="8" t="n">
        <v>1</v>
      </c>
    </row>
    <row r="433">
      <c r="A433" s="8" t="n">
        <v>385</v>
      </c>
      <c r="B433" s="8" t="inlineStr">
        <is>
          <t>CASH_OUT</t>
        </is>
      </c>
      <c r="C433" s="9" t="n">
        <v>627088.33</v>
      </c>
      <c r="D433" s="8" t="inlineStr">
        <is>
          <t>C1637164849</t>
        </is>
      </c>
      <c r="E433" s="9" t="n">
        <v>627088.33</v>
      </c>
      <c r="F433" s="9" t="n">
        <v>0</v>
      </c>
      <c r="G433" s="8" t="inlineStr">
        <is>
          <t>C1984867155</t>
        </is>
      </c>
      <c r="H433" s="9" t="n">
        <v>594476.39</v>
      </c>
      <c r="I433" s="9" t="n">
        <v>1221564.72</v>
      </c>
      <c r="J433" s="11" t="n">
        <v>1</v>
      </c>
      <c r="K433" s="8" t="n">
        <v>0</v>
      </c>
      <c r="L433" s="8" t="n">
        <v>1</v>
      </c>
      <c r="M433" s="9" t="n">
        <v>32611.93999999994</v>
      </c>
      <c r="N433" s="9" t="n">
        <v>0</v>
      </c>
      <c r="O433" s="9" t="n">
        <v>0</v>
      </c>
      <c r="P433" s="8" t="n">
        <v>1</v>
      </c>
      <c r="Q433" s="8" t="n">
        <v>1</v>
      </c>
    </row>
    <row r="434">
      <c r="A434" s="8" t="n">
        <v>44</v>
      </c>
      <c r="B434" s="8" t="inlineStr">
        <is>
          <t>PAYMENT</t>
        </is>
      </c>
      <c r="C434" s="9" t="n">
        <v>10514.34</v>
      </c>
      <c r="D434" s="8" t="inlineStr">
        <is>
          <t>C352039410</t>
        </is>
      </c>
      <c r="E434" s="9" t="n">
        <v>0</v>
      </c>
      <c r="F434" s="9" t="n">
        <v>0</v>
      </c>
      <c r="G434" s="8" t="inlineStr">
        <is>
          <t>M1600783164</t>
        </is>
      </c>
      <c r="H434" s="9" t="n">
        <v>0</v>
      </c>
      <c r="I434" s="9" t="n">
        <v>0</v>
      </c>
      <c r="J434" s="10" t="n">
        <v>0</v>
      </c>
      <c r="K434" s="8" t="n">
        <v>1</v>
      </c>
      <c r="L434" s="8" t="n">
        <v>0</v>
      </c>
      <c r="M434" s="9" t="n">
        <v>0</v>
      </c>
      <c r="N434" s="9" t="n">
        <v>10514.34</v>
      </c>
      <c r="O434" s="9" t="n">
        <v>10514.34</v>
      </c>
      <c r="P434" s="8" t="n">
        <v>0</v>
      </c>
      <c r="Q434" s="8" t="n">
        <v>0</v>
      </c>
    </row>
    <row r="435">
      <c r="A435" s="8" t="n">
        <v>162</v>
      </c>
      <c r="B435" s="8" t="inlineStr">
        <is>
          <t>PAYMENT</t>
        </is>
      </c>
      <c r="C435" s="9" t="n">
        <v>8081.74</v>
      </c>
      <c r="D435" s="8" t="inlineStr">
        <is>
          <t>C385083851</t>
        </is>
      </c>
      <c r="E435" s="9" t="n">
        <v>52754</v>
      </c>
      <c r="F435" s="9" t="n">
        <v>44672.26</v>
      </c>
      <c r="G435" s="8" t="inlineStr">
        <is>
          <t>M596899574</t>
        </is>
      </c>
      <c r="H435" s="9" t="n">
        <v>0</v>
      </c>
      <c r="I435" s="9" t="n">
        <v>0</v>
      </c>
      <c r="J435" s="10" t="n">
        <v>0</v>
      </c>
      <c r="K435" s="8" t="n">
        <v>1</v>
      </c>
      <c r="L435" s="8" t="n">
        <v>0</v>
      </c>
      <c r="M435" s="9" t="n">
        <v>52754</v>
      </c>
      <c r="N435" s="9" t="n">
        <v>0</v>
      </c>
      <c r="O435" s="9" t="n">
        <v>8081.74</v>
      </c>
      <c r="P435" s="8" t="n">
        <v>0</v>
      </c>
      <c r="Q435" s="8" t="n">
        <v>1</v>
      </c>
    </row>
    <row r="436">
      <c r="A436" s="8" t="n">
        <v>352</v>
      </c>
      <c r="B436" s="8" t="inlineStr">
        <is>
          <t>CASH_OUT</t>
        </is>
      </c>
      <c r="C436" s="9" t="n">
        <v>2111475.81</v>
      </c>
      <c r="D436" s="8" t="inlineStr">
        <is>
          <t>C433434027</t>
        </is>
      </c>
      <c r="E436" s="9" t="n">
        <v>2111475.81</v>
      </c>
      <c r="F436" s="9" t="n">
        <v>0</v>
      </c>
      <c r="G436" s="8" t="inlineStr">
        <is>
          <t>C916183053</t>
        </is>
      </c>
      <c r="H436" s="9" t="n">
        <v>0</v>
      </c>
      <c r="I436" s="9" t="n">
        <v>2111475.81</v>
      </c>
      <c r="J436" s="11" t="n">
        <v>1</v>
      </c>
      <c r="K436" s="8" t="n">
        <v>0</v>
      </c>
      <c r="L436" s="8" t="n">
        <v>1</v>
      </c>
      <c r="M436" s="9" t="n">
        <v>2111475.81</v>
      </c>
      <c r="N436" s="9" t="n">
        <v>0</v>
      </c>
      <c r="O436" s="9" t="n">
        <v>0</v>
      </c>
      <c r="P436" s="8" t="n">
        <v>1</v>
      </c>
      <c r="Q436" s="8" t="n">
        <v>1</v>
      </c>
    </row>
    <row r="437">
      <c r="A437" s="8" t="n">
        <v>131</v>
      </c>
      <c r="B437" s="8" t="inlineStr">
        <is>
          <t>CASH_IN</t>
        </is>
      </c>
      <c r="C437" s="9" t="n">
        <v>285763.95</v>
      </c>
      <c r="D437" s="8" t="inlineStr">
        <is>
          <t>C846358108</t>
        </is>
      </c>
      <c r="E437" s="9" t="n">
        <v>1163</v>
      </c>
      <c r="F437" s="9" t="n">
        <v>286926.95</v>
      </c>
      <c r="G437" s="8" t="inlineStr">
        <is>
          <t>C840839680</t>
        </is>
      </c>
      <c r="H437" s="9" t="n">
        <v>20919.8</v>
      </c>
      <c r="I437" s="9" t="n">
        <v>0</v>
      </c>
      <c r="J437" s="10" t="n">
        <v>0</v>
      </c>
      <c r="K437" s="8" t="n">
        <v>0</v>
      </c>
      <c r="L437" s="8" t="n">
        <v>0</v>
      </c>
      <c r="M437" s="9" t="n">
        <v>19756.8</v>
      </c>
      <c r="N437" s="9" t="n">
        <v>571527.9</v>
      </c>
      <c r="O437" s="9" t="n">
        <v>306683.75</v>
      </c>
      <c r="P437" s="8" t="n">
        <v>1</v>
      </c>
      <c r="Q437" s="8" t="n">
        <v>0</v>
      </c>
    </row>
    <row r="438">
      <c r="A438" s="8" t="n">
        <v>307</v>
      </c>
      <c r="B438" s="8" t="inlineStr">
        <is>
          <t>CASH_IN</t>
        </is>
      </c>
      <c r="C438" s="9" t="n">
        <v>260440.52</v>
      </c>
      <c r="D438" s="8" t="inlineStr">
        <is>
          <t>C642498055</t>
        </is>
      </c>
      <c r="E438" s="9" t="n">
        <v>2321648.78</v>
      </c>
      <c r="F438" s="9" t="n">
        <v>2582089.3</v>
      </c>
      <c r="G438" s="8" t="inlineStr">
        <is>
          <t>C1485007184</t>
        </is>
      </c>
      <c r="H438" s="9" t="n">
        <v>350196.19</v>
      </c>
      <c r="I438" s="9" t="n">
        <v>89755.67</v>
      </c>
      <c r="J438" s="10" t="n">
        <v>0</v>
      </c>
      <c r="K438" s="8" t="n">
        <v>0</v>
      </c>
      <c r="L438" s="8" t="n">
        <v>0</v>
      </c>
      <c r="M438" s="9" t="n">
        <v>1971452.59</v>
      </c>
      <c r="N438" s="9" t="n">
        <v>520881.04</v>
      </c>
      <c r="O438" s="9" t="n">
        <v>520881.04</v>
      </c>
      <c r="P438" s="8" t="n">
        <v>1</v>
      </c>
      <c r="Q438" s="8" t="n">
        <v>0</v>
      </c>
    </row>
    <row r="439">
      <c r="A439" s="8" t="n">
        <v>304</v>
      </c>
      <c r="B439" s="8" t="inlineStr">
        <is>
          <t>PAYMENT</t>
        </is>
      </c>
      <c r="C439" s="9" t="n">
        <v>53520.09</v>
      </c>
      <c r="D439" s="8" t="inlineStr">
        <is>
          <t>C984349286</t>
        </is>
      </c>
      <c r="E439" s="9" t="n">
        <v>0</v>
      </c>
      <c r="F439" s="9" t="n">
        <v>0</v>
      </c>
      <c r="G439" s="8" t="inlineStr">
        <is>
          <t>M560975552</t>
        </is>
      </c>
      <c r="H439" s="9" t="n">
        <v>0</v>
      </c>
      <c r="I439" s="9" t="n">
        <v>0</v>
      </c>
      <c r="J439" s="10" t="n">
        <v>0</v>
      </c>
      <c r="K439" s="8" t="n">
        <v>1</v>
      </c>
      <c r="L439" s="8" t="n">
        <v>0</v>
      </c>
      <c r="M439" s="9" t="n">
        <v>0</v>
      </c>
      <c r="N439" s="9" t="n">
        <v>53520.09</v>
      </c>
      <c r="O439" s="9" t="n">
        <v>53520.09</v>
      </c>
      <c r="P439" s="8" t="n">
        <v>0</v>
      </c>
      <c r="Q439" s="8" t="n">
        <v>0</v>
      </c>
    </row>
    <row r="440">
      <c r="A440" s="8" t="n">
        <v>94</v>
      </c>
      <c r="B440" s="8" t="inlineStr">
        <is>
          <t>CASH_OUT</t>
        </is>
      </c>
      <c r="C440" s="9" t="n">
        <v>200926.6</v>
      </c>
      <c r="D440" s="8" t="inlineStr">
        <is>
          <t>C2023695724</t>
        </is>
      </c>
      <c r="E440" s="9" t="n">
        <v>0</v>
      </c>
      <c r="F440" s="9" t="n">
        <v>0</v>
      </c>
      <c r="G440" s="8" t="inlineStr">
        <is>
          <t>C1252380651</t>
        </is>
      </c>
      <c r="H440" s="9" t="n">
        <v>1328470.8</v>
      </c>
      <c r="I440" s="9" t="n">
        <v>1529397.4</v>
      </c>
      <c r="J440" s="10" t="n">
        <v>0</v>
      </c>
      <c r="K440" s="8" t="n">
        <v>0</v>
      </c>
      <c r="L440" s="8" t="n">
        <v>1</v>
      </c>
      <c r="M440" s="9" t="n">
        <v>1328470.8</v>
      </c>
      <c r="N440" s="9" t="n">
        <v>200926.6</v>
      </c>
      <c r="O440" s="9" t="n">
        <v>0</v>
      </c>
      <c r="P440" s="8" t="n">
        <v>1</v>
      </c>
      <c r="Q440" s="8" t="n">
        <v>0</v>
      </c>
    </row>
    <row r="441">
      <c r="A441" s="8" t="n">
        <v>9</v>
      </c>
      <c r="B441" s="8" t="inlineStr">
        <is>
          <t>CASH_IN</t>
        </is>
      </c>
      <c r="C441" s="9" t="n">
        <v>395598.15</v>
      </c>
      <c r="D441" s="8" t="inlineStr">
        <is>
          <t>C487327867</t>
        </is>
      </c>
      <c r="E441" s="9" t="n">
        <v>0</v>
      </c>
      <c r="F441" s="9" t="n">
        <v>395598.15</v>
      </c>
      <c r="G441" s="8" t="inlineStr">
        <is>
          <t>C1308739269</t>
        </is>
      </c>
      <c r="H441" s="9" t="n">
        <v>1728504.69</v>
      </c>
      <c r="I441" s="9" t="n">
        <v>1357207.06</v>
      </c>
      <c r="J441" s="10" t="n">
        <v>0</v>
      </c>
      <c r="K441" s="8" t="n">
        <v>0</v>
      </c>
      <c r="L441" s="8" t="n">
        <v>0</v>
      </c>
      <c r="M441" s="9" t="n">
        <v>1728504.69</v>
      </c>
      <c r="N441" s="9" t="n">
        <v>791196.3</v>
      </c>
      <c r="O441" s="9" t="n">
        <v>766895.78</v>
      </c>
      <c r="P441" s="8" t="n">
        <v>1</v>
      </c>
      <c r="Q441" s="8" t="n">
        <v>0</v>
      </c>
    </row>
    <row r="442">
      <c r="A442" s="8" t="n">
        <v>209</v>
      </c>
      <c r="B442" s="8" t="inlineStr">
        <is>
          <t>TRANSFER</t>
        </is>
      </c>
      <c r="C442" s="9" t="n">
        <v>7044227.89</v>
      </c>
      <c r="D442" s="8" t="inlineStr">
        <is>
          <t>C16402858</t>
        </is>
      </c>
      <c r="E442" s="9" t="n">
        <v>7044227.89</v>
      </c>
      <c r="F442" s="9" t="n">
        <v>0</v>
      </c>
      <c r="G442" s="8" t="inlineStr">
        <is>
          <t>C2025262313</t>
        </is>
      </c>
      <c r="H442" s="9" t="n">
        <v>0</v>
      </c>
      <c r="I442" s="9" t="n">
        <v>0</v>
      </c>
      <c r="J442" s="11" t="n">
        <v>1</v>
      </c>
      <c r="K442" s="8" t="n">
        <v>0</v>
      </c>
      <c r="L442" s="8" t="n">
        <v>1</v>
      </c>
      <c r="M442" s="9" t="n">
        <v>7044227.89</v>
      </c>
      <c r="N442" s="9" t="n">
        <v>0</v>
      </c>
      <c r="O442" s="9" t="n">
        <v>7044227.89</v>
      </c>
      <c r="P442" s="8" t="n">
        <v>1</v>
      </c>
      <c r="Q442" s="8" t="n">
        <v>1</v>
      </c>
    </row>
    <row r="443">
      <c r="A443" s="8" t="n">
        <v>589</v>
      </c>
      <c r="B443" s="8" t="inlineStr">
        <is>
          <t>CASH_IN</t>
        </is>
      </c>
      <c r="C443" s="9" t="n">
        <v>16916.81</v>
      </c>
      <c r="D443" s="8" t="inlineStr">
        <is>
          <t>C965379058</t>
        </is>
      </c>
      <c r="E443" s="9" t="n">
        <v>370</v>
      </c>
      <c r="F443" s="9" t="n">
        <v>17286.81</v>
      </c>
      <c r="G443" s="8" t="inlineStr">
        <is>
          <t>C1957879079</t>
        </is>
      </c>
      <c r="H443" s="9" t="n">
        <v>0</v>
      </c>
      <c r="I443" s="9" t="n">
        <v>0</v>
      </c>
      <c r="J443" s="10" t="n">
        <v>0</v>
      </c>
      <c r="K443" s="8" t="n">
        <v>0</v>
      </c>
      <c r="L443" s="8" t="n">
        <v>0</v>
      </c>
      <c r="M443" s="9" t="n">
        <v>370</v>
      </c>
      <c r="N443" s="9" t="n">
        <v>33833.62</v>
      </c>
      <c r="O443" s="9" t="n">
        <v>16916.81</v>
      </c>
      <c r="P443" s="8" t="n">
        <v>1</v>
      </c>
      <c r="Q443" s="8" t="n">
        <v>0</v>
      </c>
    </row>
    <row r="444">
      <c r="A444" s="8" t="n">
        <v>266</v>
      </c>
      <c r="B444" s="8" t="inlineStr">
        <is>
          <t>TRANSFER</t>
        </is>
      </c>
      <c r="C444" s="9" t="n">
        <v>10000000</v>
      </c>
      <c r="D444" s="8" t="inlineStr">
        <is>
          <t>C1749184895</t>
        </is>
      </c>
      <c r="E444" s="9" t="n">
        <v>25494862.93</v>
      </c>
      <c r="F444" s="9" t="n">
        <v>15494862.93</v>
      </c>
      <c r="G444" s="8" t="inlineStr">
        <is>
          <t>C1827220106</t>
        </is>
      </c>
      <c r="H444" s="9" t="n">
        <v>0</v>
      </c>
      <c r="I444" s="9" t="n">
        <v>0</v>
      </c>
      <c r="J444" s="11" t="n">
        <v>1</v>
      </c>
      <c r="K444" s="8" t="n">
        <v>0</v>
      </c>
      <c r="L444" s="8" t="n">
        <v>1</v>
      </c>
      <c r="M444" s="9" t="n">
        <v>25494862.93</v>
      </c>
      <c r="N444" s="9" t="n">
        <v>0</v>
      </c>
      <c r="O444" s="9" t="n">
        <v>10000000</v>
      </c>
      <c r="P444" s="8" t="n">
        <v>1</v>
      </c>
      <c r="Q444" s="8" t="n">
        <v>1</v>
      </c>
    </row>
    <row r="445">
      <c r="A445" s="8" t="n">
        <v>330</v>
      </c>
      <c r="B445" s="8" t="inlineStr">
        <is>
          <t>CASH_IN</t>
        </is>
      </c>
      <c r="C445" s="9" t="n">
        <v>8783.51</v>
      </c>
      <c r="D445" s="8" t="inlineStr">
        <is>
          <t>C1924760557</t>
        </is>
      </c>
      <c r="E445" s="9" t="n">
        <v>207757.28</v>
      </c>
      <c r="F445" s="9" t="n">
        <v>216540.79</v>
      </c>
      <c r="G445" s="8" t="inlineStr">
        <is>
          <t>C244416774</t>
        </is>
      </c>
      <c r="H445" s="9" t="n">
        <v>30856511.91</v>
      </c>
      <c r="I445" s="9" t="n">
        <v>30847728.4</v>
      </c>
      <c r="J445" s="10" t="n">
        <v>0</v>
      </c>
      <c r="K445" s="8" t="n">
        <v>0</v>
      </c>
      <c r="L445" s="8" t="n">
        <v>0</v>
      </c>
      <c r="M445" s="9" t="n">
        <v>30648754.63</v>
      </c>
      <c r="N445" s="9" t="n">
        <v>17567.02</v>
      </c>
      <c r="O445" s="9" t="n">
        <v>17567.02</v>
      </c>
      <c r="P445" s="8" t="n">
        <v>1</v>
      </c>
      <c r="Q445" s="8" t="n">
        <v>0</v>
      </c>
    </row>
    <row r="446">
      <c r="A446" s="8" t="n">
        <v>7</v>
      </c>
      <c r="B446" s="8" t="inlineStr">
        <is>
          <t>PAYMENT</t>
        </is>
      </c>
      <c r="C446" s="9" t="n">
        <v>3039.49</v>
      </c>
      <c r="D446" s="8" t="inlineStr">
        <is>
          <t>C1976486583</t>
        </is>
      </c>
      <c r="E446" s="9" t="n">
        <v>20040</v>
      </c>
      <c r="F446" s="9" t="n">
        <v>17000.51</v>
      </c>
      <c r="G446" s="8" t="inlineStr">
        <is>
          <t>M2126255629</t>
        </is>
      </c>
      <c r="H446" s="9" t="n">
        <v>0</v>
      </c>
      <c r="I446" s="9" t="n">
        <v>0</v>
      </c>
      <c r="J446" s="10" t="n">
        <v>0</v>
      </c>
      <c r="K446" s="8" t="n">
        <v>1</v>
      </c>
      <c r="L446" s="8" t="n">
        <v>0</v>
      </c>
      <c r="M446" s="9" t="n">
        <v>20040</v>
      </c>
      <c r="N446" s="9" t="n">
        <v>0</v>
      </c>
      <c r="O446" s="9" t="n">
        <v>3039.49</v>
      </c>
      <c r="P446" s="8" t="n">
        <v>0</v>
      </c>
      <c r="Q446" s="8" t="n">
        <v>1</v>
      </c>
    </row>
    <row r="447">
      <c r="A447" s="8" t="n">
        <v>368</v>
      </c>
      <c r="B447" s="8" t="inlineStr">
        <is>
          <t>TRANSFER</t>
        </is>
      </c>
      <c r="C447" s="9" t="n">
        <v>200419.12</v>
      </c>
      <c r="D447" s="8" t="inlineStr">
        <is>
          <t>C197020106</t>
        </is>
      </c>
      <c r="E447" s="9" t="n">
        <v>200419.12</v>
      </c>
      <c r="F447" s="9" t="n">
        <v>0</v>
      </c>
      <c r="G447" s="8" t="inlineStr">
        <is>
          <t>C1227889272</t>
        </is>
      </c>
      <c r="H447" s="9" t="n">
        <v>0</v>
      </c>
      <c r="I447" s="9" t="n">
        <v>0</v>
      </c>
      <c r="J447" s="11" t="n">
        <v>1</v>
      </c>
      <c r="K447" s="8" t="n">
        <v>0</v>
      </c>
      <c r="L447" s="8" t="n">
        <v>1</v>
      </c>
      <c r="M447" s="9" t="n">
        <v>200419.12</v>
      </c>
      <c r="N447" s="9" t="n">
        <v>0</v>
      </c>
      <c r="O447" s="9" t="n">
        <v>200419.12</v>
      </c>
      <c r="P447" s="8" t="n">
        <v>1</v>
      </c>
      <c r="Q447" s="8" t="n">
        <v>1</v>
      </c>
    </row>
    <row r="448">
      <c r="A448" s="8" t="n">
        <v>191</v>
      </c>
      <c r="B448" s="8" t="inlineStr">
        <is>
          <t>PAYMENT</t>
        </is>
      </c>
      <c r="C448" s="9" t="n">
        <v>1527.22</v>
      </c>
      <c r="D448" s="8" t="inlineStr">
        <is>
          <t>C1200975963</t>
        </is>
      </c>
      <c r="E448" s="9" t="n">
        <v>20201</v>
      </c>
      <c r="F448" s="9" t="n">
        <v>18673.78</v>
      </c>
      <c r="G448" s="8" t="inlineStr">
        <is>
          <t>M1027457394</t>
        </is>
      </c>
      <c r="H448" s="9" t="n">
        <v>0</v>
      </c>
      <c r="I448" s="9" t="n">
        <v>0</v>
      </c>
      <c r="J448" s="10" t="n">
        <v>0</v>
      </c>
      <c r="K448" s="8" t="n">
        <v>1</v>
      </c>
      <c r="L448" s="8" t="n">
        <v>0</v>
      </c>
      <c r="M448" s="9" t="n">
        <v>20201</v>
      </c>
      <c r="N448" s="9" t="n">
        <v>0</v>
      </c>
      <c r="O448" s="9" t="n">
        <v>1527.22</v>
      </c>
      <c r="P448" s="8" t="n">
        <v>0</v>
      </c>
      <c r="Q448" s="8" t="n">
        <v>1</v>
      </c>
    </row>
    <row r="449">
      <c r="A449" s="8" t="n">
        <v>297</v>
      </c>
      <c r="B449" s="8" t="inlineStr">
        <is>
          <t>CASH_OUT</t>
        </is>
      </c>
      <c r="C449" s="9" t="n">
        <v>77206.77</v>
      </c>
      <c r="D449" s="8" t="inlineStr">
        <is>
          <t>C730211394</t>
        </is>
      </c>
      <c r="E449" s="9" t="n">
        <v>0</v>
      </c>
      <c r="F449" s="9" t="n">
        <v>0</v>
      </c>
      <c r="G449" s="8" t="inlineStr">
        <is>
          <t>C1254526270</t>
        </is>
      </c>
      <c r="H449" s="9" t="n">
        <v>8335144.35</v>
      </c>
      <c r="I449" s="9" t="n">
        <v>7969041.33</v>
      </c>
      <c r="J449" s="10" t="n">
        <v>0</v>
      </c>
      <c r="K449" s="8" t="n">
        <v>0</v>
      </c>
      <c r="L449" s="8" t="n">
        <v>1</v>
      </c>
      <c r="M449" s="9" t="n">
        <v>8335144.35</v>
      </c>
      <c r="N449" s="9" t="n">
        <v>77206.77</v>
      </c>
      <c r="O449" s="9" t="n">
        <v>443309.79</v>
      </c>
      <c r="P449" s="8" t="n">
        <v>1</v>
      </c>
      <c r="Q449" s="8" t="n">
        <v>0</v>
      </c>
    </row>
    <row r="450">
      <c r="A450" s="8" t="n">
        <v>557</v>
      </c>
      <c r="B450" s="8" t="inlineStr">
        <is>
          <t>CASH_OUT</t>
        </is>
      </c>
      <c r="C450" s="9" t="n">
        <v>3571807.73</v>
      </c>
      <c r="D450" s="8" t="inlineStr">
        <is>
          <t>C458467003</t>
        </is>
      </c>
      <c r="E450" s="9" t="n">
        <v>3571807.73</v>
      </c>
      <c r="F450" s="9" t="n">
        <v>0</v>
      </c>
      <c r="G450" s="8" t="inlineStr">
        <is>
          <t>C837210602</t>
        </is>
      </c>
      <c r="H450" s="9" t="n">
        <v>527694.86</v>
      </c>
      <c r="I450" s="9" t="n">
        <v>4099502.59</v>
      </c>
      <c r="J450" s="11" t="n">
        <v>1</v>
      </c>
      <c r="K450" s="8" t="n">
        <v>0</v>
      </c>
      <c r="L450" s="8" t="n">
        <v>1</v>
      </c>
      <c r="M450" s="9" t="n">
        <v>3044112.87</v>
      </c>
      <c r="N450" s="9" t="n">
        <v>0</v>
      </c>
      <c r="O450" s="9" t="n">
        <v>0</v>
      </c>
      <c r="P450" s="8" t="n">
        <v>1</v>
      </c>
      <c r="Q450" s="8" t="n">
        <v>1</v>
      </c>
    </row>
    <row r="451">
      <c r="A451" s="8" t="n">
        <v>226</v>
      </c>
      <c r="B451" s="8" t="inlineStr">
        <is>
          <t>TRANSFER</t>
        </is>
      </c>
      <c r="C451" s="9" t="n">
        <v>9960382.4</v>
      </c>
      <c r="D451" s="8" t="inlineStr">
        <is>
          <t>C427148786</t>
        </is>
      </c>
      <c r="E451" s="9" t="n">
        <v>9960382.4</v>
      </c>
      <c r="F451" s="9" t="n">
        <v>0</v>
      </c>
      <c r="G451" s="8" t="inlineStr">
        <is>
          <t>C1532977706</t>
        </is>
      </c>
      <c r="H451" s="9" t="n">
        <v>0</v>
      </c>
      <c r="I451" s="9" t="n">
        <v>0</v>
      </c>
      <c r="J451" s="11" t="n">
        <v>1</v>
      </c>
      <c r="K451" s="8" t="n">
        <v>0</v>
      </c>
      <c r="L451" s="8" t="n">
        <v>1</v>
      </c>
      <c r="M451" s="9" t="n">
        <v>9960382.4</v>
      </c>
      <c r="N451" s="9" t="n">
        <v>0</v>
      </c>
      <c r="O451" s="9" t="n">
        <v>9960382.4</v>
      </c>
      <c r="P451" s="8" t="n">
        <v>1</v>
      </c>
      <c r="Q451" s="8" t="n">
        <v>1</v>
      </c>
    </row>
    <row r="452">
      <c r="A452" s="8" t="n">
        <v>155</v>
      </c>
      <c r="B452" s="8" t="inlineStr">
        <is>
          <t>CASH_IN</t>
        </is>
      </c>
      <c r="C452" s="9" t="n">
        <v>112505.39</v>
      </c>
      <c r="D452" s="8" t="inlineStr">
        <is>
          <t>C289278485</t>
        </is>
      </c>
      <c r="E452" s="9" t="n">
        <v>12589243.18</v>
      </c>
      <c r="F452" s="9" t="n">
        <v>12701748.57</v>
      </c>
      <c r="G452" s="8" t="inlineStr">
        <is>
          <t>C555299004</t>
        </is>
      </c>
      <c r="H452" s="9" t="n">
        <v>880214.87</v>
      </c>
      <c r="I452" s="9" t="n">
        <v>767709.48</v>
      </c>
      <c r="J452" s="10" t="n">
        <v>0</v>
      </c>
      <c r="K452" s="8" t="n">
        <v>0</v>
      </c>
      <c r="L452" s="8" t="n">
        <v>0</v>
      </c>
      <c r="M452" s="9" t="n">
        <v>11709028.31</v>
      </c>
      <c r="N452" s="9" t="n">
        <v>225010.78</v>
      </c>
      <c r="O452" s="9" t="n">
        <v>225010.78</v>
      </c>
      <c r="P452" s="8" t="n">
        <v>1</v>
      </c>
      <c r="Q452" s="8" t="n">
        <v>0</v>
      </c>
    </row>
    <row r="453">
      <c r="A453" s="8" t="n">
        <v>286</v>
      </c>
      <c r="B453" s="8" t="inlineStr">
        <is>
          <t>PAYMENT</t>
        </is>
      </c>
      <c r="C453" s="9" t="n">
        <v>2428.45</v>
      </c>
      <c r="D453" s="8" t="inlineStr">
        <is>
          <t>C1126553409</t>
        </is>
      </c>
      <c r="E453" s="9" t="n">
        <v>45608.6</v>
      </c>
      <c r="F453" s="9" t="n">
        <v>43180.15</v>
      </c>
      <c r="G453" s="8" t="inlineStr">
        <is>
          <t>M873351712</t>
        </is>
      </c>
      <c r="H453" s="9" t="n">
        <v>0</v>
      </c>
      <c r="I453" s="9" t="n">
        <v>0</v>
      </c>
      <c r="J453" s="10" t="n">
        <v>0</v>
      </c>
      <c r="K453" s="8" t="n">
        <v>1</v>
      </c>
      <c r="L453" s="8" t="n">
        <v>0</v>
      </c>
      <c r="M453" s="9" t="n">
        <v>45608.6</v>
      </c>
      <c r="N453" s="9" t="n">
        <v>0</v>
      </c>
      <c r="O453" s="9" t="n">
        <v>2428.45</v>
      </c>
      <c r="P453" s="8" t="n">
        <v>0</v>
      </c>
      <c r="Q453" s="8" t="n">
        <v>1</v>
      </c>
    </row>
    <row r="454">
      <c r="A454" s="8" t="n">
        <v>327</v>
      </c>
      <c r="B454" s="8" t="inlineStr">
        <is>
          <t>CASH_IN</t>
        </is>
      </c>
      <c r="C454" s="9" t="n">
        <v>411602.08</v>
      </c>
      <c r="D454" s="8" t="inlineStr">
        <is>
          <t>C514041021</t>
        </is>
      </c>
      <c r="E454" s="9" t="n">
        <v>175078</v>
      </c>
      <c r="F454" s="9" t="n">
        <v>586680.08</v>
      </c>
      <c r="G454" s="8" t="inlineStr">
        <is>
          <t>C1385717531</t>
        </is>
      </c>
      <c r="H454" s="9" t="n">
        <v>140668.16</v>
      </c>
      <c r="I454" s="9" t="n">
        <v>0</v>
      </c>
      <c r="J454" s="10" t="n">
        <v>0</v>
      </c>
      <c r="K454" s="8" t="n">
        <v>0</v>
      </c>
      <c r="L454" s="8" t="n">
        <v>0</v>
      </c>
      <c r="M454" s="9" t="n">
        <v>34409.84</v>
      </c>
      <c r="N454" s="9" t="n">
        <v>823204.16</v>
      </c>
      <c r="O454" s="9" t="n">
        <v>552270.24</v>
      </c>
      <c r="P454" s="8" t="n">
        <v>1</v>
      </c>
      <c r="Q454" s="8" t="n">
        <v>0</v>
      </c>
    </row>
    <row r="455">
      <c r="A455" s="8" t="n">
        <v>501</v>
      </c>
      <c r="B455" s="8" t="inlineStr">
        <is>
          <t>CASH_OUT</t>
        </is>
      </c>
      <c r="C455" s="9" t="n">
        <v>185391.82</v>
      </c>
      <c r="D455" s="8" t="inlineStr">
        <is>
          <t>C414975710</t>
        </is>
      </c>
      <c r="E455" s="9" t="n">
        <v>185391.82</v>
      </c>
      <c r="F455" s="9" t="n">
        <v>0</v>
      </c>
      <c r="G455" s="8" t="inlineStr">
        <is>
          <t>C1058395716</t>
        </is>
      </c>
      <c r="H455" s="9" t="n">
        <v>0</v>
      </c>
      <c r="I455" s="9" t="n">
        <v>185391.82</v>
      </c>
      <c r="J455" s="11" t="n">
        <v>1</v>
      </c>
      <c r="K455" s="8" t="n">
        <v>0</v>
      </c>
      <c r="L455" s="8" t="n">
        <v>1</v>
      </c>
      <c r="M455" s="9" t="n">
        <v>185391.82</v>
      </c>
      <c r="N455" s="9" t="n">
        <v>0</v>
      </c>
      <c r="O455" s="9" t="n">
        <v>0</v>
      </c>
      <c r="P455" s="8" t="n">
        <v>1</v>
      </c>
      <c r="Q455" s="8" t="n">
        <v>1</v>
      </c>
    </row>
    <row r="456">
      <c r="A456" s="8" t="n">
        <v>235</v>
      </c>
      <c r="B456" s="8" t="inlineStr">
        <is>
          <t>CASH_IN</t>
        </is>
      </c>
      <c r="C456" s="9" t="n">
        <v>280368.55</v>
      </c>
      <c r="D456" s="8" t="inlineStr">
        <is>
          <t>C1185812139</t>
        </is>
      </c>
      <c r="E456" s="9" t="n">
        <v>1927</v>
      </c>
      <c r="F456" s="9" t="n">
        <v>282295.55</v>
      </c>
      <c r="G456" s="8" t="inlineStr">
        <is>
          <t>C1791696963</t>
        </is>
      </c>
      <c r="H456" s="9" t="n">
        <v>139399.17</v>
      </c>
      <c r="I456" s="9" t="n">
        <v>0</v>
      </c>
      <c r="J456" s="10" t="n">
        <v>0</v>
      </c>
      <c r="K456" s="8" t="n">
        <v>0</v>
      </c>
      <c r="L456" s="8" t="n">
        <v>0</v>
      </c>
      <c r="M456" s="9" t="n">
        <v>137472.17</v>
      </c>
      <c r="N456" s="9" t="n">
        <v>560737.1</v>
      </c>
      <c r="O456" s="9" t="n">
        <v>419767.72</v>
      </c>
      <c r="P456" s="8" t="n">
        <v>1</v>
      </c>
      <c r="Q456" s="8" t="n">
        <v>0</v>
      </c>
    </row>
    <row r="457">
      <c r="A457" s="8" t="n">
        <v>298</v>
      </c>
      <c r="B457" s="8" t="inlineStr">
        <is>
          <t>PAYMENT</t>
        </is>
      </c>
      <c r="C457" s="9" t="n">
        <v>43314.59</v>
      </c>
      <c r="D457" s="8" t="inlineStr">
        <is>
          <t>C473628539</t>
        </is>
      </c>
      <c r="E457" s="9" t="n">
        <v>0</v>
      </c>
      <c r="F457" s="9" t="n">
        <v>0</v>
      </c>
      <c r="G457" s="8" t="inlineStr">
        <is>
          <t>M1728650289</t>
        </is>
      </c>
      <c r="H457" s="9" t="n">
        <v>0</v>
      </c>
      <c r="I457" s="9" t="n">
        <v>0</v>
      </c>
      <c r="J457" s="10" t="n">
        <v>0</v>
      </c>
      <c r="K457" s="8" t="n">
        <v>1</v>
      </c>
      <c r="L457" s="8" t="n">
        <v>0</v>
      </c>
      <c r="M457" s="9" t="n">
        <v>0</v>
      </c>
      <c r="N457" s="9" t="n">
        <v>43314.59</v>
      </c>
      <c r="O457" s="9" t="n">
        <v>43314.59</v>
      </c>
      <c r="P457" s="8" t="n">
        <v>0</v>
      </c>
      <c r="Q457" s="8" t="n">
        <v>0</v>
      </c>
    </row>
    <row r="458">
      <c r="A458" s="8" t="n">
        <v>181</v>
      </c>
      <c r="B458" s="8" t="inlineStr">
        <is>
          <t>CASH_OUT</t>
        </is>
      </c>
      <c r="C458" s="9" t="n">
        <v>252189.32</v>
      </c>
      <c r="D458" s="8" t="inlineStr">
        <is>
          <t>C1835922143</t>
        </is>
      </c>
      <c r="E458" s="9" t="n">
        <v>252189.32</v>
      </c>
      <c r="F458" s="9" t="n">
        <v>0</v>
      </c>
      <c r="G458" s="8" t="inlineStr">
        <is>
          <t>C705527703</t>
        </is>
      </c>
      <c r="H458" s="9" t="n">
        <v>310145.69</v>
      </c>
      <c r="I458" s="9" t="n">
        <v>562335.01</v>
      </c>
      <c r="J458" s="11" t="n">
        <v>1</v>
      </c>
      <c r="K458" s="8" t="n">
        <v>0</v>
      </c>
      <c r="L458" s="8" t="n">
        <v>1</v>
      </c>
      <c r="M458" s="9" t="n">
        <v>57956.37</v>
      </c>
      <c r="N458" s="9" t="n">
        <v>0</v>
      </c>
      <c r="O458" s="9" t="n">
        <v>0</v>
      </c>
      <c r="P458" s="8" t="n">
        <v>1</v>
      </c>
      <c r="Q458" s="8" t="n">
        <v>1</v>
      </c>
    </row>
    <row r="459">
      <c r="A459" s="8" t="n">
        <v>380</v>
      </c>
      <c r="B459" s="8" t="inlineStr">
        <is>
          <t>CASH_OUT</t>
        </is>
      </c>
      <c r="C459" s="9" t="n">
        <v>178732.11</v>
      </c>
      <c r="D459" s="8" t="inlineStr">
        <is>
          <t>C1619791789</t>
        </is>
      </c>
      <c r="E459" s="9" t="n">
        <v>0</v>
      </c>
      <c r="F459" s="9" t="n">
        <v>0</v>
      </c>
      <c r="G459" s="8" t="inlineStr">
        <is>
          <t>C1484251769</t>
        </is>
      </c>
      <c r="H459" s="9" t="n">
        <v>1075359.26</v>
      </c>
      <c r="I459" s="9" t="n">
        <v>1254091.37</v>
      </c>
      <c r="J459" s="10" t="n">
        <v>0</v>
      </c>
      <c r="K459" s="8" t="n">
        <v>0</v>
      </c>
      <c r="L459" s="8" t="n">
        <v>1</v>
      </c>
      <c r="M459" s="9" t="n">
        <v>1075359.26</v>
      </c>
      <c r="N459" s="9" t="n">
        <v>178732.11</v>
      </c>
      <c r="O459" s="9" t="n">
        <v>0</v>
      </c>
      <c r="P459" s="8" t="n">
        <v>1</v>
      </c>
      <c r="Q459" s="8" t="n">
        <v>0</v>
      </c>
    </row>
    <row r="460">
      <c r="A460" s="8" t="n">
        <v>205</v>
      </c>
      <c r="B460" s="8" t="inlineStr">
        <is>
          <t>TRANSFER</t>
        </is>
      </c>
      <c r="C460" s="9" t="n">
        <v>1639441.67</v>
      </c>
      <c r="D460" s="8" t="inlineStr">
        <is>
          <t>C1230610143</t>
        </is>
      </c>
      <c r="E460" s="9" t="n">
        <v>0</v>
      </c>
      <c r="F460" s="9" t="n">
        <v>0</v>
      </c>
      <c r="G460" s="8" t="inlineStr">
        <is>
          <t>C803933143</t>
        </is>
      </c>
      <c r="H460" s="9" t="n">
        <v>4256586.11</v>
      </c>
      <c r="I460" s="9" t="n">
        <v>5896027.79</v>
      </c>
      <c r="J460" s="10" t="n">
        <v>0</v>
      </c>
      <c r="K460" s="8" t="n">
        <v>0</v>
      </c>
      <c r="L460" s="8" t="n">
        <v>1</v>
      </c>
      <c r="M460" s="9" t="n">
        <v>4256586.11</v>
      </c>
      <c r="N460" s="9" t="n">
        <v>1639441.67</v>
      </c>
      <c r="O460" s="9" t="n">
        <v>-0.01</v>
      </c>
      <c r="P460" s="8" t="n">
        <v>1</v>
      </c>
      <c r="Q460" s="8" t="n">
        <v>0</v>
      </c>
    </row>
    <row r="461">
      <c r="A461" s="8" t="n">
        <v>74</v>
      </c>
      <c r="B461" s="8" t="inlineStr">
        <is>
          <t>CASH_OUT</t>
        </is>
      </c>
      <c r="C461" s="9" t="n">
        <v>2451423.58</v>
      </c>
      <c r="D461" s="8" t="inlineStr">
        <is>
          <t>C1267904754</t>
        </is>
      </c>
      <c r="E461" s="9" t="n">
        <v>2451423.58</v>
      </c>
      <c r="F461" s="9" t="n">
        <v>0</v>
      </c>
      <c r="G461" s="8" t="inlineStr">
        <is>
          <t>C858620596</t>
        </is>
      </c>
      <c r="H461" s="9" t="n">
        <v>4870.65</v>
      </c>
      <c r="I461" s="9" t="n">
        <v>2456294.22</v>
      </c>
      <c r="J461" s="11" t="n">
        <v>1</v>
      </c>
      <c r="K461" s="8" t="n">
        <v>0</v>
      </c>
      <c r="L461" s="8" t="n">
        <v>1</v>
      </c>
      <c r="M461" s="9" t="n">
        <v>2446552.93</v>
      </c>
      <c r="N461" s="9" t="n">
        <v>0</v>
      </c>
      <c r="O461" s="9" t="n">
        <v>0.01</v>
      </c>
      <c r="P461" s="8" t="n">
        <v>1</v>
      </c>
      <c r="Q461" s="8" t="n">
        <v>1</v>
      </c>
    </row>
    <row r="462">
      <c r="A462" s="8" t="n">
        <v>37</v>
      </c>
      <c r="B462" s="8" t="inlineStr">
        <is>
          <t>TRANSFER</t>
        </is>
      </c>
      <c r="C462" s="9" t="n">
        <v>444210.02</v>
      </c>
      <c r="D462" s="8" t="inlineStr">
        <is>
          <t>C1278899464</t>
        </is>
      </c>
      <c r="E462" s="9" t="n">
        <v>0</v>
      </c>
      <c r="F462" s="9" t="n">
        <v>0</v>
      </c>
      <c r="G462" s="8" t="inlineStr">
        <is>
          <t>C173674973</t>
        </is>
      </c>
      <c r="H462" s="9" t="n">
        <v>564554.14</v>
      </c>
      <c r="I462" s="9" t="n">
        <v>1008764.16</v>
      </c>
      <c r="J462" s="10" t="n">
        <v>0</v>
      </c>
      <c r="K462" s="8" t="n">
        <v>0</v>
      </c>
      <c r="L462" s="8" t="n">
        <v>1</v>
      </c>
      <c r="M462" s="9" t="n">
        <v>564554.14</v>
      </c>
      <c r="N462" s="9" t="n">
        <v>444210.02</v>
      </c>
      <c r="O462" s="9" t="n">
        <v>0</v>
      </c>
      <c r="P462" s="8" t="n">
        <v>1</v>
      </c>
      <c r="Q462" s="8" t="n">
        <v>0</v>
      </c>
    </row>
    <row r="463">
      <c r="A463" s="8" t="n">
        <v>395</v>
      </c>
      <c r="B463" s="8" t="inlineStr">
        <is>
          <t>CASH_IN</t>
        </is>
      </c>
      <c r="C463" s="9" t="n">
        <v>104449.15</v>
      </c>
      <c r="D463" s="8" t="inlineStr">
        <is>
          <t>C125121397</t>
        </is>
      </c>
      <c r="E463" s="9" t="n">
        <v>8698</v>
      </c>
      <c r="F463" s="9" t="n">
        <v>113147.15</v>
      </c>
      <c r="G463" s="8" t="inlineStr">
        <is>
          <t>C1682103841</t>
        </is>
      </c>
      <c r="H463" s="9" t="n">
        <v>8613828.6</v>
      </c>
      <c r="I463" s="9" t="n">
        <v>8509379.449999999</v>
      </c>
      <c r="J463" s="10" t="n">
        <v>0</v>
      </c>
      <c r="K463" s="8" t="n">
        <v>0</v>
      </c>
      <c r="L463" s="8" t="n">
        <v>0</v>
      </c>
      <c r="M463" s="9" t="n">
        <v>8605130.6</v>
      </c>
      <c r="N463" s="9" t="n">
        <v>208898.3</v>
      </c>
      <c r="O463" s="9" t="n">
        <v>208898.3</v>
      </c>
      <c r="P463" s="8" t="n">
        <v>1</v>
      </c>
      <c r="Q463" s="8" t="n">
        <v>0</v>
      </c>
    </row>
    <row r="464">
      <c r="A464" s="8" t="n">
        <v>615</v>
      </c>
      <c r="B464" s="8" t="inlineStr">
        <is>
          <t>TRANSFER</t>
        </is>
      </c>
      <c r="C464" s="9" t="n">
        <v>8931550.689999999</v>
      </c>
      <c r="D464" s="8" t="inlineStr">
        <is>
          <t>C1634206825</t>
        </is>
      </c>
      <c r="E464" s="9" t="n">
        <v>8931550.689999999</v>
      </c>
      <c r="F464" s="9" t="n">
        <v>0</v>
      </c>
      <c r="G464" s="8" t="inlineStr">
        <is>
          <t>C977366743</t>
        </is>
      </c>
      <c r="H464" s="9" t="n">
        <v>0</v>
      </c>
      <c r="I464" s="9" t="n">
        <v>0</v>
      </c>
      <c r="J464" s="11" t="n">
        <v>1</v>
      </c>
      <c r="K464" s="8" t="n">
        <v>0</v>
      </c>
      <c r="L464" s="8" t="n">
        <v>1</v>
      </c>
      <c r="M464" s="9" t="n">
        <v>8931550.689999999</v>
      </c>
      <c r="N464" s="9" t="n">
        <v>0</v>
      </c>
      <c r="O464" s="9" t="n">
        <v>8931550.689999999</v>
      </c>
      <c r="P464" s="8" t="n">
        <v>1</v>
      </c>
      <c r="Q464" s="8" t="n">
        <v>1</v>
      </c>
    </row>
    <row r="465">
      <c r="A465" s="8" t="n">
        <v>104</v>
      </c>
      <c r="B465" s="8" t="inlineStr">
        <is>
          <t>TRANSFER</t>
        </is>
      </c>
      <c r="C465" s="9" t="n">
        <v>306833.41</v>
      </c>
      <c r="D465" s="8" t="inlineStr">
        <is>
          <t>C1531491177</t>
        </is>
      </c>
      <c r="E465" s="9" t="n">
        <v>306833.41</v>
      </c>
      <c r="F465" s="9" t="n">
        <v>0</v>
      </c>
      <c r="G465" s="8" t="inlineStr">
        <is>
          <t>C495237092</t>
        </is>
      </c>
      <c r="H465" s="9" t="n">
        <v>0</v>
      </c>
      <c r="I465" s="9" t="n">
        <v>0</v>
      </c>
      <c r="J465" s="11" t="n">
        <v>1</v>
      </c>
      <c r="K465" s="8" t="n">
        <v>0</v>
      </c>
      <c r="L465" s="8" t="n">
        <v>1</v>
      </c>
      <c r="M465" s="9" t="n">
        <v>306833.41</v>
      </c>
      <c r="N465" s="9" t="n">
        <v>0</v>
      </c>
      <c r="O465" s="9" t="n">
        <v>306833.41</v>
      </c>
      <c r="P465" s="8" t="n">
        <v>1</v>
      </c>
      <c r="Q465" s="8" t="n">
        <v>1</v>
      </c>
    </row>
    <row r="466">
      <c r="A466" s="8" t="n">
        <v>180</v>
      </c>
      <c r="B466" s="8" t="inlineStr">
        <is>
          <t>CASH_OUT</t>
        </is>
      </c>
      <c r="C466" s="9" t="n">
        <v>43182.93</v>
      </c>
      <c r="D466" s="8" t="inlineStr">
        <is>
          <t>C99301062</t>
        </is>
      </c>
      <c r="E466" s="9" t="n">
        <v>52603</v>
      </c>
      <c r="F466" s="9" t="n">
        <v>9420.07</v>
      </c>
      <c r="G466" s="8" t="inlineStr">
        <is>
          <t>C1551989694</t>
        </is>
      </c>
      <c r="H466" s="9" t="n">
        <v>0</v>
      </c>
      <c r="I466" s="9" t="n">
        <v>43182.93</v>
      </c>
      <c r="J466" s="10" t="n">
        <v>0</v>
      </c>
      <c r="K466" s="8" t="n">
        <v>0</v>
      </c>
      <c r="L466" s="8" t="n">
        <v>1</v>
      </c>
      <c r="M466" s="9" t="n">
        <v>52603</v>
      </c>
      <c r="N466" s="9" t="n">
        <v>0</v>
      </c>
      <c r="O466" s="9" t="n">
        <v>0</v>
      </c>
      <c r="P466" s="8" t="n">
        <v>1</v>
      </c>
      <c r="Q466" s="8" t="n">
        <v>1</v>
      </c>
    </row>
    <row r="467">
      <c r="A467" s="8" t="n">
        <v>278</v>
      </c>
      <c r="B467" s="8" t="inlineStr">
        <is>
          <t>PAYMENT</t>
        </is>
      </c>
      <c r="C467" s="9" t="n">
        <v>8806.57</v>
      </c>
      <c r="D467" s="8" t="inlineStr">
        <is>
          <t>C1479362726</t>
        </is>
      </c>
      <c r="E467" s="9" t="n">
        <v>4449</v>
      </c>
      <c r="F467" s="9" t="n">
        <v>0</v>
      </c>
      <c r="G467" s="8" t="inlineStr">
        <is>
          <t>M1774561338</t>
        </is>
      </c>
      <c r="H467" s="9" t="n">
        <v>0</v>
      </c>
      <c r="I467" s="9" t="n">
        <v>0</v>
      </c>
      <c r="J467" s="10" t="n">
        <v>0</v>
      </c>
      <c r="K467" s="8" t="n">
        <v>1</v>
      </c>
      <c r="L467" s="8" t="n">
        <v>0</v>
      </c>
      <c r="M467" s="9" t="n">
        <v>4449</v>
      </c>
      <c r="N467" s="9" t="n">
        <v>4357.57</v>
      </c>
      <c r="O467" s="9" t="n">
        <v>8806.57</v>
      </c>
      <c r="P467" s="8" t="n">
        <v>0</v>
      </c>
      <c r="Q467" s="8" t="n">
        <v>0</v>
      </c>
    </row>
    <row r="468">
      <c r="A468" s="8" t="n">
        <v>301</v>
      </c>
      <c r="B468" s="8" t="inlineStr">
        <is>
          <t>CASH_IN</t>
        </is>
      </c>
      <c r="C468" s="9" t="n">
        <v>43565.91</v>
      </c>
      <c r="D468" s="8" t="inlineStr">
        <is>
          <t>C1082735089</t>
        </is>
      </c>
      <c r="E468" s="9" t="n">
        <v>15602</v>
      </c>
      <c r="F468" s="9" t="n">
        <v>59167.91</v>
      </c>
      <c r="G468" s="8" t="inlineStr">
        <is>
          <t>C77506175</t>
        </is>
      </c>
      <c r="H468" s="9" t="n">
        <v>0</v>
      </c>
      <c r="I468" s="9" t="n">
        <v>0</v>
      </c>
      <c r="J468" s="10" t="n">
        <v>0</v>
      </c>
      <c r="K468" s="8" t="n">
        <v>0</v>
      </c>
      <c r="L468" s="8" t="n">
        <v>0</v>
      </c>
      <c r="M468" s="9" t="n">
        <v>15602</v>
      </c>
      <c r="N468" s="9" t="n">
        <v>87131.82000000001</v>
      </c>
      <c r="O468" s="9" t="n">
        <v>43565.91</v>
      </c>
      <c r="P468" s="8" t="n">
        <v>1</v>
      </c>
      <c r="Q468" s="8" t="n">
        <v>0</v>
      </c>
    </row>
    <row r="469">
      <c r="A469" s="8" t="n">
        <v>262</v>
      </c>
      <c r="B469" s="8" t="inlineStr">
        <is>
          <t>PAYMENT</t>
        </is>
      </c>
      <c r="C469" s="9" t="n">
        <v>4708.94</v>
      </c>
      <c r="D469" s="8" t="inlineStr">
        <is>
          <t>C293160622</t>
        </is>
      </c>
      <c r="E469" s="9" t="n">
        <v>0</v>
      </c>
      <c r="F469" s="9" t="n">
        <v>0</v>
      </c>
      <c r="G469" s="8" t="inlineStr">
        <is>
          <t>M1027136025</t>
        </is>
      </c>
      <c r="H469" s="9" t="n">
        <v>0</v>
      </c>
      <c r="I469" s="9" t="n">
        <v>0</v>
      </c>
      <c r="J469" s="10" t="n">
        <v>0</v>
      </c>
      <c r="K469" s="8" t="n">
        <v>1</v>
      </c>
      <c r="L469" s="8" t="n">
        <v>0</v>
      </c>
      <c r="M469" s="9" t="n">
        <v>0</v>
      </c>
      <c r="N469" s="9" t="n">
        <v>4708.94</v>
      </c>
      <c r="O469" s="9" t="n">
        <v>4708.94</v>
      </c>
      <c r="P469" s="8" t="n">
        <v>0</v>
      </c>
      <c r="Q469" s="8" t="n">
        <v>0</v>
      </c>
    </row>
    <row r="470">
      <c r="A470" s="8" t="n">
        <v>536</v>
      </c>
      <c r="B470" s="8" t="inlineStr">
        <is>
          <t>TRANSFER</t>
        </is>
      </c>
      <c r="C470" s="9" t="n">
        <v>624686.04</v>
      </c>
      <c r="D470" s="8" t="inlineStr">
        <is>
          <t>C1401632766</t>
        </is>
      </c>
      <c r="E470" s="9" t="n">
        <v>624686.04</v>
      </c>
      <c r="F470" s="9" t="n">
        <v>0</v>
      </c>
      <c r="G470" s="8" t="inlineStr">
        <is>
          <t>C1786081115</t>
        </is>
      </c>
      <c r="H470" s="9" t="n">
        <v>0</v>
      </c>
      <c r="I470" s="9" t="n">
        <v>0</v>
      </c>
      <c r="J470" s="11" t="n">
        <v>1</v>
      </c>
      <c r="K470" s="8" t="n">
        <v>0</v>
      </c>
      <c r="L470" s="8" t="n">
        <v>1</v>
      </c>
      <c r="M470" s="9" t="n">
        <v>624686.04</v>
      </c>
      <c r="N470" s="9" t="n">
        <v>0</v>
      </c>
      <c r="O470" s="9" t="n">
        <v>624686.04</v>
      </c>
      <c r="P470" s="8" t="n">
        <v>1</v>
      </c>
      <c r="Q470" s="8" t="n">
        <v>1</v>
      </c>
    </row>
    <row r="471">
      <c r="A471" s="8" t="n">
        <v>363</v>
      </c>
      <c r="B471" s="8" t="inlineStr">
        <is>
          <t>CASH_OUT</t>
        </is>
      </c>
      <c r="C471" s="9" t="n">
        <v>2115503.99</v>
      </c>
      <c r="D471" s="8" t="inlineStr">
        <is>
          <t>C429080055</t>
        </is>
      </c>
      <c r="E471" s="9" t="n">
        <v>2115503.99</v>
      </c>
      <c r="F471" s="9" t="n">
        <v>0</v>
      </c>
      <c r="G471" s="8" t="inlineStr">
        <is>
          <t>C1734499928</t>
        </is>
      </c>
      <c r="H471" s="9" t="n">
        <v>0</v>
      </c>
      <c r="I471" s="9" t="n">
        <v>2115503.99</v>
      </c>
      <c r="J471" s="11" t="n">
        <v>1</v>
      </c>
      <c r="K471" s="8" t="n">
        <v>0</v>
      </c>
      <c r="L471" s="8" t="n">
        <v>1</v>
      </c>
      <c r="M471" s="9" t="n">
        <v>2115503.99</v>
      </c>
      <c r="N471" s="9" t="n">
        <v>0</v>
      </c>
      <c r="O471" s="9" t="n">
        <v>0</v>
      </c>
      <c r="P471" s="8" t="n">
        <v>1</v>
      </c>
      <c r="Q471" s="8" t="n">
        <v>1</v>
      </c>
    </row>
    <row r="472">
      <c r="A472" s="8" t="n">
        <v>306</v>
      </c>
      <c r="B472" s="8" t="inlineStr">
        <is>
          <t>CASH_OUT</t>
        </is>
      </c>
      <c r="C472" s="9" t="n">
        <v>55119.09</v>
      </c>
      <c r="D472" s="8" t="inlineStr">
        <is>
          <t>C545703042</t>
        </is>
      </c>
      <c r="E472" s="9" t="n">
        <v>103774</v>
      </c>
      <c r="F472" s="9" t="n">
        <v>48654.91</v>
      </c>
      <c r="G472" s="8" t="inlineStr">
        <is>
          <t>C128031823</t>
        </is>
      </c>
      <c r="H472" s="9" t="n">
        <v>0</v>
      </c>
      <c r="I472" s="9" t="n">
        <v>55119.09</v>
      </c>
      <c r="J472" s="10" t="n">
        <v>0</v>
      </c>
      <c r="K472" s="8" t="n">
        <v>0</v>
      </c>
      <c r="L472" s="8" t="n">
        <v>1</v>
      </c>
      <c r="M472" s="9" t="n">
        <v>103774</v>
      </c>
      <c r="N472" s="9" t="n">
        <v>0</v>
      </c>
      <c r="O472" s="9" t="n">
        <v>0</v>
      </c>
      <c r="P472" s="8" t="n">
        <v>1</v>
      </c>
      <c r="Q472" s="8" t="n">
        <v>1</v>
      </c>
    </row>
    <row r="473">
      <c r="A473" s="8" t="n">
        <v>159</v>
      </c>
      <c r="B473" s="8" t="inlineStr">
        <is>
          <t>PAYMENT</t>
        </is>
      </c>
      <c r="C473" s="9" t="n">
        <v>7169.65</v>
      </c>
      <c r="D473" s="8" t="inlineStr">
        <is>
          <t>C976413639</t>
        </is>
      </c>
      <c r="E473" s="9" t="n">
        <v>610962</v>
      </c>
      <c r="F473" s="9" t="n">
        <v>603792.35</v>
      </c>
      <c r="G473" s="8" t="inlineStr">
        <is>
          <t>M238555612</t>
        </is>
      </c>
      <c r="H473" s="9" t="n">
        <v>0</v>
      </c>
      <c r="I473" s="9" t="n">
        <v>0</v>
      </c>
      <c r="J473" s="10" t="n">
        <v>0</v>
      </c>
      <c r="K473" s="8" t="n">
        <v>1</v>
      </c>
      <c r="L473" s="8" t="n">
        <v>0</v>
      </c>
      <c r="M473" s="9" t="n">
        <v>610962</v>
      </c>
      <c r="N473" s="9" t="n">
        <v>0</v>
      </c>
      <c r="O473" s="9" t="n">
        <v>7169.65</v>
      </c>
      <c r="P473" s="8" t="n">
        <v>0</v>
      </c>
      <c r="Q473" s="8" t="n">
        <v>1</v>
      </c>
    </row>
    <row r="474">
      <c r="A474" s="8" t="n">
        <v>275</v>
      </c>
      <c r="B474" s="8" t="inlineStr">
        <is>
          <t>PAYMENT</t>
        </is>
      </c>
      <c r="C474" s="9" t="n">
        <v>8408.98</v>
      </c>
      <c r="D474" s="8" t="inlineStr">
        <is>
          <t>C1856487932</t>
        </is>
      </c>
      <c r="E474" s="9" t="n">
        <v>30142</v>
      </c>
      <c r="F474" s="9" t="n">
        <v>21733.02</v>
      </c>
      <c r="G474" s="8" t="inlineStr">
        <is>
          <t>M1642080239</t>
        </is>
      </c>
      <c r="H474" s="9" t="n">
        <v>0</v>
      </c>
      <c r="I474" s="9" t="n">
        <v>0</v>
      </c>
      <c r="J474" s="10" t="n">
        <v>0</v>
      </c>
      <c r="K474" s="8" t="n">
        <v>1</v>
      </c>
      <c r="L474" s="8" t="n">
        <v>0</v>
      </c>
      <c r="M474" s="9" t="n">
        <v>30142</v>
      </c>
      <c r="N474" s="9" t="n">
        <v>0</v>
      </c>
      <c r="O474" s="9" t="n">
        <v>8408.98</v>
      </c>
      <c r="P474" s="8" t="n">
        <v>0</v>
      </c>
      <c r="Q474" s="8" t="n">
        <v>1</v>
      </c>
    </row>
    <row r="475">
      <c r="A475" s="8" t="n">
        <v>129</v>
      </c>
      <c r="B475" s="8" t="inlineStr">
        <is>
          <t>TRANSFER</t>
        </is>
      </c>
      <c r="C475" s="9" t="n">
        <v>89737.77</v>
      </c>
      <c r="D475" s="8" t="inlineStr">
        <is>
          <t>C1422974406</t>
        </is>
      </c>
      <c r="E475" s="9" t="n">
        <v>0</v>
      </c>
      <c r="F475" s="9" t="n">
        <v>0</v>
      </c>
      <c r="G475" s="8" t="inlineStr">
        <is>
          <t>C1199456928</t>
        </is>
      </c>
      <c r="H475" s="9" t="n">
        <v>290292.63</v>
      </c>
      <c r="I475" s="9" t="n">
        <v>449606.13</v>
      </c>
      <c r="J475" s="10" t="n">
        <v>0</v>
      </c>
      <c r="K475" s="8" t="n">
        <v>0</v>
      </c>
      <c r="L475" s="8" t="n">
        <v>1</v>
      </c>
      <c r="M475" s="9" t="n">
        <v>290292.63</v>
      </c>
      <c r="N475" s="9" t="n">
        <v>89737.77</v>
      </c>
      <c r="O475" s="9" t="n">
        <v>-69575.73</v>
      </c>
      <c r="P475" s="8" t="n">
        <v>1</v>
      </c>
      <c r="Q475" s="8" t="n">
        <v>0</v>
      </c>
    </row>
    <row r="476">
      <c r="A476" s="8" t="n">
        <v>300</v>
      </c>
      <c r="B476" s="8" t="inlineStr">
        <is>
          <t>TRANSFER</t>
        </is>
      </c>
      <c r="C476" s="9" t="n">
        <v>1236264.45</v>
      </c>
      <c r="D476" s="8" t="inlineStr">
        <is>
          <t>C2125927202</t>
        </is>
      </c>
      <c r="E476" s="9" t="n">
        <v>102473</v>
      </c>
      <c r="F476" s="9" t="n">
        <v>0</v>
      </c>
      <c r="G476" s="8" t="inlineStr">
        <is>
          <t>C798174070</t>
        </is>
      </c>
      <c r="H476" s="9" t="n">
        <v>5731930.79</v>
      </c>
      <c r="I476" s="9" t="n">
        <v>6968195.24</v>
      </c>
      <c r="J476" s="10" t="n">
        <v>0</v>
      </c>
      <c r="K476" s="8" t="n">
        <v>0</v>
      </c>
      <c r="L476" s="8" t="n">
        <v>1</v>
      </c>
      <c r="M476" s="9" t="n">
        <v>5629457.79</v>
      </c>
      <c r="N476" s="9" t="n">
        <v>1133791.45</v>
      </c>
      <c r="O476" s="9" t="n">
        <v>0</v>
      </c>
      <c r="P476" s="8" t="n">
        <v>1</v>
      </c>
      <c r="Q476" s="8" t="n">
        <v>0</v>
      </c>
    </row>
    <row r="477">
      <c r="A477" s="8" t="n">
        <v>376</v>
      </c>
      <c r="B477" s="8" t="inlineStr">
        <is>
          <t>CASH_OUT</t>
        </is>
      </c>
      <c r="C477" s="9" t="n">
        <v>69442.84</v>
      </c>
      <c r="D477" s="8" t="inlineStr">
        <is>
          <t>C1542869375</t>
        </is>
      </c>
      <c r="E477" s="9" t="n">
        <v>11892</v>
      </c>
      <c r="F477" s="9" t="n">
        <v>0</v>
      </c>
      <c r="G477" s="8" t="inlineStr">
        <is>
          <t>C1350373350</t>
        </is>
      </c>
      <c r="H477" s="9" t="n">
        <v>0</v>
      </c>
      <c r="I477" s="9" t="n">
        <v>69442.84</v>
      </c>
      <c r="J477" s="10" t="n">
        <v>0</v>
      </c>
      <c r="K477" s="8" t="n">
        <v>0</v>
      </c>
      <c r="L477" s="8" t="n">
        <v>1</v>
      </c>
      <c r="M477" s="9" t="n">
        <v>11892</v>
      </c>
      <c r="N477" s="9" t="n">
        <v>57550.84</v>
      </c>
      <c r="O477" s="9" t="n">
        <v>0</v>
      </c>
      <c r="P477" s="8" t="n">
        <v>1</v>
      </c>
      <c r="Q477" s="8" t="n">
        <v>0</v>
      </c>
    </row>
    <row r="478">
      <c r="A478" s="8" t="n">
        <v>41</v>
      </c>
      <c r="B478" s="8" t="inlineStr">
        <is>
          <t>CASH_OUT</t>
        </is>
      </c>
      <c r="C478" s="9" t="n">
        <v>181284.31</v>
      </c>
      <c r="D478" s="8" t="inlineStr">
        <is>
          <t>C1126470622</t>
        </is>
      </c>
      <c r="E478" s="9" t="n">
        <v>30817</v>
      </c>
      <c r="F478" s="9" t="n">
        <v>0</v>
      </c>
      <c r="G478" s="8" t="inlineStr">
        <is>
          <t>C596251461</t>
        </is>
      </c>
      <c r="H478" s="9" t="n">
        <v>86202.58</v>
      </c>
      <c r="I478" s="9" t="n">
        <v>267486.9</v>
      </c>
      <c r="J478" s="10" t="n">
        <v>0</v>
      </c>
      <c r="K478" s="8" t="n">
        <v>0</v>
      </c>
      <c r="L478" s="8" t="n">
        <v>1</v>
      </c>
      <c r="M478" s="9" t="n">
        <v>55385.58</v>
      </c>
      <c r="N478" s="9" t="n">
        <v>150467.31</v>
      </c>
      <c r="O478" s="9" t="n">
        <v>-0.01</v>
      </c>
      <c r="P478" s="8" t="n">
        <v>1</v>
      </c>
      <c r="Q478" s="8" t="n">
        <v>0</v>
      </c>
    </row>
    <row r="479">
      <c r="A479" s="8" t="n">
        <v>17</v>
      </c>
      <c r="B479" s="8" t="inlineStr">
        <is>
          <t>PAYMENT</t>
        </is>
      </c>
      <c r="C479" s="9" t="n">
        <v>10491.16</v>
      </c>
      <c r="D479" s="8" t="inlineStr">
        <is>
          <t>C110532507</t>
        </is>
      </c>
      <c r="E479" s="9" t="n">
        <v>0</v>
      </c>
      <c r="F479" s="9" t="n">
        <v>0</v>
      </c>
      <c r="G479" s="8" t="inlineStr">
        <is>
          <t>M1865751965</t>
        </is>
      </c>
      <c r="H479" s="9" t="n">
        <v>0</v>
      </c>
      <c r="I479" s="9" t="n">
        <v>0</v>
      </c>
      <c r="J479" s="10" t="n">
        <v>0</v>
      </c>
      <c r="K479" s="8" t="n">
        <v>1</v>
      </c>
      <c r="L479" s="8" t="n">
        <v>0</v>
      </c>
      <c r="M479" s="9" t="n">
        <v>0</v>
      </c>
      <c r="N479" s="9" t="n">
        <v>10491.16</v>
      </c>
      <c r="O479" s="9" t="n">
        <v>10491.16</v>
      </c>
      <c r="P479" s="8" t="n">
        <v>0</v>
      </c>
      <c r="Q479" s="8" t="n">
        <v>0</v>
      </c>
    </row>
    <row r="480">
      <c r="A480" s="8" t="n">
        <v>361</v>
      </c>
      <c r="B480" s="8" t="inlineStr">
        <is>
          <t>CASH_IN</t>
        </is>
      </c>
      <c r="C480" s="9" t="n">
        <v>240617.57</v>
      </c>
      <c r="D480" s="8" t="inlineStr">
        <is>
          <t>C772955529</t>
        </is>
      </c>
      <c r="E480" s="9" t="n">
        <v>6118437.38</v>
      </c>
      <c r="F480" s="9" t="n">
        <v>6359054.95</v>
      </c>
      <c r="G480" s="8" t="inlineStr">
        <is>
          <t>C1975029780</t>
        </is>
      </c>
      <c r="H480" s="9" t="n">
        <v>490414.78</v>
      </c>
      <c r="I480" s="9" t="n">
        <v>249797.21</v>
      </c>
      <c r="J480" s="10" t="n">
        <v>0</v>
      </c>
      <c r="K480" s="8" t="n">
        <v>0</v>
      </c>
      <c r="L480" s="8" t="n">
        <v>0</v>
      </c>
      <c r="M480" s="9" t="n">
        <v>5628022.6</v>
      </c>
      <c r="N480" s="9" t="n">
        <v>481235.14</v>
      </c>
      <c r="O480" s="9" t="n">
        <v>481235.14</v>
      </c>
      <c r="P480" s="8" t="n">
        <v>1</v>
      </c>
      <c r="Q480" s="8" t="n">
        <v>0</v>
      </c>
    </row>
    <row r="481">
      <c r="A481" s="8" t="n">
        <v>19</v>
      </c>
      <c r="B481" s="8" t="inlineStr">
        <is>
          <t>PAYMENT</t>
        </is>
      </c>
      <c r="C481" s="9" t="n">
        <v>7208.64</v>
      </c>
      <c r="D481" s="8" t="inlineStr">
        <is>
          <t>C1554329206</t>
        </is>
      </c>
      <c r="E481" s="9" t="n">
        <v>0</v>
      </c>
      <c r="F481" s="9" t="n">
        <v>0</v>
      </c>
      <c r="G481" s="8" t="inlineStr">
        <is>
          <t>M1674791440</t>
        </is>
      </c>
      <c r="H481" s="9" t="n">
        <v>0</v>
      </c>
      <c r="I481" s="9" t="n">
        <v>0</v>
      </c>
      <c r="J481" s="10" t="n">
        <v>0</v>
      </c>
      <c r="K481" s="8" t="n">
        <v>1</v>
      </c>
      <c r="L481" s="8" t="n">
        <v>0</v>
      </c>
      <c r="M481" s="9" t="n">
        <v>0</v>
      </c>
      <c r="N481" s="9" t="n">
        <v>7208.64</v>
      </c>
      <c r="O481" s="9" t="n">
        <v>7208.64</v>
      </c>
      <c r="P481" s="8" t="n">
        <v>0</v>
      </c>
      <c r="Q481" s="8" t="n">
        <v>0</v>
      </c>
    </row>
    <row r="482">
      <c r="A482" s="8" t="n">
        <v>164</v>
      </c>
      <c r="B482" s="8" t="inlineStr">
        <is>
          <t>CASH_OUT</t>
        </is>
      </c>
      <c r="C482" s="9" t="n">
        <v>47569.98</v>
      </c>
      <c r="D482" s="8" t="inlineStr">
        <is>
          <t>C428162838</t>
        </is>
      </c>
      <c r="E482" s="9" t="n">
        <v>31642</v>
      </c>
      <c r="F482" s="9" t="n">
        <v>0</v>
      </c>
      <c r="G482" s="8" t="inlineStr">
        <is>
          <t>C589210374</t>
        </is>
      </c>
      <c r="H482" s="9" t="n">
        <v>0</v>
      </c>
      <c r="I482" s="9" t="n">
        <v>47569.98</v>
      </c>
      <c r="J482" s="10" t="n">
        <v>0</v>
      </c>
      <c r="K482" s="8" t="n">
        <v>0</v>
      </c>
      <c r="L482" s="8" t="n">
        <v>1</v>
      </c>
      <c r="M482" s="9" t="n">
        <v>31642</v>
      </c>
      <c r="N482" s="9" t="n">
        <v>15927.98</v>
      </c>
      <c r="O482" s="9" t="n">
        <v>0</v>
      </c>
      <c r="P482" s="8" t="n">
        <v>1</v>
      </c>
      <c r="Q482" s="8" t="n">
        <v>0</v>
      </c>
    </row>
    <row r="483">
      <c r="A483" s="8" t="n">
        <v>563</v>
      </c>
      <c r="B483" s="8" t="inlineStr">
        <is>
          <t>TRANSFER</t>
        </is>
      </c>
      <c r="C483" s="9" t="n">
        <v>1565621.39</v>
      </c>
      <c r="D483" s="8" t="inlineStr">
        <is>
          <t>C1835277194</t>
        </is>
      </c>
      <c r="E483" s="9" t="n">
        <v>1565621.39</v>
      </c>
      <c r="F483" s="9" t="n">
        <v>0</v>
      </c>
      <c r="G483" s="8" t="inlineStr">
        <is>
          <t>C372825955</t>
        </is>
      </c>
      <c r="H483" s="9" t="n">
        <v>0</v>
      </c>
      <c r="I483" s="9" t="n">
        <v>0</v>
      </c>
      <c r="J483" s="11" t="n">
        <v>1</v>
      </c>
      <c r="K483" s="8" t="n">
        <v>0</v>
      </c>
      <c r="L483" s="8" t="n">
        <v>1</v>
      </c>
      <c r="M483" s="9" t="n">
        <v>1565621.39</v>
      </c>
      <c r="N483" s="9" t="n">
        <v>0</v>
      </c>
      <c r="O483" s="9" t="n">
        <v>1565621.39</v>
      </c>
      <c r="P483" s="8" t="n">
        <v>1</v>
      </c>
      <c r="Q483" s="8" t="n">
        <v>1</v>
      </c>
    </row>
    <row r="484">
      <c r="A484" s="8" t="n">
        <v>413</v>
      </c>
      <c r="B484" s="8" t="inlineStr">
        <is>
          <t>TRANSFER</t>
        </is>
      </c>
      <c r="C484" s="9" t="n">
        <v>115085.31</v>
      </c>
      <c r="D484" s="8" t="inlineStr">
        <is>
          <t>C2039186549</t>
        </is>
      </c>
      <c r="E484" s="9" t="n">
        <v>115085.31</v>
      </c>
      <c r="F484" s="9" t="n">
        <v>0</v>
      </c>
      <c r="G484" s="8" t="inlineStr">
        <is>
          <t>C544794295</t>
        </is>
      </c>
      <c r="H484" s="9" t="n">
        <v>0</v>
      </c>
      <c r="I484" s="9" t="n">
        <v>0</v>
      </c>
      <c r="J484" s="11" t="n">
        <v>1</v>
      </c>
      <c r="K484" s="8" t="n">
        <v>0</v>
      </c>
      <c r="L484" s="8" t="n">
        <v>1</v>
      </c>
      <c r="M484" s="9" t="n">
        <v>115085.31</v>
      </c>
      <c r="N484" s="9" t="n">
        <v>0</v>
      </c>
      <c r="O484" s="9" t="n">
        <v>115085.31</v>
      </c>
      <c r="P484" s="8" t="n">
        <v>1</v>
      </c>
      <c r="Q484" s="8" t="n">
        <v>1</v>
      </c>
    </row>
    <row r="485">
      <c r="A485" s="8" t="n">
        <v>182</v>
      </c>
      <c r="B485" s="8" t="inlineStr">
        <is>
          <t>PAYMENT</t>
        </is>
      </c>
      <c r="C485" s="9" t="n">
        <v>15315.59</v>
      </c>
      <c r="D485" s="8" t="inlineStr">
        <is>
          <t>C1503358453</t>
        </is>
      </c>
      <c r="E485" s="9" t="n">
        <v>10252</v>
      </c>
      <c r="F485" s="9" t="n">
        <v>0</v>
      </c>
      <c r="G485" s="8" t="inlineStr">
        <is>
          <t>M972474810</t>
        </is>
      </c>
      <c r="H485" s="9" t="n">
        <v>0</v>
      </c>
      <c r="I485" s="9" t="n">
        <v>0</v>
      </c>
      <c r="J485" s="10" t="n">
        <v>0</v>
      </c>
      <c r="K485" s="8" t="n">
        <v>1</v>
      </c>
      <c r="L485" s="8" t="n">
        <v>0</v>
      </c>
      <c r="M485" s="9" t="n">
        <v>10252</v>
      </c>
      <c r="N485" s="9" t="n">
        <v>5063.59</v>
      </c>
      <c r="O485" s="9" t="n">
        <v>15315.59</v>
      </c>
      <c r="P485" s="8" t="n">
        <v>0</v>
      </c>
      <c r="Q485" s="8" t="n">
        <v>0</v>
      </c>
    </row>
    <row r="486">
      <c r="A486" s="8" t="n">
        <v>238</v>
      </c>
      <c r="B486" s="8" t="inlineStr">
        <is>
          <t>CASH_IN</t>
        </is>
      </c>
      <c r="C486" s="9" t="n">
        <v>78446.71000000001</v>
      </c>
      <c r="D486" s="8" t="inlineStr">
        <is>
          <t>C583139350</t>
        </is>
      </c>
      <c r="E486" s="9" t="n">
        <v>7078</v>
      </c>
      <c r="F486" s="9" t="n">
        <v>85524.71000000001</v>
      </c>
      <c r="G486" s="8" t="inlineStr">
        <is>
          <t>C781608644</t>
        </is>
      </c>
      <c r="H486" s="9" t="n">
        <v>78356.21000000001</v>
      </c>
      <c r="I486" s="9" t="n">
        <v>0</v>
      </c>
      <c r="J486" s="10" t="n">
        <v>0</v>
      </c>
      <c r="K486" s="8" t="n">
        <v>0</v>
      </c>
      <c r="L486" s="8" t="n">
        <v>0</v>
      </c>
      <c r="M486" s="9" t="n">
        <v>71278.21000000001</v>
      </c>
      <c r="N486" s="9" t="n">
        <v>156893.42</v>
      </c>
      <c r="O486" s="9" t="n">
        <v>156802.92</v>
      </c>
      <c r="P486" s="8" t="n">
        <v>1</v>
      </c>
      <c r="Q486" s="8" t="n">
        <v>0</v>
      </c>
    </row>
    <row r="487">
      <c r="A487" s="8" t="n">
        <v>165</v>
      </c>
      <c r="B487" s="8" t="inlineStr">
        <is>
          <t>CASH_OUT</t>
        </is>
      </c>
      <c r="C487" s="9" t="n">
        <v>110911.87</v>
      </c>
      <c r="D487" s="8" t="inlineStr">
        <is>
          <t>C172684477</t>
        </is>
      </c>
      <c r="E487" s="9" t="n">
        <v>754907</v>
      </c>
      <c r="F487" s="9" t="n">
        <v>643995.13</v>
      </c>
      <c r="G487" s="8" t="inlineStr">
        <is>
          <t>C549416182</t>
        </is>
      </c>
      <c r="H487" s="9" t="n">
        <v>0</v>
      </c>
      <c r="I487" s="9" t="n">
        <v>110911.87</v>
      </c>
      <c r="J487" s="10" t="n">
        <v>0</v>
      </c>
      <c r="K487" s="8" t="n">
        <v>0</v>
      </c>
      <c r="L487" s="8" t="n">
        <v>1</v>
      </c>
      <c r="M487" s="9" t="n">
        <v>754907</v>
      </c>
      <c r="N487" s="9" t="n">
        <v>0</v>
      </c>
      <c r="O487" s="9" t="n">
        <v>0</v>
      </c>
      <c r="P487" s="8" t="n">
        <v>1</v>
      </c>
      <c r="Q487" s="8" t="n">
        <v>1</v>
      </c>
    </row>
    <row r="488">
      <c r="A488" s="8" t="n">
        <v>213</v>
      </c>
      <c r="B488" s="8" t="inlineStr">
        <is>
          <t>PAYMENT</t>
        </is>
      </c>
      <c r="C488" s="9" t="n">
        <v>1351.2</v>
      </c>
      <c r="D488" s="8" t="inlineStr">
        <is>
          <t>C1855976502</t>
        </is>
      </c>
      <c r="E488" s="9" t="n">
        <v>163032.68</v>
      </c>
      <c r="F488" s="9" t="n">
        <v>161681.48</v>
      </c>
      <c r="G488" s="8" t="inlineStr">
        <is>
          <t>M1553399331</t>
        </is>
      </c>
      <c r="H488" s="9" t="n">
        <v>0</v>
      </c>
      <c r="I488" s="9" t="n">
        <v>0</v>
      </c>
      <c r="J488" s="10" t="n">
        <v>0</v>
      </c>
      <c r="K488" s="8" t="n">
        <v>1</v>
      </c>
      <c r="L488" s="8" t="n">
        <v>0</v>
      </c>
      <c r="M488" s="9" t="n">
        <v>163032.68</v>
      </c>
      <c r="N488" s="9" t="n">
        <v>0</v>
      </c>
      <c r="O488" s="9" t="n">
        <v>1351.2</v>
      </c>
      <c r="P488" s="8" t="n">
        <v>0</v>
      </c>
      <c r="Q488" s="8" t="n">
        <v>1</v>
      </c>
    </row>
    <row r="489">
      <c r="A489" s="8" t="n">
        <v>395</v>
      </c>
      <c r="B489" s="8" t="inlineStr">
        <is>
          <t>PAYMENT</t>
        </is>
      </c>
      <c r="C489" s="9" t="n">
        <v>2272.61</v>
      </c>
      <c r="D489" s="8" t="inlineStr">
        <is>
          <t>C1265813731</t>
        </is>
      </c>
      <c r="E489" s="9" t="n">
        <v>1249</v>
      </c>
      <c r="F489" s="9" t="n">
        <v>0</v>
      </c>
      <c r="G489" s="8" t="inlineStr">
        <is>
          <t>M391232929</t>
        </is>
      </c>
      <c r="H489" s="9" t="n">
        <v>0</v>
      </c>
      <c r="I489" s="9" t="n">
        <v>0</v>
      </c>
      <c r="J489" s="10" t="n">
        <v>0</v>
      </c>
      <c r="K489" s="8" t="n">
        <v>1</v>
      </c>
      <c r="L489" s="8" t="n">
        <v>0</v>
      </c>
      <c r="M489" s="9" t="n">
        <v>1249</v>
      </c>
      <c r="N489" s="9" t="n">
        <v>1023.61</v>
      </c>
      <c r="O489" s="9" t="n">
        <v>2272.61</v>
      </c>
      <c r="P489" s="8" t="n">
        <v>0</v>
      </c>
      <c r="Q489" s="8" t="n">
        <v>0</v>
      </c>
    </row>
    <row r="490">
      <c r="A490" s="8" t="n">
        <v>354</v>
      </c>
      <c r="B490" s="8" t="inlineStr">
        <is>
          <t>PAYMENT</t>
        </is>
      </c>
      <c r="C490" s="9" t="n">
        <v>2435.44</v>
      </c>
      <c r="D490" s="8" t="inlineStr">
        <is>
          <t>C1521727067</t>
        </is>
      </c>
      <c r="E490" s="9" t="n">
        <v>10737</v>
      </c>
      <c r="F490" s="9" t="n">
        <v>8301.559999999999</v>
      </c>
      <c r="G490" s="8" t="inlineStr">
        <is>
          <t>M2044029740</t>
        </is>
      </c>
      <c r="H490" s="9" t="n">
        <v>0</v>
      </c>
      <c r="I490" s="9" t="n">
        <v>0</v>
      </c>
      <c r="J490" s="10" t="n">
        <v>0</v>
      </c>
      <c r="K490" s="8" t="n">
        <v>1</v>
      </c>
      <c r="L490" s="8" t="n">
        <v>0</v>
      </c>
      <c r="M490" s="9" t="n">
        <v>10737</v>
      </c>
      <c r="N490" s="9" t="n">
        <v>0</v>
      </c>
      <c r="O490" s="9" t="n">
        <v>2435.44</v>
      </c>
      <c r="P490" s="8" t="n">
        <v>0</v>
      </c>
      <c r="Q490" s="8" t="n">
        <v>1</v>
      </c>
    </row>
    <row r="491">
      <c r="A491" s="8" t="n">
        <v>333</v>
      </c>
      <c r="B491" s="8" t="inlineStr">
        <is>
          <t>TRANSFER</t>
        </is>
      </c>
      <c r="C491" s="9" t="n">
        <v>1861928.35</v>
      </c>
      <c r="D491" s="8" t="inlineStr">
        <is>
          <t>C1160054760</t>
        </is>
      </c>
      <c r="E491" s="9" t="n">
        <v>1861928.35</v>
      </c>
      <c r="F491" s="9" t="n">
        <v>0</v>
      </c>
      <c r="G491" s="8" t="inlineStr">
        <is>
          <t>C223760078</t>
        </is>
      </c>
      <c r="H491" s="9" t="n">
        <v>0</v>
      </c>
      <c r="I491" s="9" t="n">
        <v>0</v>
      </c>
      <c r="J491" s="11" t="n">
        <v>1</v>
      </c>
      <c r="K491" s="8" t="n">
        <v>0</v>
      </c>
      <c r="L491" s="8" t="n">
        <v>1</v>
      </c>
      <c r="M491" s="9" t="n">
        <v>1861928.35</v>
      </c>
      <c r="N491" s="9" t="n">
        <v>0</v>
      </c>
      <c r="O491" s="9" t="n">
        <v>1861928.35</v>
      </c>
      <c r="P491" s="8" t="n">
        <v>1</v>
      </c>
      <c r="Q491" s="8" t="n">
        <v>1</v>
      </c>
    </row>
    <row r="492">
      <c r="A492" s="8" t="n">
        <v>379</v>
      </c>
      <c r="B492" s="8" t="inlineStr">
        <is>
          <t>CASH_OUT</t>
        </is>
      </c>
      <c r="C492" s="9" t="n">
        <v>15555.93</v>
      </c>
      <c r="D492" s="8" t="inlineStr">
        <is>
          <t>C2127210425</t>
        </is>
      </c>
      <c r="E492" s="9" t="n">
        <v>3117</v>
      </c>
      <c r="F492" s="9" t="n">
        <v>0</v>
      </c>
      <c r="G492" s="8" t="inlineStr">
        <is>
          <t>C934567448</t>
        </is>
      </c>
      <c r="H492" s="9" t="n">
        <v>61118.71</v>
      </c>
      <c r="I492" s="9" t="n">
        <v>76674.64</v>
      </c>
      <c r="J492" s="10" t="n">
        <v>0</v>
      </c>
      <c r="K492" s="8" t="n">
        <v>0</v>
      </c>
      <c r="L492" s="8" t="n">
        <v>1</v>
      </c>
      <c r="M492" s="9" t="n">
        <v>58001.71</v>
      </c>
      <c r="N492" s="9" t="n">
        <v>12438.93</v>
      </c>
      <c r="O492" s="9" t="n">
        <v>0</v>
      </c>
      <c r="P492" s="8" t="n">
        <v>1</v>
      </c>
      <c r="Q492" s="8" t="n">
        <v>0</v>
      </c>
    </row>
    <row r="493">
      <c r="A493" s="8" t="n">
        <v>707</v>
      </c>
      <c r="B493" s="8" t="inlineStr">
        <is>
          <t>TRANSFER</t>
        </is>
      </c>
      <c r="C493" s="9" t="n">
        <v>226402.77</v>
      </c>
      <c r="D493" s="8" t="inlineStr">
        <is>
          <t>C1176671535</t>
        </is>
      </c>
      <c r="E493" s="9" t="n">
        <v>226402.77</v>
      </c>
      <c r="F493" s="9" t="n">
        <v>0</v>
      </c>
      <c r="G493" s="8" t="inlineStr">
        <is>
          <t>C385619809</t>
        </is>
      </c>
      <c r="H493" s="9" t="n">
        <v>0</v>
      </c>
      <c r="I493" s="9" t="n">
        <v>0</v>
      </c>
      <c r="J493" s="11" t="n">
        <v>1</v>
      </c>
      <c r="K493" s="8" t="n">
        <v>0</v>
      </c>
      <c r="L493" s="8" t="n">
        <v>1</v>
      </c>
      <c r="M493" s="9" t="n">
        <v>226402.77</v>
      </c>
      <c r="N493" s="9" t="n">
        <v>0</v>
      </c>
      <c r="O493" s="9" t="n">
        <v>226402.77</v>
      </c>
      <c r="P493" s="8" t="n">
        <v>1</v>
      </c>
      <c r="Q493" s="8" t="n">
        <v>1</v>
      </c>
    </row>
    <row r="494">
      <c r="A494" s="8" t="n">
        <v>304</v>
      </c>
      <c r="B494" s="8" t="inlineStr">
        <is>
          <t>CASH_IN</t>
        </is>
      </c>
      <c r="C494" s="9" t="n">
        <v>300242.37</v>
      </c>
      <c r="D494" s="8" t="inlineStr">
        <is>
          <t>C1191883746</t>
        </is>
      </c>
      <c r="E494" s="9" t="n">
        <v>4838657.01</v>
      </c>
      <c r="F494" s="9" t="n">
        <v>5138899.38</v>
      </c>
      <c r="G494" s="8" t="inlineStr">
        <is>
          <t>C624518076</t>
        </is>
      </c>
      <c r="H494" s="9" t="n">
        <v>10329477.29</v>
      </c>
      <c r="I494" s="9" t="n">
        <v>10029234.92</v>
      </c>
      <c r="J494" s="10" t="n">
        <v>0</v>
      </c>
      <c r="K494" s="8" t="n">
        <v>0</v>
      </c>
      <c r="L494" s="8" t="n">
        <v>0</v>
      </c>
      <c r="M494" s="9" t="n">
        <v>5490820.279999999</v>
      </c>
      <c r="N494" s="9" t="n">
        <v>600484.74</v>
      </c>
      <c r="O494" s="9" t="n">
        <v>600484.74</v>
      </c>
      <c r="P494" s="8" t="n">
        <v>1</v>
      </c>
      <c r="Q494" s="8" t="n">
        <v>0</v>
      </c>
    </row>
    <row r="495">
      <c r="A495" s="8" t="n">
        <v>401</v>
      </c>
      <c r="B495" s="8" t="inlineStr">
        <is>
          <t>PAYMENT</t>
        </is>
      </c>
      <c r="C495" s="9" t="n">
        <v>10725.38</v>
      </c>
      <c r="D495" s="8" t="inlineStr">
        <is>
          <t>C1051683815</t>
        </is>
      </c>
      <c r="E495" s="9" t="n">
        <v>11845.43</v>
      </c>
      <c r="F495" s="9" t="n">
        <v>1120.05</v>
      </c>
      <c r="G495" s="8" t="inlineStr">
        <is>
          <t>M1288214242</t>
        </is>
      </c>
      <c r="H495" s="9" t="n">
        <v>0</v>
      </c>
      <c r="I495" s="9" t="n">
        <v>0</v>
      </c>
      <c r="J495" s="10" t="n">
        <v>0</v>
      </c>
      <c r="K495" s="8" t="n">
        <v>1</v>
      </c>
      <c r="L495" s="8" t="n">
        <v>0</v>
      </c>
      <c r="M495" s="9" t="n">
        <v>11845.43</v>
      </c>
      <c r="N495" s="9" t="n">
        <v>-0</v>
      </c>
      <c r="O495" s="9" t="n">
        <v>10725.38</v>
      </c>
      <c r="P495" s="8" t="n">
        <v>0</v>
      </c>
      <c r="Q495" s="8" t="n">
        <v>1</v>
      </c>
    </row>
    <row r="496">
      <c r="A496" s="8" t="n">
        <v>158</v>
      </c>
      <c r="B496" s="8" t="inlineStr">
        <is>
          <t>CASH_IN</t>
        </is>
      </c>
      <c r="C496" s="9" t="n">
        <v>60219.31</v>
      </c>
      <c r="D496" s="8" t="inlineStr">
        <is>
          <t>C1423259616</t>
        </is>
      </c>
      <c r="E496" s="9" t="n">
        <v>10631679.33</v>
      </c>
      <c r="F496" s="9" t="n">
        <v>10691898.65</v>
      </c>
      <c r="G496" s="8" t="inlineStr">
        <is>
          <t>C146305349</t>
        </is>
      </c>
      <c r="H496" s="9" t="n">
        <v>14165848.18</v>
      </c>
      <c r="I496" s="9" t="n">
        <v>14105628.87</v>
      </c>
      <c r="J496" s="10" t="n">
        <v>0</v>
      </c>
      <c r="K496" s="8" t="n">
        <v>0</v>
      </c>
      <c r="L496" s="8" t="n">
        <v>0</v>
      </c>
      <c r="M496" s="9" t="n">
        <v>3534168.85</v>
      </c>
      <c r="N496" s="9" t="n">
        <v>120438.63</v>
      </c>
      <c r="O496" s="9" t="n">
        <v>120438.62</v>
      </c>
      <c r="P496" s="8" t="n">
        <v>1</v>
      </c>
      <c r="Q496" s="8" t="n">
        <v>0</v>
      </c>
    </row>
    <row r="497">
      <c r="A497" s="8" t="n">
        <v>384</v>
      </c>
      <c r="B497" s="8" t="inlineStr">
        <is>
          <t>TRANSFER</t>
        </is>
      </c>
      <c r="C497" s="9" t="n">
        <v>2374412.42</v>
      </c>
      <c r="D497" s="8" t="inlineStr">
        <is>
          <t>C958603903</t>
        </is>
      </c>
      <c r="E497" s="9" t="n">
        <v>2374412.42</v>
      </c>
      <c r="F497" s="9" t="n">
        <v>0</v>
      </c>
      <c r="G497" s="8" t="inlineStr">
        <is>
          <t>C68780715</t>
        </is>
      </c>
      <c r="H497" s="9" t="n">
        <v>0</v>
      </c>
      <c r="I497" s="9" t="n">
        <v>0</v>
      </c>
      <c r="J497" s="11" t="n">
        <v>1</v>
      </c>
      <c r="K497" s="8" t="n">
        <v>0</v>
      </c>
      <c r="L497" s="8" t="n">
        <v>1</v>
      </c>
      <c r="M497" s="9" t="n">
        <v>2374412.42</v>
      </c>
      <c r="N497" s="9" t="n">
        <v>0</v>
      </c>
      <c r="O497" s="9" t="n">
        <v>2374412.42</v>
      </c>
      <c r="P497" s="8" t="n">
        <v>1</v>
      </c>
      <c r="Q497" s="8" t="n">
        <v>1</v>
      </c>
    </row>
    <row r="498">
      <c r="A498" s="8" t="n">
        <v>187</v>
      </c>
      <c r="B498" s="8" t="inlineStr">
        <is>
          <t>TRANSFER</t>
        </is>
      </c>
      <c r="C498" s="9" t="n">
        <v>1131511.03</v>
      </c>
      <c r="D498" s="8" t="inlineStr">
        <is>
          <t>C1500897857</t>
        </is>
      </c>
      <c r="E498" s="9" t="n">
        <v>0</v>
      </c>
      <c r="F498" s="9" t="n">
        <v>0</v>
      </c>
      <c r="G498" s="8" t="inlineStr">
        <is>
          <t>C1327353236</t>
        </is>
      </c>
      <c r="H498" s="9" t="n">
        <v>2104911.27</v>
      </c>
      <c r="I498" s="9" t="n">
        <v>3236422.31</v>
      </c>
      <c r="J498" s="10" t="n">
        <v>0</v>
      </c>
      <c r="K498" s="8" t="n">
        <v>0</v>
      </c>
      <c r="L498" s="8" t="n">
        <v>1</v>
      </c>
      <c r="M498" s="9" t="n">
        <v>2104911.27</v>
      </c>
      <c r="N498" s="9" t="n">
        <v>1131511.03</v>
      </c>
      <c r="O498" s="9" t="n">
        <v>-0.01</v>
      </c>
      <c r="P498" s="8" t="n">
        <v>1</v>
      </c>
      <c r="Q498" s="8" t="n">
        <v>0</v>
      </c>
    </row>
    <row r="499">
      <c r="A499" s="8" t="n">
        <v>260</v>
      </c>
      <c r="B499" s="8" t="inlineStr">
        <is>
          <t>TRANSFER</t>
        </is>
      </c>
      <c r="C499" s="9" t="n">
        <v>29012.84</v>
      </c>
      <c r="D499" s="8" t="inlineStr">
        <is>
          <t>C1322437027</t>
        </is>
      </c>
      <c r="E499" s="9" t="n">
        <v>0</v>
      </c>
      <c r="F499" s="9" t="n">
        <v>0</v>
      </c>
      <c r="G499" s="8" t="inlineStr">
        <is>
          <t>C2084271535</t>
        </is>
      </c>
      <c r="H499" s="9" t="n">
        <v>2601312.77</v>
      </c>
      <c r="I499" s="9" t="n">
        <v>2630325.61</v>
      </c>
      <c r="J499" s="10" t="n">
        <v>0</v>
      </c>
      <c r="K499" s="8" t="n">
        <v>0</v>
      </c>
      <c r="L499" s="8" t="n">
        <v>1</v>
      </c>
      <c r="M499" s="9" t="n">
        <v>2601312.77</v>
      </c>
      <c r="N499" s="9" t="n">
        <v>29012.84</v>
      </c>
      <c r="O499" s="9" t="n">
        <v>0</v>
      </c>
      <c r="P499" s="8" t="n">
        <v>1</v>
      </c>
      <c r="Q499" s="8" t="n">
        <v>0</v>
      </c>
    </row>
    <row r="500">
      <c r="A500" s="8" t="n">
        <v>249</v>
      </c>
      <c r="B500" s="8" t="inlineStr">
        <is>
          <t>TRANSFER</t>
        </is>
      </c>
      <c r="C500" s="9" t="n">
        <v>86272.83</v>
      </c>
      <c r="D500" s="8" t="inlineStr">
        <is>
          <t>C387481186</t>
        </is>
      </c>
      <c r="E500" s="9" t="n">
        <v>0</v>
      </c>
      <c r="F500" s="9" t="n">
        <v>0</v>
      </c>
      <c r="G500" s="8" t="inlineStr">
        <is>
          <t>C287401253</t>
        </is>
      </c>
      <c r="H500" s="9" t="n">
        <v>865817.86</v>
      </c>
      <c r="I500" s="9" t="n">
        <v>952090.6899999999</v>
      </c>
      <c r="J500" s="10" t="n">
        <v>0</v>
      </c>
      <c r="K500" s="8" t="n">
        <v>0</v>
      </c>
      <c r="L500" s="8" t="n">
        <v>1</v>
      </c>
      <c r="M500" s="9" t="n">
        <v>865817.86</v>
      </c>
      <c r="N500" s="9" t="n">
        <v>86272.83</v>
      </c>
      <c r="O500" s="9" t="n">
        <v>0</v>
      </c>
      <c r="P500" s="8" t="n">
        <v>1</v>
      </c>
      <c r="Q500" s="8" t="n">
        <v>0</v>
      </c>
    </row>
    <row r="501">
      <c r="A501" s="8" t="n">
        <v>235</v>
      </c>
      <c r="B501" s="8" t="inlineStr">
        <is>
          <t>PAYMENT</t>
        </is>
      </c>
      <c r="C501" s="9" t="n">
        <v>8592.709999999999</v>
      </c>
      <c r="D501" s="8" t="inlineStr">
        <is>
          <t>C171050246</t>
        </is>
      </c>
      <c r="E501" s="9" t="n">
        <v>0</v>
      </c>
      <c r="F501" s="9" t="n">
        <v>0</v>
      </c>
      <c r="G501" s="8" t="inlineStr">
        <is>
          <t>M1774880170</t>
        </is>
      </c>
      <c r="H501" s="9" t="n">
        <v>0</v>
      </c>
      <c r="I501" s="9" t="n">
        <v>0</v>
      </c>
      <c r="J501" s="10" t="n">
        <v>0</v>
      </c>
      <c r="K501" s="8" t="n">
        <v>1</v>
      </c>
      <c r="L501" s="8" t="n">
        <v>0</v>
      </c>
      <c r="M501" s="9" t="n">
        <v>0</v>
      </c>
      <c r="N501" s="9" t="n">
        <v>8592.709999999999</v>
      </c>
      <c r="O501" s="9" t="n">
        <v>8592.709999999999</v>
      </c>
      <c r="P501" s="8" t="n">
        <v>0</v>
      </c>
      <c r="Q501" s="8" t="n">
        <v>0</v>
      </c>
    </row>
    <row r="502">
      <c r="A502" s="8" t="n">
        <v>156</v>
      </c>
      <c r="B502" s="8" t="inlineStr">
        <is>
          <t>CASH_IN</t>
        </is>
      </c>
      <c r="C502" s="9" t="n">
        <v>469509.8</v>
      </c>
      <c r="D502" s="8" t="inlineStr">
        <is>
          <t>C198997713</t>
        </is>
      </c>
      <c r="E502" s="9" t="n">
        <v>7378523.67</v>
      </c>
      <c r="F502" s="9" t="n">
        <v>7848033.47</v>
      </c>
      <c r="G502" s="8" t="inlineStr">
        <is>
          <t>C1988221696</t>
        </is>
      </c>
      <c r="H502" s="9" t="n">
        <v>3478087.76</v>
      </c>
      <c r="I502" s="9" t="n">
        <v>3008577.96</v>
      </c>
      <c r="J502" s="10" t="n">
        <v>0</v>
      </c>
      <c r="K502" s="8" t="n">
        <v>0</v>
      </c>
      <c r="L502" s="8" t="n">
        <v>0</v>
      </c>
      <c r="M502" s="9" t="n">
        <v>3900435.91</v>
      </c>
      <c r="N502" s="9" t="n">
        <v>939019.6</v>
      </c>
      <c r="O502" s="9" t="n">
        <v>939019.6</v>
      </c>
      <c r="P502" s="8" t="n">
        <v>1</v>
      </c>
      <c r="Q502" s="8" t="n">
        <v>0</v>
      </c>
    </row>
    <row r="503">
      <c r="A503" s="8" t="n">
        <v>393</v>
      </c>
      <c r="B503" s="8" t="inlineStr">
        <is>
          <t>PAYMENT</t>
        </is>
      </c>
      <c r="C503" s="9" t="n">
        <v>35243.85</v>
      </c>
      <c r="D503" s="8" t="inlineStr">
        <is>
          <t>C547531872</t>
        </is>
      </c>
      <c r="E503" s="9" t="n">
        <v>0</v>
      </c>
      <c r="F503" s="9" t="n">
        <v>0</v>
      </c>
      <c r="G503" s="8" t="inlineStr">
        <is>
          <t>M2070088360</t>
        </is>
      </c>
      <c r="H503" s="9" t="n">
        <v>0</v>
      </c>
      <c r="I503" s="9" t="n">
        <v>0</v>
      </c>
      <c r="J503" s="10" t="n">
        <v>0</v>
      </c>
      <c r="K503" s="8" t="n">
        <v>1</v>
      </c>
      <c r="L503" s="8" t="n">
        <v>0</v>
      </c>
      <c r="M503" s="9" t="n">
        <v>0</v>
      </c>
      <c r="N503" s="9" t="n">
        <v>35243.85</v>
      </c>
      <c r="O503" s="9" t="n">
        <v>35243.85</v>
      </c>
      <c r="P503" s="8" t="n">
        <v>0</v>
      </c>
      <c r="Q503" s="8" t="n">
        <v>0</v>
      </c>
    </row>
    <row r="504">
      <c r="A504" s="8" t="n">
        <v>658</v>
      </c>
      <c r="B504" s="8" t="inlineStr">
        <is>
          <t>TRANSFER</t>
        </is>
      </c>
      <c r="C504" s="9" t="n">
        <v>24522.52</v>
      </c>
      <c r="D504" s="8" t="inlineStr">
        <is>
          <t>C465687817</t>
        </is>
      </c>
      <c r="E504" s="9" t="n">
        <v>24522.52</v>
      </c>
      <c r="F504" s="9" t="n">
        <v>0</v>
      </c>
      <c r="G504" s="8" t="inlineStr">
        <is>
          <t>C765570809</t>
        </is>
      </c>
      <c r="H504" s="9" t="n">
        <v>0</v>
      </c>
      <c r="I504" s="9" t="n">
        <v>0</v>
      </c>
      <c r="J504" s="11" t="n">
        <v>1</v>
      </c>
      <c r="K504" s="8" t="n">
        <v>0</v>
      </c>
      <c r="L504" s="8" t="n">
        <v>1</v>
      </c>
      <c r="M504" s="9" t="n">
        <v>24522.52</v>
      </c>
      <c r="N504" s="9" t="n">
        <v>0</v>
      </c>
      <c r="O504" s="9" t="n">
        <v>24522.52</v>
      </c>
      <c r="P504" s="8" t="n">
        <v>1</v>
      </c>
      <c r="Q504" s="8" t="n">
        <v>1</v>
      </c>
    </row>
    <row r="505">
      <c r="A505" s="8" t="n">
        <v>349</v>
      </c>
      <c r="B505" s="8" t="inlineStr">
        <is>
          <t>CASH_OUT</t>
        </is>
      </c>
      <c r="C505" s="9" t="n">
        <v>3309631.1</v>
      </c>
      <c r="D505" s="8" t="inlineStr">
        <is>
          <t>C294569503</t>
        </is>
      </c>
      <c r="E505" s="9" t="n">
        <v>3309631.1</v>
      </c>
      <c r="F505" s="9" t="n">
        <v>0</v>
      </c>
      <c r="G505" s="8" t="inlineStr">
        <is>
          <t>C229133194</t>
        </is>
      </c>
      <c r="H505" s="9" t="n">
        <v>0</v>
      </c>
      <c r="I505" s="9" t="n">
        <v>3309631.1</v>
      </c>
      <c r="J505" s="11" t="n">
        <v>1</v>
      </c>
      <c r="K505" s="8" t="n">
        <v>0</v>
      </c>
      <c r="L505" s="8" t="n">
        <v>1</v>
      </c>
      <c r="M505" s="9" t="n">
        <v>3309631.1</v>
      </c>
      <c r="N505" s="9" t="n">
        <v>0</v>
      </c>
      <c r="O505" s="9" t="n">
        <v>0</v>
      </c>
      <c r="P505" s="8" t="n">
        <v>1</v>
      </c>
      <c r="Q505" s="8" t="n">
        <v>1</v>
      </c>
    </row>
    <row r="506">
      <c r="A506" s="8" t="n">
        <v>234</v>
      </c>
      <c r="B506" s="8" t="inlineStr">
        <is>
          <t>CASH_OUT</t>
        </is>
      </c>
      <c r="C506" s="9" t="n">
        <v>193374.5</v>
      </c>
      <c r="D506" s="8" t="inlineStr">
        <is>
          <t>C1992820627</t>
        </is>
      </c>
      <c r="E506" s="9" t="n">
        <v>0</v>
      </c>
      <c r="F506" s="9" t="n">
        <v>0</v>
      </c>
      <c r="G506" s="8" t="inlineStr">
        <is>
          <t>C1577787540</t>
        </is>
      </c>
      <c r="H506" s="9" t="n">
        <v>823133.38</v>
      </c>
      <c r="I506" s="9" t="n">
        <v>1016507.89</v>
      </c>
      <c r="J506" s="10" t="n">
        <v>0</v>
      </c>
      <c r="K506" s="8" t="n">
        <v>0</v>
      </c>
      <c r="L506" s="8" t="n">
        <v>1</v>
      </c>
      <c r="M506" s="9" t="n">
        <v>823133.38</v>
      </c>
      <c r="N506" s="9" t="n">
        <v>193374.5</v>
      </c>
      <c r="O506" s="9" t="n">
        <v>-0.01</v>
      </c>
      <c r="P506" s="8" t="n">
        <v>1</v>
      </c>
      <c r="Q506" s="8" t="n">
        <v>0</v>
      </c>
    </row>
    <row r="507">
      <c r="A507" s="8" t="n">
        <v>130</v>
      </c>
      <c r="B507" s="8" t="inlineStr">
        <is>
          <t>PAYMENT</t>
        </is>
      </c>
      <c r="C507" s="9" t="n">
        <v>4533.46</v>
      </c>
      <c r="D507" s="8" t="inlineStr">
        <is>
          <t>C763762209</t>
        </is>
      </c>
      <c r="E507" s="9" t="n">
        <v>10196.84</v>
      </c>
      <c r="F507" s="9" t="n">
        <v>5663.38</v>
      </c>
      <c r="G507" s="8" t="inlineStr">
        <is>
          <t>M1272678264</t>
        </is>
      </c>
      <c r="H507" s="9" t="n">
        <v>0</v>
      </c>
      <c r="I507" s="9" t="n">
        <v>0</v>
      </c>
      <c r="J507" s="10" t="n">
        <v>0</v>
      </c>
      <c r="K507" s="8" t="n">
        <v>1</v>
      </c>
      <c r="L507" s="8" t="n">
        <v>0</v>
      </c>
      <c r="M507" s="9" t="n">
        <v>10196.84</v>
      </c>
      <c r="N507" s="9" t="n">
        <v>0</v>
      </c>
      <c r="O507" s="9" t="n">
        <v>4533.46</v>
      </c>
      <c r="P507" s="8" t="n">
        <v>0</v>
      </c>
      <c r="Q507" s="8" t="n">
        <v>1</v>
      </c>
    </row>
    <row r="508">
      <c r="A508" s="8" t="n">
        <v>177</v>
      </c>
      <c r="B508" s="8" t="inlineStr">
        <is>
          <t>CASH_OUT</t>
        </is>
      </c>
      <c r="C508" s="9" t="n">
        <v>297903.69</v>
      </c>
      <c r="D508" s="8" t="inlineStr">
        <is>
          <t>C1848106506</t>
        </is>
      </c>
      <c r="E508" s="9" t="n">
        <v>104872</v>
      </c>
      <c r="F508" s="9" t="n">
        <v>0</v>
      </c>
      <c r="G508" s="8" t="inlineStr">
        <is>
          <t>C540991810</t>
        </is>
      </c>
      <c r="H508" s="9" t="n">
        <v>357828.23</v>
      </c>
      <c r="I508" s="9" t="n">
        <v>655731.91</v>
      </c>
      <c r="J508" s="10" t="n">
        <v>0</v>
      </c>
      <c r="K508" s="8" t="n">
        <v>0</v>
      </c>
      <c r="L508" s="8" t="n">
        <v>1</v>
      </c>
      <c r="M508" s="9" t="n">
        <v>252956.23</v>
      </c>
      <c r="N508" s="9" t="n">
        <v>193031.69</v>
      </c>
      <c r="O508" s="9" t="n">
        <v>0.01</v>
      </c>
      <c r="P508" s="8" t="n">
        <v>1</v>
      </c>
      <c r="Q508" s="8" t="n">
        <v>0</v>
      </c>
    </row>
    <row r="509">
      <c r="A509" s="8" t="n">
        <v>135</v>
      </c>
      <c r="B509" s="8" t="inlineStr">
        <is>
          <t>CASH_IN</t>
        </is>
      </c>
      <c r="C509" s="9" t="n">
        <v>125119.86</v>
      </c>
      <c r="D509" s="8" t="inlineStr">
        <is>
          <t>C1742066704</t>
        </is>
      </c>
      <c r="E509" s="9" t="n">
        <v>4061027.54</v>
      </c>
      <c r="F509" s="9" t="n">
        <v>4186147.4</v>
      </c>
      <c r="G509" s="8" t="inlineStr">
        <is>
          <t>C607087259</t>
        </is>
      </c>
      <c r="H509" s="9" t="n">
        <v>227772.33</v>
      </c>
      <c r="I509" s="9" t="n">
        <v>102652.47</v>
      </c>
      <c r="J509" s="10" t="n">
        <v>0</v>
      </c>
      <c r="K509" s="8" t="n">
        <v>0</v>
      </c>
      <c r="L509" s="8" t="n">
        <v>0</v>
      </c>
      <c r="M509" s="9" t="n">
        <v>3833255.21</v>
      </c>
      <c r="N509" s="9" t="n">
        <v>250239.72</v>
      </c>
      <c r="O509" s="9" t="n">
        <v>250239.72</v>
      </c>
      <c r="P509" s="8" t="n">
        <v>1</v>
      </c>
      <c r="Q509" s="8" t="n">
        <v>0</v>
      </c>
    </row>
    <row r="510">
      <c r="A510" s="8" t="n">
        <v>138</v>
      </c>
      <c r="B510" s="8" t="inlineStr">
        <is>
          <t>PAYMENT</t>
        </is>
      </c>
      <c r="C510" s="9" t="n">
        <v>4836.6</v>
      </c>
      <c r="D510" s="8" t="inlineStr">
        <is>
          <t>C2023104264</t>
        </is>
      </c>
      <c r="E510" s="9" t="n">
        <v>524</v>
      </c>
      <c r="F510" s="9" t="n">
        <v>0</v>
      </c>
      <c r="G510" s="8" t="inlineStr">
        <is>
          <t>M1114142254</t>
        </is>
      </c>
      <c r="H510" s="9" t="n">
        <v>0</v>
      </c>
      <c r="I510" s="9" t="n">
        <v>0</v>
      </c>
      <c r="J510" s="10" t="n">
        <v>0</v>
      </c>
      <c r="K510" s="8" t="n">
        <v>1</v>
      </c>
      <c r="L510" s="8" t="n">
        <v>0</v>
      </c>
      <c r="M510" s="9" t="n">
        <v>524</v>
      </c>
      <c r="N510" s="9" t="n">
        <v>4312.6</v>
      </c>
      <c r="O510" s="9" t="n">
        <v>4836.6</v>
      </c>
      <c r="P510" s="8" t="n">
        <v>0</v>
      </c>
      <c r="Q510" s="8" t="n">
        <v>0</v>
      </c>
    </row>
    <row r="511">
      <c r="A511" s="8" t="n">
        <v>194</v>
      </c>
      <c r="B511" s="8" t="inlineStr">
        <is>
          <t>CASH_IN</t>
        </is>
      </c>
      <c r="C511" s="9" t="n">
        <v>208457.58</v>
      </c>
      <c r="D511" s="8" t="inlineStr">
        <is>
          <t>C1146152054</t>
        </is>
      </c>
      <c r="E511" s="9" t="n">
        <v>4159612.6</v>
      </c>
      <c r="F511" s="9" t="n">
        <v>4368070.18</v>
      </c>
      <c r="G511" s="8" t="inlineStr">
        <is>
          <t>C875939735</t>
        </is>
      </c>
      <c r="H511" s="9" t="n">
        <v>5938742.54</v>
      </c>
      <c r="I511" s="9" t="n">
        <v>5730284.96</v>
      </c>
      <c r="J511" s="10" t="n">
        <v>0</v>
      </c>
      <c r="K511" s="8" t="n">
        <v>0</v>
      </c>
      <c r="L511" s="8" t="n">
        <v>0</v>
      </c>
      <c r="M511" s="9" t="n">
        <v>1779129.94</v>
      </c>
      <c r="N511" s="9" t="n">
        <v>416915.16</v>
      </c>
      <c r="O511" s="9" t="n">
        <v>416915.16</v>
      </c>
      <c r="P511" s="8" t="n">
        <v>1</v>
      </c>
      <c r="Q511" s="8" t="n">
        <v>0</v>
      </c>
    </row>
    <row r="512">
      <c r="A512" s="8" t="n">
        <v>210</v>
      </c>
      <c r="B512" s="8" t="inlineStr">
        <is>
          <t>TRANSFER</t>
        </is>
      </c>
      <c r="C512" s="9" t="n">
        <v>204165.62</v>
      </c>
      <c r="D512" s="8" t="inlineStr">
        <is>
          <t>C1488255813</t>
        </is>
      </c>
      <c r="E512" s="9" t="n">
        <v>6185</v>
      </c>
      <c r="F512" s="9" t="n">
        <v>0</v>
      </c>
      <c r="G512" s="8" t="inlineStr">
        <is>
          <t>C1686405435</t>
        </is>
      </c>
      <c r="H512" s="9" t="n">
        <v>0</v>
      </c>
      <c r="I512" s="9" t="n">
        <v>204165.62</v>
      </c>
      <c r="J512" s="10" t="n">
        <v>0</v>
      </c>
      <c r="K512" s="8" t="n">
        <v>0</v>
      </c>
      <c r="L512" s="8" t="n">
        <v>1</v>
      </c>
      <c r="M512" s="9" t="n">
        <v>6185</v>
      </c>
      <c r="N512" s="9" t="n">
        <v>197980.62</v>
      </c>
      <c r="O512" s="9" t="n">
        <v>0</v>
      </c>
      <c r="P512" s="8" t="n">
        <v>1</v>
      </c>
      <c r="Q512" s="8" t="n">
        <v>0</v>
      </c>
    </row>
    <row r="513">
      <c r="A513" s="8" t="n">
        <v>351</v>
      </c>
      <c r="B513" s="8" t="inlineStr">
        <is>
          <t>CASH_OUT</t>
        </is>
      </c>
      <c r="C513" s="9" t="n">
        <v>253856.91</v>
      </c>
      <c r="D513" s="8" t="inlineStr">
        <is>
          <t>C1917191269</t>
        </is>
      </c>
      <c r="E513" s="9" t="n">
        <v>521376.73</v>
      </c>
      <c r="F513" s="9" t="n">
        <v>267519.83</v>
      </c>
      <c r="G513" s="8" t="inlineStr">
        <is>
          <t>C2037030239</t>
        </is>
      </c>
      <c r="H513" s="9" t="n">
        <v>468179.87</v>
      </c>
      <c r="I513" s="9" t="n">
        <v>722036.78</v>
      </c>
      <c r="J513" s="10" t="n">
        <v>0</v>
      </c>
      <c r="K513" s="8" t="n">
        <v>0</v>
      </c>
      <c r="L513" s="8" t="n">
        <v>1</v>
      </c>
      <c r="M513" s="9" t="n">
        <v>53196.85999999999</v>
      </c>
      <c r="N513" s="9" t="n">
        <v>0.01</v>
      </c>
      <c r="O513" s="9" t="n">
        <v>0</v>
      </c>
      <c r="P513" s="8" t="n">
        <v>1</v>
      </c>
      <c r="Q513" s="8" t="n">
        <v>1</v>
      </c>
    </row>
    <row r="514">
      <c r="A514" s="8" t="n">
        <v>299</v>
      </c>
      <c r="B514" s="8" t="inlineStr">
        <is>
          <t>CASH_IN</t>
        </is>
      </c>
      <c r="C514" s="9" t="n">
        <v>65849.69</v>
      </c>
      <c r="D514" s="8" t="inlineStr">
        <is>
          <t>C914286803</t>
        </is>
      </c>
      <c r="E514" s="9" t="n">
        <v>10337</v>
      </c>
      <c r="F514" s="9" t="n">
        <v>76186.69</v>
      </c>
      <c r="G514" s="8" t="inlineStr">
        <is>
          <t>C623717997</t>
        </is>
      </c>
      <c r="H514" s="9" t="n">
        <v>2342129.24</v>
      </c>
      <c r="I514" s="9" t="n">
        <v>2276279.55</v>
      </c>
      <c r="J514" s="10" t="n">
        <v>0</v>
      </c>
      <c r="K514" s="8" t="n">
        <v>0</v>
      </c>
      <c r="L514" s="8" t="n">
        <v>0</v>
      </c>
      <c r="M514" s="9" t="n">
        <v>2331792.24</v>
      </c>
      <c r="N514" s="9" t="n">
        <v>131699.38</v>
      </c>
      <c r="O514" s="9" t="n">
        <v>131699.38</v>
      </c>
      <c r="P514" s="8" t="n">
        <v>1</v>
      </c>
      <c r="Q514" s="8" t="n">
        <v>0</v>
      </c>
    </row>
    <row r="515">
      <c r="A515" s="8" t="n">
        <v>257</v>
      </c>
      <c r="B515" s="8" t="inlineStr">
        <is>
          <t>PAYMENT</t>
        </is>
      </c>
      <c r="C515" s="9" t="n">
        <v>14013.03</v>
      </c>
      <c r="D515" s="8" t="inlineStr">
        <is>
          <t>C1424090800</t>
        </is>
      </c>
      <c r="E515" s="9" t="n">
        <v>40692</v>
      </c>
      <c r="F515" s="9" t="n">
        <v>26678.97</v>
      </c>
      <c r="G515" s="8" t="inlineStr">
        <is>
          <t>M2076268037</t>
        </is>
      </c>
      <c r="H515" s="9" t="n">
        <v>0</v>
      </c>
      <c r="I515" s="9" t="n">
        <v>0</v>
      </c>
      <c r="J515" s="10" t="n">
        <v>0</v>
      </c>
      <c r="K515" s="8" t="n">
        <v>1</v>
      </c>
      <c r="L515" s="8" t="n">
        <v>0</v>
      </c>
      <c r="M515" s="9" t="n">
        <v>40692</v>
      </c>
      <c r="N515" s="9" t="n">
        <v>0</v>
      </c>
      <c r="O515" s="9" t="n">
        <v>14013.03</v>
      </c>
      <c r="P515" s="8" t="n">
        <v>0</v>
      </c>
      <c r="Q515" s="8" t="n">
        <v>1</v>
      </c>
    </row>
    <row r="516">
      <c r="A516" s="8" t="n">
        <v>22</v>
      </c>
      <c r="B516" s="8" t="inlineStr">
        <is>
          <t>CASH_OUT</t>
        </is>
      </c>
      <c r="C516" s="9" t="n">
        <v>32462.06</v>
      </c>
      <c r="D516" s="8" t="inlineStr">
        <is>
          <t>C328221457</t>
        </is>
      </c>
      <c r="E516" s="9" t="n">
        <v>0</v>
      </c>
      <c r="F516" s="9" t="n">
        <v>0</v>
      </c>
      <c r="G516" s="8" t="inlineStr">
        <is>
          <t>C724362318</t>
        </is>
      </c>
      <c r="H516" s="9" t="n">
        <v>905648.17</v>
      </c>
      <c r="I516" s="9" t="n">
        <v>938110.22</v>
      </c>
      <c r="J516" s="10" t="n">
        <v>0</v>
      </c>
      <c r="K516" s="8" t="n">
        <v>0</v>
      </c>
      <c r="L516" s="8" t="n">
        <v>1</v>
      </c>
      <c r="M516" s="9" t="n">
        <v>905648.17</v>
      </c>
      <c r="N516" s="9" t="n">
        <v>32462.06</v>
      </c>
      <c r="O516" s="9" t="n">
        <v>0.01</v>
      </c>
      <c r="P516" s="8" t="n">
        <v>1</v>
      </c>
      <c r="Q516" s="8" t="n">
        <v>0</v>
      </c>
    </row>
    <row r="517">
      <c r="A517" s="8" t="n">
        <v>33</v>
      </c>
      <c r="B517" s="8" t="inlineStr">
        <is>
          <t>CASH_OUT</t>
        </is>
      </c>
      <c r="C517" s="9" t="n">
        <v>129953.63</v>
      </c>
      <c r="D517" s="8" t="inlineStr">
        <is>
          <t>C1360495621</t>
        </is>
      </c>
      <c r="E517" s="9" t="n">
        <v>0</v>
      </c>
      <c r="F517" s="9" t="n">
        <v>0</v>
      </c>
      <c r="G517" s="8" t="inlineStr">
        <is>
          <t>C993870751</t>
        </is>
      </c>
      <c r="H517" s="9" t="n">
        <v>22090463.23</v>
      </c>
      <c r="I517" s="9" t="n">
        <v>22431163.04</v>
      </c>
      <c r="J517" s="10" t="n">
        <v>0</v>
      </c>
      <c r="K517" s="8" t="n">
        <v>0</v>
      </c>
      <c r="L517" s="8" t="n">
        <v>1</v>
      </c>
      <c r="M517" s="9" t="n">
        <v>22090463.23</v>
      </c>
      <c r="N517" s="9" t="n">
        <v>129953.63</v>
      </c>
      <c r="O517" s="9" t="n">
        <v>-210746.18</v>
      </c>
      <c r="P517" s="8" t="n">
        <v>1</v>
      </c>
      <c r="Q517" s="8" t="n">
        <v>0</v>
      </c>
    </row>
    <row r="518">
      <c r="A518" s="8" t="n">
        <v>298</v>
      </c>
      <c r="B518" s="8" t="inlineStr">
        <is>
          <t>CASH_OUT</t>
        </is>
      </c>
      <c r="C518" s="9" t="n">
        <v>300378.5</v>
      </c>
      <c r="D518" s="8" t="inlineStr">
        <is>
          <t>C445174295</t>
        </is>
      </c>
      <c r="E518" s="9" t="n">
        <v>0</v>
      </c>
      <c r="F518" s="9" t="n">
        <v>0</v>
      </c>
      <c r="G518" s="8" t="inlineStr">
        <is>
          <t>C399169977</t>
        </is>
      </c>
      <c r="H518" s="9" t="n">
        <v>328164.6</v>
      </c>
      <c r="I518" s="9" t="n">
        <v>628543.1</v>
      </c>
      <c r="J518" s="10" t="n">
        <v>0</v>
      </c>
      <c r="K518" s="8" t="n">
        <v>0</v>
      </c>
      <c r="L518" s="8" t="n">
        <v>1</v>
      </c>
      <c r="M518" s="9" t="n">
        <v>328164.6</v>
      </c>
      <c r="N518" s="9" t="n">
        <v>300378.5</v>
      </c>
      <c r="O518" s="9" t="n">
        <v>0</v>
      </c>
      <c r="P518" s="8" t="n">
        <v>1</v>
      </c>
      <c r="Q518" s="8" t="n">
        <v>0</v>
      </c>
    </row>
    <row r="519">
      <c r="A519" s="8" t="n">
        <v>229</v>
      </c>
      <c r="B519" s="8" t="inlineStr">
        <is>
          <t>PAYMENT</t>
        </is>
      </c>
      <c r="C519" s="9" t="n">
        <v>20170.47</v>
      </c>
      <c r="D519" s="8" t="inlineStr">
        <is>
          <t>C1707420318</t>
        </is>
      </c>
      <c r="E519" s="9" t="n">
        <v>437833.7</v>
      </c>
      <c r="F519" s="9" t="n">
        <v>417663.23</v>
      </c>
      <c r="G519" s="8" t="inlineStr">
        <is>
          <t>M33034325</t>
        </is>
      </c>
      <c r="H519" s="9" t="n">
        <v>0</v>
      </c>
      <c r="I519" s="9" t="n">
        <v>0</v>
      </c>
      <c r="J519" s="10" t="n">
        <v>0</v>
      </c>
      <c r="K519" s="8" t="n">
        <v>1</v>
      </c>
      <c r="L519" s="8" t="n">
        <v>0</v>
      </c>
      <c r="M519" s="9" t="n">
        <v>437833.7</v>
      </c>
      <c r="N519" s="9" t="n">
        <v>-0</v>
      </c>
      <c r="O519" s="9" t="n">
        <v>20170.47</v>
      </c>
      <c r="P519" s="8" t="n">
        <v>0</v>
      </c>
      <c r="Q519" s="8" t="n">
        <v>1</v>
      </c>
    </row>
    <row r="520">
      <c r="A520" s="8" t="n">
        <v>225</v>
      </c>
      <c r="B520" s="8" t="inlineStr">
        <is>
          <t>TRANSFER</t>
        </is>
      </c>
      <c r="C520" s="9" t="n">
        <v>84703.87</v>
      </c>
      <c r="D520" s="8" t="inlineStr">
        <is>
          <t>C1821651825</t>
        </is>
      </c>
      <c r="E520" s="9" t="n">
        <v>84703.87</v>
      </c>
      <c r="F520" s="9" t="n">
        <v>0</v>
      </c>
      <c r="G520" s="8" t="inlineStr">
        <is>
          <t>C587388242</t>
        </is>
      </c>
      <c r="H520" s="9" t="n">
        <v>0</v>
      </c>
      <c r="I520" s="9" t="n">
        <v>0</v>
      </c>
      <c r="J520" s="11" t="n">
        <v>1</v>
      </c>
      <c r="K520" s="8" t="n">
        <v>0</v>
      </c>
      <c r="L520" s="8" t="n">
        <v>1</v>
      </c>
      <c r="M520" s="9" t="n">
        <v>84703.87</v>
      </c>
      <c r="N520" s="9" t="n">
        <v>0</v>
      </c>
      <c r="O520" s="9" t="n">
        <v>84703.87</v>
      </c>
      <c r="P520" s="8" t="n">
        <v>1</v>
      </c>
      <c r="Q520" s="8" t="n">
        <v>1</v>
      </c>
    </row>
    <row r="521">
      <c r="A521" s="8" t="n">
        <v>281</v>
      </c>
      <c r="B521" s="8" t="inlineStr">
        <is>
          <t>PAYMENT</t>
        </is>
      </c>
      <c r="C521" s="9" t="n">
        <v>661.61</v>
      </c>
      <c r="D521" s="8" t="inlineStr">
        <is>
          <t>C36816128</t>
        </is>
      </c>
      <c r="E521" s="9" t="n">
        <v>0</v>
      </c>
      <c r="F521" s="9" t="n">
        <v>0</v>
      </c>
      <c r="G521" s="8" t="inlineStr">
        <is>
          <t>M754345389</t>
        </is>
      </c>
      <c r="H521" s="9" t="n">
        <v>0</v>
      </c>
      <c r="I521" s="9" t="n">
        <v>0</v>
      </c>
      <c r="J521" s="10" t="n">
        <v>0</v>
      </c>
      <c r="K521" s="8" t="n">
        <v>1</v>
      </c>
      <c r="L521" s="8" t="n">
        <v>0</v>
      </c>
      <c r="M521" s="9" t="n">
        <v>0</v>
      </c>
      <c r="N521" s="9" t="n">
        <v>661.61</v>
      </c>
      <c r="O521" s="9" t="n">
        <v>661.61</v>
      </c>
      <c r="P521" s="8" t="n">
        <v>0</v>
      </c>
      <c r="Q521" s="8" t="n">
        <v>0</v>
      </c>
    </row>
    <row r="522">
      <c r="A522" s="8" t="n">
        <v>404</v>
      </c>
      <c r="B522" s="8" t="inlineStr">
        <is>
          <t>CASH_IN</t>
        </is>
      </c>
      <c r="C522" s="9" t="n">
        <v>103016.87</v>
      </c>
      <c r="D522" s="8" t="inlineStr">
        <is>
          <t>C649019874</t>
        </is>
      </c>
      <c r="E522" s="9" t="n">
        <v>984244.45</v>
      </c>
      <c r="F522" s="9" t="n">
        <v>1087261.32</v>
      </c>
      <c r="G522" s="8" t="inlineStr">
        <is>
          <t>C735734704</t>
        </is>
      </c>
      <c r="H522" s="9" t="n">
        <v>906436.6</v>
      </c>
      <c r="I522" s="9" t="n">
        <v>803419.74</v>
      </c>
      <c r="J522" s="10" t="n">
        <v>0</v>
      </c>
      <c r="K522" s="8" t="n">
        <v>0</v>
      </c>
      <c r="L522" s="8" t="n">
        <v>0</v>
      </c>
      <c r="M522" s="9" t="n">
        <v>77807.84999999998</v>
      </c>
      <c r="N522" s="9" t="n">
        <v>206033.74</v>
      </c>
      <c r="O522" s="9" t="n">
        <v>206033.73</v>
      </c>
      <c r="P522" s="8" t="n">
        <v>1</v>
      </c>
      <c r="Q522" s="8" t="n">
        <v>0</v>
      </c>
    </row>
    <row r="523">
      <c r="A523" s="8" t="n">
        <v>345</v>
      </c>
      <c r="B523" s="8" t="inlineStr">
        <is>
          <t>PAYMENT</t>
        </is>
      </c>
      <c r="C523" s="9" t="n">
        <v>9032.629999999999</v>
      </c>
      <c r="D523" s="8" t="inlineStr">
        <is>
          <t>C558144313</t>
        </is>
      </c>
      <c r="E523" s="9" t="n">
        <v>484201.25</v>
      </c>
      <c r="F523" s="9" t="n">
        <v>475168.61</v>
      </c>
      <c r="G523" s="8" t="inlineStr">
        <is>
          <t>M1496672935</t>
        </is>
      </c>
      <c r="H523" s="9" t="n">
        <v>0</v>
      </c>
      <c r="I523" s="9" t="n">
        <v>0</v>
      </c>
      <c r="J523" s="10" t="n">
        <v>0</v>
      </c>
      <c r="K523" s="8" t="n">
        <v>1</v>
      </c>
      <c r="L523" s="8" t="n">
        <v>0</v>
      </c>
      <c r="M523" s="9" t="n">
        <v>484201.25</v>
      </c>
      <c r="N523" s="9" t="n">
        <v>-0.01</v>
      </c>
      <c r="O523" s="9" t="n">
        <v>9032.629999999999</v>
      </c>
      <c r="P523" s="8" t="n">
        <v>0</v>
      </c>
      <c r="Q523" s="8" t="n">
        <v>1</v>
      </c>
    </row>
    <row r="524">
      <c r="A524" s="8" t="n">
        <v>346</v>
      </c>
      <c r="B524" s="8" t="inlineStr">
        <is>
          <t>CASH_IN</t>
        </is>
      </c>
      <c r="C524" s="9" t="n">
        <v>249446.32</v>
      </c>
      <c r="D524" s="8" t="inlineStr">
        <is>
          <t>C539701685</t>
        </is>
      </c>
      <c r="E524" s="9" t="n">
        <v>2264855.89</v>
      </c>
      <c r="F524" s="9" t="n">
        <v>2514302.2</v>
      </c>
      <c r="G524" s="8" t="inlineStr">
        <is>
          <t>C2121720222</t>
        </is>
      </c>
      <c r="H524" s="9" t="n">
        <v>254459.66</v>
      </c>
      <c r="I524" s="9" t="n">
        <v>5013.35</v>
      </c>
      <c r="J524" s="10" t="n">
        <v>0</v>
      </c>
      <c r="K524" s="8" t="n">
        <v>0</v>
      </c>
      <c r="L524" s="8" t="n">
        <v>0</v>
      </c>
      <c r="M524" s="9" t="n">
        <v>2010396.23</v>
      </c>
      <c r="N524" s="9" t="n">
        <v>498892.63</v>
      </c>
      <c r="O524" s="9" t="n">
        <v>498892.63</v>
      </c>
      <c r="P524" s="8" t="n">
        <v>1</v>
      </c>
      <c r="Q524" s="8" t="n">
        <v>0</v>
      </c>
    </row>
    <row r="525">
      <c r="A525" s="8" t="n">
        <v>735</v>
      </c>
      <c r="B525" s="8" t="inlineStr">
        <is>
          <t>CASH_OUT</t>
        </is>
      </c>
      <c r="C525" s="9" t="n">
        <v>243459.96</v>
      </c>
      <c r="D525" s="8" t="inlineStr">
        <is>
          <t>C1148037845</t>
        </is>
      </c>
      <c r="E525" s="9" t="n">
        <v>243459.96</v>
      </c>
      <c r="F525" s="9" t="n">
        <v>0</v>
      </c>
      <c r="G525" s="8" t="inlineStr">
        <is>
          <t>C387251817</t>
        </is>
      </c>
      <c r="H525" s="9" t="n">
        <v>9459523.039999999</v>
      </c>
      <c r="I525" s="9" t="n">
        <v>9702983.01</v>
      </c>
      <c r="J525" s="11" t="n">
        <v>1</v>
      </c>
      <c r="K525" s="8" t="n">
        <v>0</v>
      </c>
      <c r="L525" s="8" t="n">
        <v>1</v>
      </c>
      <c r="M525" s="9" t="n">
        <v>9216063.079999998</v>
      </c>
      <c r="N525" s="9" t="n">
        <v>0</v>
      </c>
      <c r="O525" s="9" t="n">
        <v>-0.01</v>
      </c>
      <c r="P525" s="8" t="n">
        <v>1</v>
      </c>
      <c r="Q525" s="8" t="n">
        <v>1</v>
      </c>
    </row>
    <row r="526">
      <c r="A526" s="8" t="n">
        <v>405</v>
      </c>
      <c r="B526" s="8" t="inlineStr">
        <is>
          <t>TRANSFER</t>
        </is>
      </c>
      <c r="C526" s="9" t="n">
        <v>70756.72</v>
      </c>
      <c r="D526" s="8" t="inlineStr">
        <is>
          <t>C2042587270</t>
        </is>
      </c>
      <c r="E526" s="9" t="n">
        <v>70756.72</v>
      </c>
      <c r="F526" s="9" t="n">
        <v>0</v>
      </c>
      <c r="G526" s="8" t="inlineStr">
        <is>
          <t>C1273182282</t>
        </is>
      </c>
      <c r="H526" s="9" t="n">
        <v>0</v>
      </c>
      <c r="I526" s="9" t="n">
        <v>0</v>
      </c>
      <c r="J526" s="11" t="n">
        <v>1</v>
      </c>
      <c r="K526" s="8" t="n">
        <v>0</v>
      </c>
      <c r="L526" s="8" t="n">
        <v>1</v>
      </c>
      <c r="M526" s="9" t="n">
        <v>70756.72</v>
      </c>
      <c r="N526" s="9" t="n">
        <v>0</v>
      </c>
      <c r="O526" s="9" t="n">
        <v>70756.72</v>
      </c>
      <c r="P526" s="8" t="n">
        <v>1</v>
      </c>
      <c r="Q526" s="8" t="n">
        <v>1</v>
      </c>
    </row>
    <row r="527">
      <c r="A527" s="8" t="n">
        <v>212</v>
      </c>
      <c r="B527" s="8" t="inlineStr">
        <is>
          <t>TRANSFER</t>
        </is>
      </c>
      <c r="C527" s="9" t="n">
        <v>1027403.17</v>
      </c>
      <c r="D527" s="8" t="inlineStr">
        <is>
          <t>C1728323307</t>
        </is>
      </c>
      <c r="E527" s="9" t="n">
        <v>0</v>
      </c>
      <c r="F527" s="9" t="n">
        <v>0</v>
      </c>
      <c r="G527" s="8" t="inlineStr">
        <is>
          <t>C1259769769</t>
        </is>
      </c>
      <c r="H527" s="9" t="n">
        <v>6457762.17</v>
      </c>
      <c r="I527" s="9" t="n">
        <v>7485165.34</v>
      </c>
      <c r="J527" s="10" t="n">
        <v>0</v>
      </c>
      <c r="K527" s="8" t="n">
        <v>0</v>
      </c>
      <c r="L527" s="8" t="n">
        <v>1</v>
      </c>
      <c r="M527" s="9" t="n">
        <v>6457762.17</v>
      </c>
      <c r="N527" s="9" t="n">
        <v>1027403.17</v>
      </c>
      <c r="O527" s="9" t="n">
        <v>0</v>
      </c>
      <c r="P527" s="8" t="n">
        <v>1</v>
      </c>
      <c r="Q527" s="8" t="n">
        <v>0</v>
      </c>
    </row>
    <row r="528">
      <c r="A528" s="8" t="n">
        <v>138</v>
      </c>
      <c r="B528" s="8" t="inlineStr">
        <is>
          <t>CASH_OUT</t>
        </is>
      </c>
      <c r="C528" s="9" t="n">
        <v>163114.42</v>
      </c>
      <c r="D528" s="8" t="inlineStr">
        <is>
          <t>C1314569234</t>
        </is>
      </c>
      <c r="E528" s="9" t="n">
        <v>0</v>
      </c>
      <c r="F528" s="9" t="n">
        <v>0</v>
      </c>
      <c r="G528" s="8" t="inlineStr">
        <is>
          <t>C649866897</t>
        </is>
      </c>
      <c r="H528" s="9" t="n">
        <v>168594.06</v>
      </c>
      <c r="I528" s="9" t="n">
        <v>331708.48</v>
      </c>
      <c r="J528" s="10" t="n">
        <v>0</v>
      </c>
      <c r="K528" s="8" t="n">
        <v>0</v>
      </c>
      <c r="L528" s="8" t="n">
        <v>1</v>
      </c>
      <c r="M528" s="9" t="n">
        <v>168594.06</v>
      </c>
      <c r="N528" s="9" t="n">
        <v>163114.42</v>
      </c>
      <c r="O528" s="9" t="n">
        <v>0</v>
      </c>
      <c r="P528" s="8" t="n">
        <v>1</v>
      </c>
      <c r="Q528" s="8" t="n">
        <v>0</v>
      </c>
    </row>
    <row r="529">
      <c r="A529" s="8" t="n">
        <v>14</v>
      </c>
      <c r="B529" s="8" t="inlineStr">
        <is>
          <t>CASH_IN</t>
        </is>
      </c>
      <c r="C529" s="9" t="n">
        <v>144933.68</v>
      </c>
      <c r="D529" s="8" t="inlineStr">
        <is>
          <t>C1663893226</t>
        </is>
      </c>
      <c r="E529" s="9" t="n">
        <v>4551008.3</v>
      </c>
      <c r="F529" s="9" t="n">
        <v>4695941.98</v>
      </c>
      <c r="G529" s="8" t="inlineStr">
        <is>
          <t>C2079332573</t>
        </is>
      </c>
      <c r="H529" s="9" t="n">
        <v>566565.05</v>
      </c>
      <c r="I529" s="9" t="n">
        <v>421631.37</v>
      </c>
      <c r="J529" s="10" t="n">
        <v>0</v>
      </c>
      <c r="K529" s="8" t="n">
        <v>0</v>
      </c>
      <c r="L529" s="8" t="n">
        <v>0</v>
      </c>
      <c r="M529" s="9" t="n">
        <v>3984443.25</v>
      </c>
      <c r="N529" s="9" t="n">
        <v>289867.36</v>
      </c>
      <c r="O529" s="9" t="n">
        <v>289867.36</v>
      </c>
      <c r="P529" s="8" t="n">
        <v>1</v>
      </c>
      <c r="Q529" s="8" t="n">
        <v>0</v>
      </c>
    </row>
    <row r="530">
      <c r="A530" s="8" t="n">
        <v>96</v>
      </c>
      <c r="B530" s="8" t="inlineStr">
        <is>
          <t>TRANSFER</t>
        </is>
      </c>
      <c r="C530" s="9" t="n">
        <v>157416.52</v>
      </c>
      <c r="D530" s="8" t="inlineStr">
        <is>
          <t>C1594041326</t>
        </is>
      </c>
      <c r="E530" s="9" t="n">
        <v>0</v>
      </c>
      <c r="F530" s="9" t="n">
        <v>0</v>
      </c>
      <c r="G530" s="8" t="inlineStr">
        <is>
          <t>C164431510</t>
        </is>
      </c>
      <c r="H530" s="9" t="n">
        <v>277438.21</v>
      </c>
      <c r="I530" s="9" t="n">
        <v>434854.73</v>
      </c>
      <c r="J530" s="10" t="n">
        <v>0</v>
      </c>
      <c r="K530" s="8" t="n">
        <v>0</v>
      </c>
      <c r="L530" s="8" t="n">
        <v>1</v>
      </c>
      <c r="M530" s="9" t="n">
        <v>277438.21</v>
      </c>
      <c r="N530" s="9" t="n">
        <v>157416.52</v>
      </c>
      <c r="O530" s="9" t="n">
        <v>0</v>
      </c>
      <c r="P530" s="8" t="n">
        <v>1</v>
      </c>
      <c r="Q530" s="8" t="n">
        <v>0</v>
      </c>
    </row>
    <row r="531">
      <c r="A531" s="8" t="n">
        <v>185</v>
      </c>
      <c r="B531" s="8" t="inlineStr">
        <is>
          <t>CASH_OUT</t>
        </is>
      </c>
      <c r="C531" s="9" t="n">
        <v>367765.3</v>
      </c>
      <c r="D531" s="8" t="inlineStr">
        <is>
          <t>C1165339596</t>
        </is>
      </c>
      <c r="E531" s="9" t="n">
        <v>20211</v>
      </c>
      <c r="F531" s="9" t="n">
        <v>0</v>
      </c>
      <c r="G531" s="8" t="inlineStr">
        <is>
          <t>C66893623</t>
        </is>
      </c>
      <c r="H531" s="9" t="n">
        <v>3035218.31</v>
      </c>
      <c r="I531" s="9" t="n">
        <v>3402983.6</v>
      </c>
      <c r="J531" s="10" t="n">
        <v>0</v>
      </c>
      <c r="K531" s="8" t="n">
        <v>0</v>
      </c>
      <c r="L531" s="8" t="n">
        <v>1</v>
      </c>
      <c r="M531" s="9" t="n">
        <v>3015007.31</v>
      </c>
      <c r="N531" s="9" t="n">
        <v>347554.3</v>
      </c>
      <c r="O531" s="9" t="n">
        <v>0.01</v>
      </c>
      <c r="P531" s="8" t="n">
        <v>1</v>
      </c>
      <c r="Q531" s="8" t="n">
        <v>0</v>
      </c>
    </row>
    <row r="532">
      <c r="A532" s="8" t="n">
        <v>258</v>
      </c>
      <c r="B532" s="8" t="inlineStr">
        <is>
          <t>CASH_IN</t>
        </is>
      </c>
      <c r="C532" s="9" t="n">
        <v>146716.26</v>
      </c>
      <c r="D532" s="8" t="inlineStr">
        <is>
          <t>C699781770</t>
        </is>
      </c>
      <c r="E532" s="9" t="n">
        <v>5091342.61</v>
      </c>
      <c r="F532" s="9" t="n">
        <v>5238058.87</v>
      </c>
      <c r="G532" s="8" t="inlineStr">
        <is>
          <t>C1762210439</t>
        </is>
      </c>
      <c r="H532" s="9" t="n">
        <v>461721.24</v>
      </c>
      <c r="I532" s="9" t="n">
        <v>315004.98</v>
      </c>
      <c r="J532" s="10" t="n">
        <v>0</v>
      </c>
      <c r="K532" s="8" t="n">
        <v>0</v>
      </c>
      <c r="L532" s="8" t="n">
        <v>0</v>
      </c>
      <c r="M532" s="9" t="n">
        <v>4629621.37</v>
      </c>
      <c r="N532" s="9" t="n">
        <v>293432.52</v>
      </c>
      <c r="O532" s="9" t="n">
        <v>293432.52</v>
      </c>
      <c r="P532" s="8" t="n">
        <v>1</v>
      </c>
      <c r="Q532" s="8" t="n">
        <v>0</v>
      </c>
    </row>
    <row r="533">
      <c r="A533" s="8" t="n">
        <v>526</v>
      </c>
      <c r="B533" s="8" t="inlineStr">
        <is>
          <t>PAYMENT</t>
        </is>
      </c>
      <c r="C533" s="9" t="n">
        <v>30504.97</v>
      </c>
      <c r="D533" s="8" t="inlineStr">
        <is>
          <t>C186658974</t>
        </is>
      </c>
      <c r="E533" s="9" t="n">
        <v>0</v>
      </c>
      <c r="F533" s="9" t="n">
        <v>0</v>
      </c>
      <c r="G533" s="8" t="inlineStr">
        <is>
          <t>M576280896</t>
        </is>
      </c>
      <c r="H533" s="9" t="n">
        <v>0</v>
      </c>
      <c r="I533" s="9" t="n">
        <v>0</v>
      </c>
      <c r="J533" s="10" t="n">
        <v>0</v>
      </c>
      <c r="K533" s="8" t="n">
        <v>1</v>
      </c>
      <c r="L533" s="8" t="n">
        <v>0</v>
      </c>
      <c r="M533" s="9" t="n">
        <v>0</v>
      </c>
      <c r="N533" s="9" t="n">
        <v>30504.97</v>
      </c>
      <c r="O533" s="9" t="n">
        <v>30504.97</v>
      </c>
      <c r="P533" s="8" t="n">
        <v>0</v>
      </c>
      <c r="Q533" s="8" t="n">
        <v>0</v>
      </c>
    </row>
    <row r="534">
      <c r="A534" s="8" t="n">
        <v>548</v>
      </c>
      <c r="B534" s="8" t="inlineStr">
        <is>
          <t>TRANSFER</t>
        </is>
      </c>
      <c r="C534" s="9" t="n">
        <v>373166.11</v>
      </c>
      <c r="D534" s="8" t="inlineStr">
        <is>
          <t>C992425061</t>
        </is>
      </c>
      <c r="E534" s="9" t="n">
        <v>31814</v>
      </c>
      <c r="F534" s="9" t="n">
        <v>0</v>
      </c>
      <c r="G534" s="8" t="inlineStr">
        <is>
          <t>C1795896585</t>
        </is>
      </c>
      <c r="H534" s="9" t="n">
        <v>126603.79</v>
      </c>
      <c r="I534" s="9" t="n">
        <v>499769.9</v>
      </c>
      <c r="J534" s="10" t="n">
        <v>0</v>
      </c>
      <c r="K534" s="8" t="n">
        <v>0</v>
      </c>
      <c r="L534" s="8" t="n">
        <v>1</v>
      </c>
      <c r="M534" s="9" t="n">
        <v>94789.78999999999</v>
      </c>
      <c r="N534" s="9" t="n">
        <v>341352.11</v>
      </c>
      <c r="O534" s="9" t="n">
        <v>-0</v>
      </c>
      <c r="P534" s="8" t="n">
        <v>1</v>
      </c>
      <c r="Q534" s="8" t="n">
        <v>0</v>
      </c>
    </row>
    <row r="535">
      <c r="A535" s="8" t="n">
        <v>564</v>
      </c>
      <c r="B535" s="8" t="inlineStr">
        <is>
          <t>PAYMENT</t>
        </is>
      </c>
      <c r="C535" s="9" t="n">
        <v>13988.75</v>
      </c>
      <c r="D535" s="8" t="inlineStr">
        <is>
          <t>C1601999475</t>
        </is>
      </c>
      <c r="E535" s="9" t="n">
        <v>17105</v>
      </c>
      <c r="F535" s="9" t="n">
        <v>3116.25</v>
      </c>
      <c r="G535" s="8" t="inlineStr">
        <is>
          <t>M1032118176</t>
        </is>
      </c>
      <c r="H535" s="9" t="n">
        <v>0</v>
      </c>
      <c r="I535" s="9" t="n">
        <v>0</v>
      </c>
      <c r="J535" s="10" t="n">
        <v>0</v>
      </c>
      <c r="K535" s="8" t="n">
        <v>1</v>
      </c>
      <c r="L535" s="8" t="n">
        <v>0</v>
      </c>
      <c r="M535" s="9" t="n">
        <v>17105</v>
      </c>
      <c r="N535" s="9" t="n">
        <v>0</v>
      </c>
      <c r="O535" s="9" t="n">
        <v>13988.75</v>
      </c>
      <c r="P535" s="8" t="n">
        <v>0</v>
      </c>
      <c r="Q535" s="8" t="n">
        <v>1</v>
      </c>
    </row>
    <row r="536">
      <c r="A536" s="8" t="n">
        <v>312</v>
      </c>
      <c r="B536" s="8" t="inlineStr">
        <is>
          <t>CASH_OUT</t>
        </is>
      </c>
      <c r="C536" s="9" t="n">
        <v>149202.04</v>
      </c>
      <c r="D536" s="8" t="inlineStr">
        <is>
          <t>C1498460093</t>
        </is>
      </c>
      <c r="E536" s="9" t="n">
        <v>0</v>
      </c>
      <c r="F536" s="9" t="n">
        <v>0</v>
      </c>
      <c r="G536" s="8" t="inlineStr">
        <is>
          <t>C562233580</t>
        </is>
      </c>
      <c r="H536" s="9" t="n">
        <v>2812035.68</v>
      </c>
      <c r="I536" s="9" t="n">
        <v>2961237.72</v>
      </c>
      <c r="J536" s="10" t="n">
        <v>0</v>
      </c>
      <c r="K536" s="8" t="n">
        <v>0</v>
      </c>
      <c r="L536" s="8" t="n">
        <v>1</v>
      </c>
      <c r="M536" s="9" t="n">
        <v>2812035.68</v>
      </c>
      <c r="N536" s="9" t="n">
        <v>149202.04</v>
      </c>
      <c r="O536" s="9" t="n">
        <v>0</v>
      </c>
      <c r="P536" s="8" t="n">
        <v>1</v>
      </c>
      <c r="Q536" s="8" t="n">
        <v>0</v>
      </c>
    </row>
    <row r="537">
      <c r="A537" s="8" t="n">
        <v>7</v>
      </c>
      <c r="B537" s="8" t="inlineStr">
        <is>
          <t>CASH_OUT</t>
        </is>
      </c>
      <c r="C537" s="9" t="n">
        <v>5460002.91</v>
      </c>
      <c r="D537" s="8" t="inlineStr">
        <is>
          <t>C1588880909</t>
        </is>
      </c>
      <c r="E537" s="9" t="n">
        <v>5460002.91</v>
      </c>
      <c r="F537" s="9" t="n">
        <v>0</v>
      </c>
      <c r="G537" s="8" t="inlineStr">
        <is>
          <t>C1570256460</t>
        </is>
      </c>
      <c r="H537" s="9" t="n">
        <v>0</v>
      </c>
      <c r="I537" s="9" t="n">
        <v>9281535.439999999</v>
      </c>
      <c r="J537" s="11" t="n">
        <v>1</v>
      </c>
      <c r="K537" s="8" t="n">
        <v>0</v>
      </c>
      <c r="L537" s="8" t="n">
        <v>1</v>
      </c>
      <c r="M537" s="9" t="n">
        <v>5460002.91</v>
      </c>
      <c r="N537" s="9" t="n">
        <v>0</v>
      </c>
      <c r="O537" s="9" t="n">
        <v>-3821532.53</v>
      </c>
      <c r="P537" s="8" t="n">
        <v>1</v>
      </c>
      <c r="Q537" s="8" t="n">
        <v>1</v>
      </c>
    </row>
    <row r="538">
      <c r="A538" s="8" t="n">
        <v>692</v>
      </c>
      <c r="B538" s="8" t="inlineStr">
        <is>
          <t>CASH_OUT</t>
        </is>
      </c>
      <c r="C538" s="9" t="n">
        <v>46072.33</v>
      </c>
      <c r="D538" s="8" t="inlineStr">
        <is>
          <t>C1532133480</t>
        </is>
      </c>
      <c r="E538" s="9" t="n">
        <v>46072.33</v>
      </c>
      <c r="F538" s="9" t="n">
        <v>0</v>
      </c>
      <c r="G538" s="8" t="inlineStr">
        <is>
          <t>C1174357565</t>
        </is>
      </c>
      <c r="H538" s="9" t="n">
        <v>813867.62</v>
      </c>
      <c r="I538" s="9" t="n">
        <v>859939.95</v>
      </c>
      <c r="J538" s="11" t="n">
        <v>1</v>
      </c>
      <c r="K538" s="8" t="n">
        <v>0</v>
      </c>
      <c r="L538" s="8" t="n">
        <v>1</v>
      </c>
      <c r="M538" s="9" t="n">
        <v>767795.29</v>
      </c>
      <c r="N538" s="9" t="n">
        <v>0</v>
      </c>
      <c r="O538" s="9" t="n">
        <v>0</v>
      </c>
      <c r="P538" s="8" t="n">
        <v>1</v>
      </c>
      <c r="Q538" s="8" t="n">
        <v>1</v>
      </c>
    </row>
    <row r="539">
      <c r="A539" s="8" t="n">
        <v>702</v>
      </c>
      <c r="B539" s="8" t="inlineStr">
        <is>
          <t>CASH_OUT</t>
        </is>
      </c>
      <c r="C539" s="9" t="n">
        <v>0</v>
      </c>
      <c r="D539" s="8" t="inlineStr">
        <is>
          <t>C1461113533</t>
        </is>
      </c>
      <c r="E539" s="9" t="n">
        <v>0</v>
      </c>
      <c r="F539" s="9" t="n">
        <v>0</v>
      </c>
      <c r="G539" s="8" t="inlineStr">
        <is>
          <t>C1382150537</t>
        </is>
      </c>
      <c r="H539" s="9" t="n">
        <v>107777.02</v>
      </c>
      <c r="I539" s="9" t="n">
        <v>107777.02</v>
      </c>
      <c r="J539" s="11" t="n">
        <v>1</v>
      </c>
      <c r="K539" s="8" t="n">
        <v>0</v>
      </c>
      <c r="L539" s="8" t="n">
        <v>1</v>
      </c>
      <c r="M539" s="9" t="n">
        <v>107777.02</v>
      </c>
      <c r="N539" s="9" t="n">
        <v>0</v>
      </c>
      <c r="O539" s="9" t="n">
        <v>0</v>
      </c>
      <c r="P539" s="8" t="n">
        <v>1</v>
      </c>
      <c r="Q539" s="8" t="n">
        <v>1</v>
      </c>
    </row>
    <row r="540">
      <c r="A540" s="8" t="n">
        <v>235</v>
      </c>
      <c r="B540" s="8" t="inlineStr">
        <is>
          <t>CASH_OUT</t>
        </is>
      </c>
      <c r="C540" s="9" t="n">
        <v>121397.09</v>
      </c>
      <c r="D540" s="8" t="inlineStr">
        <is>
          <t>C1431020975</t>
        </is>
      </c>
      <c r="E540" s="9" t="n">
        <v>35121</v>
      </c>
      <c r="F540" s="9" t="n">
        <v>0</v>
      </c>
      <c r="G540" s="8" t="inlineStr">
        <is>
          <t>C1843945304</t>
        </is>
      </c>
      <c r="H540" s="9" t="n">
        <v>417092.44</v>
      </c>
      <c r="I540" s="9" t="n">
        <v>538489.53</v>
      </c>
      <c r="J540" s="10" t="n">
        <v>0</v>
      </c>
      <c r="K540" s="8" t="n">
        <v>0</v>
      </c>
      <c r="L540" s="8" t="n">
        <v>1</v>
      </c>
      <c r="M540" s="9" t="n">
        <v>381971.44</v>
      </c>
      <c r="N540" s="9" t="n">
        <v>86276.09</v>
      </c>
      <c r="O540" s="9" t="n">
        <v>0</v>
      </c>
      <c r="P540" s="8" t="n">
        <v>1</v>
      </c>
      <c r="Q540" s="8" t="n">
        <v>0</v>
      </c>
    </row>
    <row r="541">
      <c r="A541" s="8" t="n">
        <v>283</v>
      </c>
      <c r="B541" s="8" t="inlineStr">
        <is>
          <t>CASH_IN</t>
        </is>
      </c>
      <c r="C541" s="9" t="n">
        <v>199144.46</v>
      </c>
      <c r="D541" s="8" t="inlineStr">
        <is>
          <t>C270481878</t>
        </is>
      </c>
      <c r="E541" s="9" t="n">
        <v>55797.91</v>
      </c>
      <c r="F541" s="9" t="n">
        <v>254942.36</v>
      </c>
      <c r="G541" s="8" t="inlineStr">
        <is>
          <t>C819368076</t>
        </is>
      </c>
      <c r="H541" s="9" t="n">
        <v>421516.72</v>
      </c>
      <c r="I541" s="9" t="n">
        <v>222372.26</v>
      </c>
      <c r="J541" s="10" t="n">
        <v>0</v>
      </c>
      <c r="K541" s="8" t="n">
        <v>0</v>
      </c>
      <c r="L541" s="8" t="n">
        <v>0</v>
      </c>
      <c r="M541" s="9" t="n">
        <v>365718.81</v>
      </c>
      <c r="N541" s="9" t="n">
        <v>398288.91</v>
      </c>
      <c r="O541" s="9" t="n">
        <v>398288.92</v>
      </c>
      <c r="P541" s="8" t="n">
        <v>1</v>
      </c>
      <c r="Q541" s="8" t="n">
        <v>0</v>
      </c>
    </row>
    <row r="542">
      <c r="A542" s="8" t="n">
        <v>9</v>
      </c>
      <c r="B542" s="8" t="inlineStr">
        <is>
          <t>TRANSFER</t>
        </is>
      </c>
      <c r="C542" s="9" t="n">
        <v>1428362.78</v>
      </c>
      <c r="D542" s="8" t="inlineStr">
        <is>
          <t>C1342718890</t>
        </is>
      </c>
      <c r="E542" s="9" t="n">
        <v>97609</v>
      </c>
      <c r="F542" s="9" t="n">
        <v>0</v>
      </c>
      <c r="G542" s="8" t="inlineStr">
        <is>
          <t>C1150936132</t>
        </is>
      </c>
      <c r="H542" s="9" t="n">
        <v>302132.94</v>
      </c>
      <c r="I542" s="9" t="n">
        <v>2113645.93</v>
      </c>
      <c r="J542" s="10" t="n">
        <v>0</v>
      </c>
      <c r="K542" s="8" t="n">
        <v>0</v>
      </c>
      <c r="L542" s="8" t="n">
        <v>1</v>
      </c>
      <c r="M542" s="9" t="n">
        <v>204523.94</v>
      </c>
      <c r="N542" s="9" t="n">
        <v>1330753.78</v>
      </c>
      <c r="O542" s="9" t="n">
        <v>-383150.21</v>
      </c>
      <c r="P542" s="8" t="n">
        <v>1</v>
      </c>
      <c r="Q542" s="8" t="n">
        <v>0</v>
      </c>
    </row>
    <row r="543">
      <c r="A543" s="8" t="n">
        <v>514</v>
      </c>
      <c r="B543" s="8" t="inlineStr">
        <is>
          <t>TRANSFER</t>
        </is>
      </c>
      <c r="C543" s="9" t="n">
        <v>48998.2</v>
      </c>
      <c r="D543" s="8" t="inlineStr">
        <is>
          <t>C1104857414</t>
        </is>
      </c>
      <c r="E543" s="9" t="n">
        <v>0</v>
      </c>
      <c r="F543" s="9" t="n">
        <v>0</v>
      </c>
      <c r="G543" s="8" t="inlineStr">
        <is>
          <t>C2071270098</t>
        </is>
      </c>
      <c r="H543" s="9" t="n">
        <v>455598.23</v>
      </c>
      <c r="I543" s="9" t="n">
        <v>504596.43</v>
      </c>
      <c r="J543" s="10" t="n">
        <v>0</v>
      </c>
      <c r="K543" s="8" t="n">
        <v>0</v>
      </c>
      <c r="L543" s="8" t="n">
        <v>1</v>
      </c>
      <c r="M543" s="9" t="n">
        <v>455598.23</v>
      </c>
      <c r="N543" s="9" t="n">
        <v>48998.2</v>
      </c>
      <c r="O543" s="9" t="n">
        <v>0</v>
      </c>
      <c r="P543" s="8" t="n">
        <v>1</v>
      </c>
      <c r="Q543" s="8" t="n">
        <v>0</v>
      </c>
    </row>
    <row r="544">
      <c r="A544" s="8" t="n">
        <v>154</v>
      </c>
      <c r="B544" s="8" t="inlineStr">
        <is>
          <t>CASH_OUT</t>
        </is>
      </c>
      <c r="C544" s="9" t="n">
        <v>4530.71</v>
      </c>
      <c r="D544" s="8" t="inlineStr">
        <is>
          <t>C831752854</t>
        </is>
      </c>
      <c r="E544" s="9" t="n">
        <v>4530.71</v>
      </c>
      <c r="F544" s="9" t="n">
        <v>0</v>
      </c>
      <c r="G544" s="8" t="inlineStr">
        <is>
          <t>C1379173269</t>
        </is>
      </c>
      <c r="H544" s="9" t="n">
        <v>0</v>
      </c>
      <c r="I544" s="9" t="n">
        <v>4530.71</v>
      </c>
      <c r="J544" s="11" t="n">
        <v>1</v>
      </c>
      <c r="K544" s="8" t="n">
        <v>0</v>
      </c>
      <c r="L544" s="8" t="n">
        <v>1</v>
      </c>
      <c r="M544" s="9" t="n">
        <v>4530.71</v>
      </c>
      <c r="N544" s="9" t="n">
        <v>0</v>
      </c>
      <c r="O544" s="9" t="n">
        <v>0</v>
      </c>
      <c r="P544" s="8" t="n">
        <v>1</v>
      </c>
      <c r="Q544" s="8" t="n">
        <v>1</v>
      </c>
    </row>
    <row r="545">
      <c r="A545" s="8" t="n">
        <v>235</v>
      </c>
      <c r="B545" s="8" t="inlineStr">
        <is>
          <t>CASH_OUT</t>
        </is>
      </c>
      <c r="C545" s="9" t="n">
        <v>130807.26</v>
      </c>
      <c r="D545" s="8" t="inlineStr">
        <is>
          <t>C875504750</t>
        </is>
      </c>
      <c r="E545" s="9" t="n">
        <v>0</v>
      </c>
      <c r="F545" s="9" t="n">
        <v>0</v>
      </c>
      <c r="G545" s="8" t="inlineStr">
        <is>
          <t>C1614770749</t>
        </is>
      </c>
      <c r="H545" s="9" t="n">
        <v>187200.34</v>
      </c>
      <c r="I545" s="9" t="n">
        <v>318007.6</v>
      </c>
      <c r="J545" s="10" t="n">
        <v>0</v>
      </c>
      <c r="K545" s="8" t="n">
        <v>0</v>
      </c>
      <c r="L545" s="8" t="n">
        <v>1</v>
      </c>
      <c r="M545" s="9" t="n">
        <v>187200.34</v>
      </c>
      <c r="N545" s="9" t="n">
        <v>130807.26</v>
      </c>
      <c r="O545" s="9" t="n">
        <v>0</v>
      </c>
      <c r="P545" s="8" t="n">
        <v>1</v>
      </c>
      <c r="Q545" s="8" t="n">
        <v>0</v>
      </c>
    </row>
    <row r="546">
      <c r="A546" s="8" t="n">
        <v>394</v>
      </c>
      <c r="B546" s="8" t="inlineStr">
        <is>
          <t>CASH_OUT</t>
        </is>
      </c>
      <c r="C546" s="9" t="n">
        <v>178295.25</v>
      </c>
      <c r="D546" s="8" t="inlineStr">
        <is>
          <t>C1125588020</t>
        </is>
      </c>
      <c r="E546" s="9" t="n">
        <v>814</v>
      </c>
      <c r="F546" s="9" t="n">
        <v>0</v>
      </c>
      <c r="G546" s="8" t="inlineStr">
        <is>
          <t>C727754382</t>
        </is>
      </c>
      <c r="H546" s="9" t="n">
        <v>338153.58</v>
      </c>
      <c r="I546" s="9" t="n">
        <v>516448.83</v>
      </c>
      <c r="J546" s="10" t="n">
        <v>0</v>
      </c>
      <c r="K546" s="8" t="n">
        <v>0</v>
      </c>
      <c r="L546" s="8" t="n">
        <v>1</v>
      </c>
      <c r="M546" s="9" t="n">
        <v>337339.58</v>
      </c>
      <c r="N546" s="9" t="n">
        <v>177481.25</v>
      </c>
      <c r="O546" s="9" t="n">
        <v>0</v>
      </c>
      <c r="P546" s="8" t="n">
        <v>1</v>
      </c>
      <c r="Q546" s="8" t="n">
        <v>0</v>
      </c>
    </row>
    <row r="547">
      <c r="A547" s="8" t="n">
        <v>38</v>
      </c>
      <c r="B547" s="8" t="inlineStr">
        <is>
          <t>CASH_OUT</t>
        </is>
      </c>
      <c r="C547" s="9" t="n">
        <v>71181.84</v>
      </c>
      <c r="D547" s="8" t="inlineStr">
        <is>
          <t>C494947648</t>
        </is>
      </c>
      <c r="E547" s="9" t="n">
        <v>5169</v>
      </c>
      <c r="F547" s="9" t="n">
        <v>0</v>
      </c>
      <c r="G547" s="8" t="inlineStr">
        <is>
          <t>C203080995</t>
        </is>
      </c>
      <c r="H547" s="9" t="n">
        <v>0</v>
      </c>
      <c r="I547" s="9" t="n">
        <v>71181.84</v>
      </c>
      <c r="J547" s="10" t="n">
        <v>0</v>
      </c>
      <c r="K547" s="8" t="n">
        <v>0</v>
      </c>
      <c r="L547" s="8" t="n">
        <v>1</v>
      </c>
      <c r="M547" s="9" t="n">
        <v>5169</v>
      </c>
      <c r="N547" s="9" t="n">
        <v>66012.84</v>
      </c>
      <c r="O547" s="9" t="n">
        <v>0</v>
      </c>
      <c r="P547" s="8" t="n">
        <v>1</v>
      </c>
      <c r="Q547" s="8" t="n">
        <v>0</v>
      </c>
    </row>
    <row r="548">
      <c r="A548" s="8" t="n">
        <v>20</v>
      </c>
      <c r="B548" s="8" t="inlineStr">
        <is>
          <t>CASH_OUT</t>
        </is>
      </c>
      <c r="C548" s="9" t="n">
        <v>235632.96</v>
      </c>
      <c r="D548" s="8" t="inlineStr">
        <is>
          <t>C740279810</t>
        </is>
      </c>
      <c r="E548" s="9" t="n">
        <v>0</v>
      </c>
      <c r="F548" s="9" t="n">
        <v>0</v>
      </c>
      <c r="G548" s="8" t="inlineStr">
        <is>
          <t>C507536444</t>
        </is>
      </c>
      <c r="H548" s="9" t="n">
        <v>2721738.51</v>
      </c>
      <c r="I548" s="9" t="n">
        <v>3014375.19</v>
      </c>
      <c r="J548" s="10" t="n">
        <v>0</v>
      </c>
      <c r="K548" s="8" t="n">
        <v>0</v>
      </c>
      <c r="L548" s="8" t="n">
        <v>1</v>
      </c>
      <c r="M548" s="9" t="n">
        <v>2721738.51</v>
      </c>
      <c r="N548" s="9" t="n">
        <v>235632.96</v>
      </c>
      <c r="O548" s="9" t="n">
        <v>-57003.72</v>
      </c>
      <c r="P548" s="8" t="n">
        <v>1</v>
      </c>
      <c r="Q548" s="8" t="n">
        <v>0</v>
      </c>
    </row>
    <row r="549">
      <c r="A549" s="8" t="n">
        <v>258</v>
      </c>
      <c r="B549" s="8" t="inlineStr">
        <is>
          <t>CASH_OUT</t>
        </is>
      </c>
      <c r="C549" s="9" t="n">
        <v>245766.27</v>
      </c>
      <c r="D549" s="8" t="inlineStr">
        <is>
          <t>C909123768</t>
        </is>
      </c>
      <c r="E549" s="9" t="n">
        <v>0</v>
      </c>
      <c r="F549" s="9" t="n">
        <v>0</v>
      </c>
      <c r="G549" s="8" t="inlineStr">
        <is>
          <t>C1985360772</t>
        </is>
      </c>
      <c r="H549" s="9" t="n">
        <v>544807.4</v>
      </c>
      <c r="I549" s="9" t="n">
        <v>790573.67</v>
      </c>
      <c r="J549" s="10" t="n">
        <v>0</v>
      </c>
      <c r="K549" s="8" t="n">
        <v>0</v>
      </c>
      <c r="L549" s="8" t="n">
        <v>1</v>
      </c>
      <c r="M549" s="9" t="n">
        <v>544807.4</v>
      </c>
      <c r="N549" s="9" t="n">
        <v>245766.27</v>
      </c>
      <c r="O549" s="9" t="n">
        <v>0</v>
      </c>
      <c r="P549" s="8" t="n">
        <v>1</v>
      </c>
      <c r="Q549" s="8" t="n">
        <v>0</v>
      </c>
    </row>
    <row r="550">
      <c r="A550" s="8" t="n">
        <v>741</v>
      </c>
      <c r="B550" s="8" t="inlineStr">
        <is>
          <t>CASH_OUT</t>
        </is>
      </c>
      <c r="C550" s="9" t="n">
        <v>323726.61</v>
      </c>
      <c r="D550" s="8" t="inlineStr">
        <is>
          <t>C919525792</t>
        </is>
      </c>
      <c r="E550" s="9" t="n">
        <v>323726.61</v>
      </c>
      <c r="F550" s="9" t="n">
        <v>0</v>
      </c>
      <c r="G550" s="8" t="inlineStr">
        <is>
          <t>C993635374</t>
        </is>
      </c>
      <c r="H550" s="9" t="n">
        <v>561753.58</v>
      </c>
      <c r="I550" s="9" t="n">
        <v>885480.1899999999</v>
      </c>
      <c r="J550" s="11" t="n">
        <v>1</v>
      </c>
      <c r="K550" s="8" t="n">
        <v>0</v>
      </c>
      <c r="L550" s="8" t="n">
        <v>1</v>
      </c>
      <c r="M550" s="9" t="n">
        <v>238026.97</v>
      </c>
      <c r="N550" s="9" t="n">
        <v>0</v>
      </c>
      <c r="O550" s="9" t="n">
        <v>0</v>
      </c>
      <c r="P550" s="8" t="n">
        <v>1</v>
      </c>
      <c r="Q550" s="8" t="n">
        <v>1</v>
      </c>
    </row>
    <row r="551">
      <c r="A551" s="8" t="n">
        <v>476</v>
      </c>
      <c r="B551" s="8" t="inlineStr">
        <is>
          <t>CASH_OUT</t>
        </is>
      </c>
      <c r="C551" s="9" t="n">
        <v>37394.15</v>
      </c>
      <c r="D551" s="8" t="inlineStr">
        <is>
          <t>C534886270</t>
        </is>
      </c>
      <c r="E551" s="9" t="n">
        <v>37394.15</v>
      </c>
      <c r="F551" s="9" t="n">
        <v>0</v>
      </c>
      <c r="G551" s="8" t="inlineStr">
        <is>
          <t>C998024073</t>
        </is>
      </c>
      <c r="H551" s="9" t="n">
        <v>281667.87</v>
      </c>
      <c r="I551" s="9" t="n">
        <v>319062.02</v>
      </c>
      <c r="J551" s="11" t="n">
        <v>1</v>
      </c>
      <c r="K551" s="8" t="n">
        <v>0</v>
      </c>
      <c r="L551" s="8" t="n">
        <v>1</v>
      </c>
      <c r="M551" s="9" t="n">
        <v>244273.72</v>
      </c>
      <c r="N551" s="9" t="n">
        <v>0</v>
      </c>
      <c r="O551" s="9" t="n">
        <v>0</v>
      </c>
      <c r="P551" s="8" t="n">
        <v>1</v>
      </c>
      <c r="Q551" s="8" t="n">
        <v>1</v>
      </c>
    </row>
    <row r="552">
      <c r="A552" s="8" t="n">
        <v>31</v>
      </c>
      <c r="B552" s="8" t="inlineStr">
        <is>
          <t>TRANSFER</t>
        </is>
      </c>
      <c r="C552" s="9" t="n">
        <v>5021186.54</v>
      </c>
      <c r="D552" s="8" t="inlineStr">
        <is>
          <t>C1848562108</t>
        </is>
      </c>
      <c r="E552" s="9" t="n">
        <v>5021186.54</v>
      </c>
      <c r="F552" s="9" t="n">
        <v>0</v>
      </c>
      <c r="G552" s="8" t="inlineStr">
        <is>
          <t>C1803198527</t>
        </is>
      </c>
      <c r="H552" s="9" t="n">
        <v>0</v>
      </c>
      <c r="I552" s="9" t="n">
        <v>0</v>
      </c>
      <c r="J552" s="11" t="n">
        <v>1</v>
      </c>
      <c r="K552" s="8" t="n">
        <v>0</v>
      </c>
      <c r="L552" s="8" t="n">
        <v>1</v>
      </c>
      <c r="M552" s="9" t="n">
        <v>5021186.54</v>
      </c>
      <c r="N552" s="9" t="n">
        <v>0</v>
      </c>
      <c r="O552" s="9" t="n">
        <v>5021186.54</v>
      </c>
      <c r="P552" s="8" t="n">
        <v>1</v>
      </c>
      <c r="Q552" s="8" t="n">
        <v>1</v>
      </c>
    </row>
    <row r="553">
      <c r="A553" s="8" t="n">
        <v>394</v>
      </c>
      <c r="B553" s="8" t="inlineStr">
        <is>
          <t>CASH_IN</t>
        </is>
      </c>
      <c r="C553" s="9" t="n">
        <v>160342.74</v>
      </c>
      <c r="D553" s="8" t="inlineStr">
        <is>
          <t>C2099965716</t>
        </is>
      </c>
      <c r="E553" s="9" t="n">
        <v>1153087.72</v>
      </c>
      <c r="F553" s="9" t="n">
        <v>1313430.46</v>
      </c>
      <c r="G553" s="8" t="inlineStr">
        <is>
          <t>C1483816276</t>
        </is>
      </c>
      <c r="H553" s="9" t="n">
        <v>1102492.46</v>
      </c>
      <c r="I553" s="9" t="n">
        <v>942149.72</v>
      </c>
      <c r="J553" s="10" t="n">
        <v>0</v>
      </c>
      <c r="K553" s="8" t="n">
        <v>0</v>
      </c>
      <c r="L553" s="8" t="n">
        <v>0</v>
      </c>
      <c r="M553" s="9" t="n">
        <v>50595.26000000001</v>
      </c>
      <c r="N553" s="9" t="n">
        <v>320685.48</v>
      </c>
      <c r="O553" s="9" t="n">
        <v>320685.48</v>
      </c>
      <c r="P553" s="8" t="n">
        <v>1</v>
      </c>
      <c r="Q553" s="8" t="n">
        <v>0</v>
      </c>
    </row>
    <row r="554">
      <c r="A554" s="8" t="n">
        <v>12</v>
      </c>
      <c r="B554" s="8" t="inlineStr">
        <is>
          <t>CASH_IN</t>
        </is>
      </c>
      <c r="C554" s="9" t="n">
        <v>414556.44</v>
      </c>
      <c r="D554" s="8" t="inlineStr">
        <is>
          <t>C2130716221</t>
        </is>
      </c>
      <c r="E554" s="9" t="n">
        <v>409478</v>
      </c>
      <c r="F554" s="9" t="n">
        <v>824034.4399999999</v>
      </c>
      <c r="G554" s="8" t="inlineStr">
        <is>
          <t>C1341178321</t>
        </is>
      </c>
      <c r="H554" s="9" t="n">
        <v>0</v>
      </c>
      <c r="I554" s="9" t="n">
        <v>0</v>
      </c>
      <c r="J554" s="10" t="n">
        <v>0</v>
      </c>
      <c r="K554" s="8" t="n">
        <v>0</v>
      </c>
      <c r="L554" s="8" t="n">
        <v>0</v>
      </c>
      <c r="M554" s="9" t="n">
        <v>409478</v>
      </c>
      <c r="N554" s="9" t="n">
        <v>829112.88</v>
      </c>
      <c r="O554" s="9" t="n">
        <v>414556.44</v>
      </c>
      <c r="P554" s="8" t="n">
        <v>1</v>
      </c>
      <c r="Q554" s="8" t="n">
        <v>0</v>
      </c>
    </row>
    <row r="555">
      <c r="A555" s="8" t="n">
        <v>257</v>
      </c>
      <c r="B555" s="8" t="inlineStr">
        <is>
          <t>CASH_OUT</t>
        </is>
      </c>
      <c r="C555" s="9" t="n">
        <v>182247.47</v>
      </c>
      <c r="D555" s="8" t="inlineStr">
        <is>
          <t>C425093318</t>
        </is>
      </c>
      <c r="E555" s="9" t="n">
        <v>15966</v>
      </c>
      <c r="F555" s="9" t="n">
        <v>0</v>
      </c>
      <c r="G555" s="8" t="inlineStr">
        <is>
          <t>C454727606</t>
        </is>
      </c>
      <c r="H555" s="9" t="n">
        <v>4713.46</v>
      </c>
      <c r="I555" s="9" t="n">
        <v>186960.93</v>
      </c>
      <c r="J555" s="10" t="n">
        <v>0</v>
      </c>
      <c r="K555" s="8" t="n">
        <v>0</v>
      </c>
      <c r="L555" s="8" t="n">
        <v>1</v>
      </c>
      <c r="M555" s="9" t="n">
        <v>11252.54</v>
      </c>
      <c r="N555" s="9" t="n">
        <v>166281.47</v>
      </c>
      <c r="O555" s="9" t="n">
        <v>0</v>
      </c>
      <c r="P555" s="8" t="n">
        <v>1</v>
      </c>
      <c r="Q555" s="8" t="n">
        <v>0</v>
      </c>
    </row>
    <row r="556">
      <c r="A556" s="8" t="n">
        <v>521</v>
      </c>
      <c r="B556" s="8" t="inlineStr">
        <is>
          <t>CASH_OUT</t>
        </is>
      </c>
      <c r="C556" s="9" t="n">
        <v>27483.79</v>
      </c>
      <c r="D556" s="8" t="inlineStr">
        <is>
          <t>C744746510</t>
        </is>
      </c>
      <c r="E556" s="9" t="n">
        <v>27483.79</v>
      </c>
      <c r="F556" s="9" t="n">
        <v>0</v>
      </c>
      <c r="G556" s="8" t="inlineStr">
        <is>
          <t>C1563109259</t>
        </is>
      </c>
      <c r="H556" s="9" t="n">
        <v>66220.64999999999</v>
      </c>
      <c r="I556" s="9" t="n">
        <v>93704.42999999999</v>
      </c>
      <c r="J556" s="11" t="n">
        <v>1</v>
      </c>
      <c r="K556" s="8" t="n">
        <v>0</v>
      </c>
      <c r="L556" s="8" t="n">
        <v>1</v>
      </c>
      <c r="M556" s="9" t="n">
        <v>38736.85999999999</v>
      </c>
      <c r="N556" s="9" t="n">
        <v>0</v>
      </c>
      <c r="O556" s="9" t="n">
        <v>0.01</v>
      </c>
      <c r="P556" s="8" t="n">
        <v>1</v>
      </c>
      <c r="Q556" s="8" t="n">
        <v>1</v>
      </c>
    </row>
    <row r="557">
      <c r="A557" s="8" t="n">
        <v>236</v>
      </c>
      <c r="B557" s="8" t="inlineStr">
        <is>
          <t>PAYMENT</t>
        </is>
      </c>
      <c r="C557" s="9" t="n">
        <v>7672.32</v>
      </c>
      <c r="D557" s="8" t="inlineStr">
        <is>
          <t>C848315831</t>
        </is>
      </c>
      <c r="E557" s="9" t="n">
        <v>0</v>
      </c>
      <c r="F557" s="9" t="n">
        <v>0</v>
      </c>
      <c r="G557" s="8" t="inlineStr">
        <is>
          <t>M1083869704</t>
        </is>
      </c>
      <c r="H557" s="9" t="n">
        <v>0</v>
      </c>
      <c r="I557" s="9" t="n">
        <v>0</v>
      </c>
      <c r="J557" s="10" t="n">
        <v>0</v>
      </c>
      <c r="K557" s="8" t="n">
        <v>1</v>
      </c>
      <c r="L557" s="8" t="n">
        <v>0</v>
      </c>
      <c r="M557" s="9" t="n">
        <v>0</v>
      </c>
      <c r="N557" s="9" t="n">
        <v>7672.32</v>
      </c>
      <c r="O557" s="9" t="n">
        <v>7672.32</v>
      </c>
      <c r="P557" s="8" t="n">
        <v>0</v>
      </c>
      <c r="Q557" s="8" t="n">
        <v>0</v>
      </c>
    </row>
    <row r="558">
      <c r="A558" s="8" t="n">
        <v>202</v>
      </c>
      <c r="B558" s="8" t="inlineStr">
        <is>
          <t>PAYMENT</t>
        </is>
      </c>
      <c r="C558" s="9" t="n">
        <v>218.18</v>
      </c>
      <c r="D558" s="8" t="inlineStr">
        <is>
          <t>C1812416362</t>
        </is>
      </c>
      <c r="E558" s="9" t="n">
        <v>0</v>
      </c>
      <c r="F558" s="9" t="n">
        <v>0</v>
      </c>
      <c r="G558" s="8" t="inlineStr">
        <is>
          <t>M1658459793</t>
        </is>
      </c>
      <c r="H558" s="9" t="n">
        <v>0</v>
      </c>
      <c r="I558" s="9" t="n">
        <v>0</v>
      </c>
      <c r="J558" s="10" t="n">
        <v>0</v>
      </c>
      <c r="K558" s="8" t="n">
        <v>1</v>
      </c>
      <c r="L558" s="8" t="n">
        <v>0</v>
      </c>
      <c r="M558" s="9" t="n">
        <v>0</v>
      </c>
      <c r="N558" s="9" t="n">
        <v>218.18</v>
      </c>
      <c r="O558" s="9" t="n">
        <v>218.18</v>
      </c>
      <c r="P558" s="8" t="n">
        <v>0</v>
      </c>
      <c r="Q558" s="8" t="n">
        <v>0</v>
      </c>
    </row>
    <row r="559">
      <c r="A559" s="8" t="n">
        <v>691</v>
      </c>
      <c r="B559" s="8" t="inlineStr">
        <is>
          <t>TRANSFER</t>
        </is>
      </c>
      <c r="C559" s="9" t="n">
        <v>473086.28</v>
      </c>
      <c r="D559" s="8" t="inlineStr">
        <is>
          <t>C1621962604</t>
        </is>
      </c>
      <c r="E559" s="9" t="n">
        <v>473086.28</v>
      </c>
      <c r="F559" s="9" t="n">
        <v>0</v>
      </c>
      <c r="G559" s="8" t="inlineStr">
        <is>
          <t>C2071195320</t>
        </is>
      </c>
      <c r="H559" s="9" t="n">
        <v>0</v>
      </c>
      <c r="I559" s="9" t="n">
        <v>0</v>
      </c>
      <c r="J559" s="11" t="n">
        <v>1</v>
      </c>
      <c r="K559" s="8" t="n">
        <v>0</v>
      </c>
      <c r="L559" s="8" t="n">
        <v>1</v>
      </c>
      <c r="M559" s="9" t="n">
        <v>473086.28</v>
      </c>
      <c r="N559" s="9" t="n">
        <v>0</v>
      </c>
      <c r="O559" s="9" t="n">
        <v>473086.28</v>
      </c>
      <c r="P559" s="8" t="n">
        <v>1</v>
      </c>
      <c r="Q559" s="8" t="n">
        <v>1</v>
      </c>
    </row>
    <row r="560">
      <c r="A560" s="8" t="n">
        <v>625</v>
      </c>
      <c r="B560" s="8" t="inlineStr">
        <is>
          <t>TRANSFER</t>
        </is>
      </c>
      <c r="C560" s="9" t="n">
        <v>10000000</v>
      </c>
      <c r="D560" s="8" t="inlineStr">
        <is>
          <t>C1179529142</t>
        </is>
      </c>
      <c r="E560" s="9" t="n">
        <v>13020974.53</v>
      </c>
      <c r="F560" s="9" t="n">
        <v>3020974.53</v>
      </c>
      <c r="G560" s="8" t="inlineStr">
        <is>
          <t>C2073831661</t>
        </is>
      </c>
      <c r="H560" s="9" t="n">
        <v>0</v>
      </c>
      <c r="I560" s="9" t="n">
        <v>0</v>
      </c>
      <c r="J560" s="11" t="n">
        <v>1</v>
      </c>
      <c r="K560" s="8" t="n">
        <v>0</v>
      </c>
      <c r="L560" s="8" t="n">
        <v>1</v>
      </c>
      <c r="M560" s="9" t="n">
        <v>13020974.53</v>
      </c>
      <c r="N560" s="9" t="n">
        <v>0</v>
      </c>
      <c r="O560" s="9" t="n">
        <v>10000000</v>
      </c>
      <c r="P560" s="8" t="n">
        <v>1</v>
      </c>
      <c r="Q560" s="8" t="n">
        <v>1</v>
      </c>
    </row>
    <row r="561">
      <c r="A561" s="8" t="n">
        <v>228</v>
      </c>
      <c r="B561" s="8" t="inlineStr">
        <is>
          <t>CASH_IN</t>
        </is>
      </c>
      <c r="C561" s="9" t="n">
        <v>25223.57</v>
      </c>
      <c r="D561" s="8" t="inlineStr">
        <is>
          <t>C321750256</t>
        </is>
      </c>
      <c r="E561" s="9" t="n">
        <v>200390</v>
      </c>
      <c r="F561" s="9" t="n">
        <v>225613.57</v>
      </c>
      <c r="G561" s="8" t="inlineStr">
        <is>
          <t>C731180267</t>
        </is>
      </c>
      <c r="H561" s="9" t="n">
        <v>0</v>
      </c>
      <c r="I561" s="9" t="n">
        <v>0</v>
      </c>
      <c r="J561" s="10" t="n">
        <v>0</v>
      </c>
      <c r="K561" s="8" t="n">
        <v>0</v>
      </c>
      <c r="L561" s="8" t="n">
        <v>0</v>
      </c>
      <c r="M561" s="9" t="n">
        <v>200390</v>
      </c>
      <c r="N561" s="9" t="n">
        <v>50447.14</v>
      </c>
      <c r="O561" s="9" t="n">
        <v>25223.57</v>
      </c>
      <c r="P561" s="8" t="n">
        <v>1</v>
      </c>
      <c r="Q561" s="8" t="n">
        <v>0</v>
      </c>
    </row>
    <row r="562">
      <c r="A562" s="8" t="n">
        <v>355</v>
      </c>
      <c r="B562" s="8" t="inlineStr">
        <is>
          <t>CASH_IN</t>
        </is>
      </c>
      <c r="C562" s="9" t="n">
        <v>110407.1</v>
      </c>
      <c r="D562" s="8" t="inlineStr">
        <is>
          <t>C647557184</t>
        </is>
      </c>
      <c r="E562" s="9" t="n">
        <v>4817688.37</v>
      </c>
      <c r="F562" s="9" t="n">
        <v>4928095.47</v>
      </c>
      <c r="G562" s="8" t="inlineStr">
        <is>
          <t>C1010354208</t>
        </is>
      </c>
      <c r="H562" s="9" t="n">
        <v>4228070.38</v>
      </c>
      <c r="I562" s="9" t="n">
        <v>4117663.29</v>
      </c>
      <c r="J562" s="10" t="n">
        <v>0</v>
      </c>
      <c r="K562" s="8" t="n">
        <v>0</v>
      </c>
      <c r="L562" s="8" t="n">
        <v>0</v>
      </c>
      <c r="M562" s="9" t="n">
        <v>589617.9900000002</v>
      </c>
      <c r="N562" s="9" t="n">
        <v>220814.2</v>
      </c>
      <c r="O562" s="9" t="n">
        <v>220814.19</v>
      </c>
      <c r="P562" s="8" t="n">
        <v>1</v>
      </c>
      <c r="Q562" s="8" t="n">
        <v>0</v>
      </c>
    </row>
    <row r="563">
      <c r="A563" s="8" t="n">
        <v>201</v>
      </c>
      <c r="B563" s="8" t="inlineStr">
        <is>
          <t>CASH_OUT</t>
        </is>
      </c>
      <c r="C563" s="9" t="n">
        <v>16182.7</v>
      </c>
      <c r="D563" s="8" t="inlineStr">
        <is>
          <t>C1296182118</t>
        </is>
      </c>
      <c r="E563" s="9" t="n">
        <v>16182.7</v>
      </c>
      <c r="F563" s="9" t="n">
        <v>0</v>
      </c>
      <c r="G563" s="8" t="inlineStr">
        <is>
          <t>C1650668671</t>
        </is>
      </c>
      <c r="H563" s="9" t="n">
        <v>0</v>
      </c>
      <c r="I563" s="9" t="n">
        <v>16182.7</v>
      </c>
      <c r="J563" s="11" t="n">
        <v>1</v>
      </c>
      <c r="K563" s="8" t="n">
        <v>0</v>
      </c>
      <c r="L563" s="8" t="n">
        <v>1</v>
      </c>
      <c r="M563" s="9" t="n">
        <v>16182.7</v>
      </c>
      <c r="N563" s="9" t="n">
        <v>0</v>
      </c>
      <c r="O563" s="9" t="n">
        <v>0</v>
      </c>
      <c r="P563" s="8" t="n">
        <v>1</v>
      </c>
      <c r="Q563" s="8" t="n">
        <v>1</v>
      </c>
    </row>
    <row r="564">
      <c r="A564" s="8" t="n">
        <v>156</v>
      </c>
      <c r="B564" s="8" t="inlineStr">
        <is>
          <t>TRANSFER</t>
        </is>
      </c>
      <c r="C564" s="9" t="n">
        <v>272774.46</v>
      </c>
      <c r="D564" s="8" t="inlineStr">
        <is>
          <t>C1897075803</t>
        </is>
      </c>
      <c r="E564" s="9" t="n">
        <v>0</v>
      </c>
      <c r="F564" s="9" t="n">
        <v>0</v>
      </c>
      <c r="G564" s="8" t="inlineStr">
        <is>
          <t>C710144426</t>
        </is>
      </c>
      <c r="H564" s="9" t="n">
        <v>1049597.74</v>
      </c>
      <c r="I564" s="9" t="n">
        <v>1322372.2</v>
      </c>
      <c r="J564" s="10" t="n">
        <v>0</v>
      </c>
      <c r="K564" s="8" t="n">
        <v>0</v>
      </c>
      <c r="L564" s="8" t="n">
        <v>1</v>
      </c>
      <c r="M564" s="9" t="n">
        <v>1049597.74</v>
      </c>
      <c r="N564" s="9" t="n">
        <v>272774.46</v>
      </c>
      <c r="O564" s="9" t="n">
        <v>0</v>
      </c>
      <c r="P564" s="8" t="n">
        <v>1</v>
      </c>
      <c r="Q564" s="8" t="n">
        <v>0</v>
      </c>
    </row>
    <row r="565">
      <c r="A565" s="8" t="n">
        <v>165</v>
      </c>
      <c r="B565" s="8" t="inlineStr">
        <is>
          <t>TRANSFER</t>
        </is>
      </c>
      <c r="C565" s="9" t="n">
        <v>292776.32</v>
      </c>
      <c r="D565" s="8" t="inlineStr">
        <is>
          <t>C231173651</t>
        </is>
      </c>
      <c r="E565" s="9" t="n">
        <v>30760</v>
      </c>
      <c r="F565" s="9" t="n">
        <v>0</v>
      </c>
      <c r="G565" s="8" t="inlineStr">
        <is>
          <t>C504088424</t>
        </is>
      </c>
      <c r="H565" s="9" t="n">
        <v>1356786.57</v>
      </c>
      <c r="I565" s="9" t="n">
        <v>1649562.89</v>
      </c>
      <c r="J565" s="10" t="n">
        <v>0</v>
      </c>
      <c r="K565" s="8" t="n">
        <v>0</v>
      </c>
      <c r="L565" s="8" t="n">
        <v>1</v>
      </c>
      <c r="M565" s="9" t="n">
        <v>1326026.57</v>
      </c>
      <c r="N565" s="9" t="n">
        <v>262016.32</v>
      </c>
      <c r="O565" s="9" t="n">
        <v>0</v>
      </c>
      <c r="P565" s="8" t="n">
        <v>1</v>
      </c>
      <c r="Q565" s="8" t="n">
        <v>0</v>
      </c>
    </row>
    <row r="566">
      <c r="A566" s="8" t="n">
        <v>403</v>
      </c>
      <c r="B566" s="8" t="inlineStr">
        <is>
          <t>CASH_IN</t>
        </is>
      </c>
      <c r="C566" s="9" t="n">
        <v>270296.1</v>
      </c>
      <c r="D566" s="8" t="inlineStr">
        <is>
          <t>C378239560</t>
        </is>
      </c>
      <c r="E566" s="9" t="n">
        <v>4615157.56</v>
      </c>
      <c r="F566" s="9" t="n">
        <v>4885453.66</v>
      </c>
      <c r="G566" s="8" t="inlineStr">
        <is>
          <t>C1874126512</t>
        </is>
      </c>
      <c r="H566" s="9" t="n">
        <v>710088.26</v>
      </c>
      <c r="I566" s="9" t="n">
        <v>439792.16</v>
      </c>
      <c r="J566" s="10" t="n">
        <v>0</v>
      </c>
      <c r="K566" s="8" t="n">
        <v>0</v>
      </c>
      <c r="L566" s="8" t="n">
        <v>0</v>
      </c>
      <c r="M566" s="9" t="n">
        <v>3905069.3</v>
      </c>
      <c r="N566" s="9" t="n">
        <v>540592.2</v>
      </c>
      <c r="O566" s="9" t="n">
        <v>540592.2</v>
      </c>
      <c r="P566" s="8" t="n">
        <v>1</v>
      </c>
      <c r="Q566" s="8" t="n">
        <v>0</v>
      </c>
    </row>
    <row r="567">
      <c r="A567" s="8" t="n">
        <v>371</v>
      </c>
      <c r="B567" s="8" t="inlineStr">
        <is>
          <t>CASH_OUT</t>
        </is>
      </c>
      <c r="C567" s="9" t="n">
        <v>1874.4</v>
      </c>
      <c r="D567" s="8" t="inlineStr">
        <is>
          <t>C1077281695</t>
        </is>
      </c>
      <c r="E567" s="9" t="n">
        <v>58639</v>
      </c>
      <c r="F567" s="9" t="n">
        <v>56764.6</v>
      </c>
      <c r="G567" s="8" t="inlineStr">
        <is>
          <t>C1017104081</t>
        </is>
      </c>
      <c r="H567" s="9" t="n">
        <v>3111138.22</v>
      </c>
      <c r="I567" s="9" t="n">
        <v>3113012.61</v>
      </c>
      <c r="J567" s="10" t="n">
        <v>0</v>
      </c>
      <c r="K567" s="8" t="n">
        <v>0</v>
      </c>
      <c r="L567" s="8" t="n">
        <v>1</v>
      </c>
      <c r="M567" s="9" t="n">
        <v>3052499.22</v>
      </c>
      <c r="N567" s="9" t="n">
        <v>0</v>
      </c>
      <c r="O567" s="9" t="n">
        <v>0.01</v>
      </c>
      <c r="P567" s="8" t="n">
        <v>1</v>
      </c>
      <c r="Q567" s="8" t="n">
        <v>1</v>
      </c>
    </row>
    <row r="568">
      <c r="A568" s="8" t="n">
        <v>469</v>
      </c>
      <c r="B568" s="8" t="inlineStr">
        <is>
          <t>CASH_OUT</t>
        </is>
      </c>
      <c r="C568" s="9" t="n">
        <v>79324.86</v>
      </c>
      <c r="D568" s="8" t="inlineStr">
        <is>
          <t>C787716404</t>
        </is>
      </c>
      <c r="E568" s="9" t="n">
        <v>36695</v>
      </c>
      <c r="F568" s="9" t="n">
        <v>0</v>
      </c>
      <c r="G568" s="8" t="inlineStr">
        <is>
          <t>C1255411299</t>
        </is>
      </c>
      <c r="H568" s="9" t="n">
        <v>1133148.54</v>
      </c>
      <c r="I568" s="9" t="n">
        <v>1212473.4</v>
      </c>
      <c r="J568" s="10" t="n">
        <v>0</v>
      </c>
      <c r="K568" s="8" t="n">
        <v>0</v>
      </c>
      <c r="L568" s="8" t="n">
        <v>1</v>
      </c>
      <c r="M568" s="9" t="n">
        <v>1096453.54</v>
      </c>
      <c r="N568" s="9" t="n">
        <v>42629.86</v>
      </c>
      <c r="O568" s="9" t="n">
        <v>0</v>
      </c>
      <c r="P568" s="8" t="n">
        <v>1</v>
      </c>
      <c r="Q568" s="8" t="n">
        <v>0</v>
      </c>
    </row>
    <row r="569">
      <c r="A569" s="8" t="n">
        <v>16</v>
      </c>
      <c r="B569" s="8" t="inlineStr">
        <is>
          <t>PAYMENT</t>
        </is>
      </c>
      <c r="C569" s="9" t="n">
        <v>13793.24</v>
      </c>
      <c r="D569" s="8" t="inlineStr">
        <is>
          <t>C513033597</t>
        </is>
      </c>
      <c r="E569" s="9" t="n">
        <v>843</v>
      </c>
      <c r="F569" s="9" t="n">
        <v>0</v>
      </c>
      <c r="G569" s="8" t="inlineStr">
        <is>
          <t>M1359112123</t>
        </is>
      </c>
      <c r="H569" s="9" t="n">
        <v>0</v>
      </c>
      <c r="I569" s="9" t="n">
        <v>0</v>
      </c>
      <c r="J569" s="10" t="n">
        <v>0</v>
      </c>
      <c r="K569" s="8" t="n">
        <v>1</v>
      </c>
      <c r="L569" s="8" t="n">
        <v>0</v>
      </c>
      <c r="M569" s="9" t="n">
        <v>843</v>
      </c>
      <c r="N569" s="9" t="n">
        <v>12950.24</v>
      </c>
      <c r="O569" s="9" t="n">
        <v>13793.24</v>
      </c>
      <c r="P569" s="8" t="n">
        <v>0</v>
      </c>
      <c r="Q569" s="8" t="n">
        <v>0</v>
      </c>
    </row>
    <row r="570">
      <c r="A570" s="8" t="n">
        <v>283</v>
      </c>
      <c r="B570" s="8" t="inlineStr">
        <is>
          <t>PAYMENT</t>
        </is>
      </c>
      <c r="C570" s="9" t="n">
        <v>7085.4</v>
      </c>
      <c r="D570" s="8" t="inlineStr">
        <is>
          <t>C746133288</t>
        </is>
      </c>
      <c r="E570" s="9" t="n">
        <v>518048.9</v>
      </c>
      <c r="F570" s="9" t="n">
        <v>510963.5</v>
      </c>
      <c r="G570" s="8" t="inlineStr">
        <is>
          <t>M233086710</t>
        </is>
      </c>
      <c r="H570" s="9" t="n">
        <v>0</v>
      </c>
      <c r="I570" s="9" t="n">
        <v>0</v>
      </c>
      <c r="J570" s="10" t="n">
        <v>0</v>
      </c>
      <c r="K570" s="8" t="n">
        <v>1</v>
      </c>
      <c r="L570" s="8" t="n">
        <v>0</v>
      </c>
      <c r="M570" s="9" t="n">
        <v>518048.9</v>
      </c>
      <c r="N570" s="9" t="n">
        <v>0</v>
      </c>
      <c r="O570" s="9" t="n">
        <v>7085.4</v>
      </c>
      <c r="P570" s="8" t="n">
        <v>0</v>
      </c>
      <c r="Q570" s="8" t="n">
        <v>1</v>
      </c>
    </row>
    <row r="571">
      <c r="A571" s="8" t="n">
        <v>181</v>
      </c>
      <c r="B571" s="8" t="inlineStr">
        <is>
          <t>PAYMENT</t>
        </is>
      </c>
      <c r="C571" s="9" t="n">
        <v>1528.41</v>
      </c>
      <c r="D571" s="8" t="inlineStr">
        <is>
          <t>C1086094227</t>
        </is>
      </c>
      <c r="E571" s="9" t="n">
        <v>297166.43</v>
      </c>
      <c r="F571" s="9" t="n">
        <v>295638.02</v>
      </c>
      <c r="G571" s="8" t="inlineStr">
        <is>
          <t>M523793779</t>
        </is>
      </c>
      <c r="H571" s="9" t="n">
        <v>0</v>
      </c>
      <c r="I571" s="9" t="n">
        <v>0</v>
      </c>
      <c r="J571" s="10" t="n">
        <v>0</v>
      </c>
      <c r="K571" s="8" t="n">
        <v>1</v>
      </c>
      <c r="L571" s="8" t="n">
        <v>0</v>
      </c>
      <c r="M571" s="9" t="n">
        <v>297166.43</v>
      </c>
      <c r="N571" s="9" t="n">
        <v>0</v>
      </c>
      <c r="O571" s="9" t="n">
        <v>1528.41</v>
      </c>
      <c r="P571" s="8" t="n">
        <v>0</v>
      </c>
      <c r="Q571" s="8" t="n">
        <v>1</v>
      </c>
    </row>
    <row r="572">
      <c r="A572" s="8" t="n">
        <v>444</v>
      </c>
      <c r="B572" s="8" t="inlineStr">
        <is>
          <t>TRANSFER</t>
        </is>
      </c>
      <c r="C572" s="9" t="n">
        <v>408864.84</v>
      </c>
      <c r="D572" s="8" t="inlineStr">
        <is>
          <t>C1831363253</t>
        </is>
      </c>
      <c r="E572" s="9" t="n">
        <v>408864.84</v>
      </c>
      <c r="F572" s="9" t="n">
        <v>0</v>
      </c>
      <c r="G572" s="8" t="inlineStr">
        <is>
          <t>C2045273924</t>
        </is>
      </c>
      <c r="H572" s="9" t="n">
        <v>0</v>
      </c>
      <c r="I572" s="9" t="n">
        <v>0</v>
      </c>
      <c r="J572" s="11" t="n">
        <v>1</v>
      </c>
      <c r="K572" s="8" t="n">
        <v>0</v>
      </c>
      <c r="L572" s="8" t="n">
        <v>1</v>
      </c>
      <c r="M572" s="9" t="n">
        <v>408864.84</v>
      </c>
      <c r="N572" s="9" t="n">
        <v>0</v>
      </c>
      <c r="O572" s="9" t="n">
        <v>408864.84</v>
      </c>
      <c r="P572" s="8" t="n">
        <v>1</v>
      </c>
      <c r="Q572" s="8" t="n">
        <v>1</v>
      </c>
    </row>
    <row r="573">
      <c r="A573" s="8" t="n">
        <v>627</v>
      </c>
      <c r="B573" s="8" t="inlineStr">
        <is>
          <t>TRANSFER</t>
        </is>
      </c>
      <c r="C573" s="9" t="n">
        <v>953529.64</v>
      </c>
      <c r="D573" s="8" t="inlineStr">
        <is>
          <t>C943173894</t>
        </is>
      </c>
      <c r="E573" s="9" t="n">
        <v>953529.64</v>
      </c>
      <c r="F573" s="9" t="n">
        <v>0</v>
      </c>
      <c r="G573" s="8" t="inlineStr">
        <is>
          <t>C771063877</t>
        </is>
      </c>
      <c r="H573" s="9" t="n">
        <v>0</v>
      </c>
      <c r="I573" s="9" t="n">
        <v>0</v>
      </c>
      <c r="J573" s="11" t="n">
        <v>1</v>
      </c>
      <c r="K573" s="8" t="n">
        <v>0</v>
      </c>
      <c r="L573" s="8" t="n">
        <v>1</v>
      </c>
      <c r="M573" s="9" t="n">
        <v>953529.64</v>
      </c>
      <c r="N573" s="9" t="n">
        <v>0</v>
      </c>
      <c r="O573" s="9" t="n">
        <v>953529.64</v>
      </c>
      <c r="P573" s="8" t="n">
        <v>1</v>
      </c>
      <c r="Q573" s="8" t="n">
        <v>1</v>
      </c>
    </row>
    <row r="574">
      <c r="A574" s="8" t="n">
        <v>20</v>
      </c>
      <c r="B574" s="8" t="inlineStr">
        <is>
          <t>CASH_OUT</t>
        </is>
      </c>
      <c r="C574" s="9" t="n">
        <v>188507.62</v>
      </c>
      <c r="D574" s="8" t="inlineStr">
        <is>
          <t>C1905081513</t>
        </is>
      </c>
      <c r="E574" s="9" t="n">
        <v>188194</v>
      </c>
      <c r="F574" s="9" t="n">
        <v>0</v>
      </c>
      <c r="G574" s="8" t="inlineStr">
        <is>
          <t>C398930099</t>
        </is>
      </c>
      <c r="H574" s="9" t="n">
        <v>49830.09</v>
      </c>
      <c r="I574" s="9" t="n">
        <v>238337.71</v>
      </c>
      <c r="J574" s="10" t="n">
        <v>0</v>
      </c>
      <c r="K574" s="8" t="n">
        <v>0</v>
      </c>
      <c r="L574" s="8" t="n">
        <v>1</v>
      </c>
      <c r="M574" s="9" t="n">
        <v>138363.91</v>
      </c>
      <c r="N574" s="9" t="n">
        <v>313.62</v>
      </c>
      <c r="O574" s="9" t="n">
        <v>0</v>
      </c>
      <c r="P574" s="8" t="n">
        <v>1</v>
      </c>
      <c r="Q574" s="8" t="n">
        <v>0</v>
      </c>
    </row>
    <row r="575">
      <c r="A575" s="8" t="n">
        <v>133</v>
      </c>
      <c r="B575" s="8" t="inlineStr">
        <is>
          <t>PAYMENT</t>
        </is>
      </c>
      <c r="C575" s="9" t="n">
        <v>4241.76</v>
      </c>
      <c r="D575" s="8" t="inlineStr">
        <is>
          <t>C1735725899</t>
        </is>
      </c>
      <c r="E575" s="9" t="n">
        <v>0</v>
      </c>
      <c r="F575" s="9" t="n">
        <v>0</v>
      </c>
      <c r="G575" s="8" t="inlineStr">
        <is>
          <t>M850484147</t>
        </is>
      </c>
      <c r="H575" s="9" t="n">
        <v>0</v>
      </c>
      <c r="I575" s="9" t="n">
        <v>0</v>
      </c>
      <c r="J575" s="10" t="n">
        <v>0</v>
      </c>
      <c r="K575" s="8" t="n">
        <v>1</v>
      </c>
      <c r="L575" s="8" t="n">
        <v>0</v>
      </c>
      <c r="M575" s="9" t="n">
        <v>0</v>
      </c>
      <c r="N575" s="9" t="n">
        <v>4241.76</v>
      </c>
      <c r="O575" s="9" t="n">
        <v>4241.76</v>
      </c>
      <c r="P575" s="8" t="n">
        <v>0</v>
      </c>
      <c r="Q575" s="8" t="n">
        <v>0</v>
      </c>
    </row>
    <row r="576">
      <c r="A576" s="8" t="n">
        <v>203</v>
      </c>
      <c r="B576" s="8" t="inlineStr">
        <is>
          <t>PAYMENT</t>
        </is>
      </c>
      <c r="C576" s="9" t="n">
        <v>39266.93</v>
      </c>
      <c r="D576" s="8" t="inlineStr">
        <is>
          <t>C1009519906</t>
        </is>
      </c>
      <c r="E576" s="9" t="n">
        <v>0</v>
      </c>
      <c r="F576" s="9" t="n">
        <v>0</v>
      </c>
      <c r="G576" s="8" t="inlineStr">
        <is>
          <t>M562998081</t>
        </is>
      </c>
      <c r="H576" s="9" t="n">
        <v>0</v>
      </c>
      <c r="I576" s="9" t="n">
        <v>0</v>
      </c>
      <c r="J576" s="10" t="n">
        <v>0</v>
      </c>
      <c r="K576" s="8" t="n">
        <v>1</v>
      </c>
      <c r="L576" s="8" t="n">
        <v>0</v>
      </c>
      <c r="M576" s="9" t="n">
        <v>0</v>
      </c>
      <c r="N576" s="9" t="n">
        <v>39266.93</v>
      </c>
      <c r="O576" s="9" t="n">
        <v>39266.93</v>
      </c>
      <c r="P576" s="8" t="n">
        <v>0</v>
      </c>
      <c r="Q576" s="8" t="n">
        <v>0</v>
      </c>
    </row>
    <row r="577">
      <c r="A577" s="8" t="n">
        <v>13</v>
      </c>
      <c r="B577" s="8" t="inlineStr">
        <is>
          <t>TRANSFER</t>
        </is>
      </c>
      <c r="C577" s="9" t="n">
        <v>6188514.81</v>
      </c>
      <c r="D577" s="8" t="inlineStr">
        <is>
          <t>C135832352</t>
        </is>
      </c>
      <c r="E577" s="9" t="n">
        <v>6188514.81</v>
      </c>
      <c r="F577" s="9" t="n">
        <v>0</v>
      </c>
      <c r="G577" s="8" t="inlineStr">
        <is>
          <t>C2009346140</t>
        </is>
      </c>
      <c r="H577" s="9" t="n">
        <v>0</v>
      </c>
      <c r="I577" s="9" t="n">
        <v>0</v>
      </c>
      <c r="J577" s="11" t="n">
        <v>1</v>
      </c>
      <c r="K577" s="8" t="n">
        <v>0</v>
      </c>
      <c r="L577" s="8" t="n">
        <v>1</v>
      </c>
      <c r="M577" s="9" t="n">
        <v>6188514.81</v>
      </c>
      <c r="N577" s="9" t="n">
        <v>0</v>
      </c>
      <c r="O577" s="9" t="n">
        <v>6188514.81</v>
      </c>
      <c r="P577" s="8" t="n">
        <v>1</v>
      </c>
      <c r="Q577" s="8" t="n">
        <v>1</v>
      </c>
    </row>
    <row r="578">
      <c r="A578" s="8" t="n">
        <v>203</v>
      </c>
      <c r="B578" s="8" t="inlineStr">
        <is>
          <t>PAYMENT</t>
        </is>
      </c>
      <c r="C578" s="9" t="n">
        <v>6005.72</v>
      </c>
      <c r="D578" s="8" t="inlineStr">
        <is>
          <t>C757225645</t>
        </is>
      </c>
      <c r="E578" s="9" t="n">
        <v>7543</v>
      </c>
      <c r="F578" s="9" t="n">
        <v>1537.28</v>
      </c>
      <c r="G578" s="8" t="inlineStr">
        <is>
          <t>M1390480614</t>
        </is>
      </c>
      <c r="H578" s="9" t="n">
        <v>0</v>
      </c>
      <c r="I578" s="9" t="n">
        <v>0</v>
      </c>
      <c r="J578" s="10" t="n">
        <v>0</v>
      </c>
      <c r="K578" s="8" t="n">
        <v>1</v>
      </c>
      <c r="L578" s="8" t="n">
        <v>0</v>
      </c>
      <c r="M578" s="9" t="n">
        <v>7543</v>
      </c>
      <c r="N578" s="9" t="n">
        <v>0</v>
      </c>
      <c r="O578" s="9" t="n">
        <v>6005.72</v>
      </c>
      <c r="P578" s="8" t="n">
        <v>0</v>
      </c>
      <c r="Q578" s="8" t="n">
        <v>1</v>
      </c>
    </row>
    <row r="579">
      <c r="A579" s="8" t="n">
        <v>538</v>
      </c>
      <c r="B579" s="8" t="inlineStr">
        <is>
          <t>TRANSFER</t>
        </is>
      </c>
      <c r="C579" s="9" t="n">
        <v>1253358.42</v>
      </c>
      <c r="D579" s="8" t="inlineStr">
        <is>
          <t>C1147685648</t>
        </is>
      </c>
      <c r="E579" s="9" t="n">
        <v>1253358.42</v>
      </c>
      <c r="F579" s="9" t="n">
        <v>0</v>
      </c>
      <c r="G579" s="8" t="inlineStr">
        <is>
          <t>C834380248</t>
        </is>
      </c>
      <c r="H579" s="9" t="n">
        <v>0</v>
      </c>
      <c r="I579" s="9" t="n">
        <v>0</v>
      </c>
      <c r="J579" s="11" t="n">
        <v>1</v>
      </c>
      <c r="K579" s="8" t="n">
        <v>0</v>
      </c>
      <c r="L579" s="8" t="n">
        <v>1</v>
      </c>
      <c r="M579" s="9" t="n">
        <v>1253358.42</v>
      </c>
      <c r="N579" s="9" t="n">
        <v>0</v>
      </c>
      <c r="O579" s="9" t="n">
        <v>1253358.42</v>
      </c>
      <c r="P579" s="8" t="n">
        <v>1</v>
      </c>
      <c r="Q579" s="8" t="n">
        <v>1</v>
      </c>
    </row>
    <row r="580">
      <c r="A580" s="8" t="n">
        <v>380</v>
      </c>
      <c r="B580" s="8" t="inlineStr">
        <is>
          <t>PAYMENT</t>
        </is>
      </c>
      <c r="C580" s="9" t="n">
        <v>11389.36</v>
      </c>
      <c r="D580" s="8" t="inlineStr">
        <is>
          <t>C1705251989</t>
        </is>
      </c>
      <c r="E580" s="9" t="n">
        <v>0</v>
      </c>
      <c r="F580" s="9" t="n">
        <v>0</v>
      </c>
      <c r="G580" s="8" t="inlineStr">
        <is>
          <t>M2006627009</t>
        </is>
      </c>
      <c r="H580" s="9" t="n">
        <v>0</v>
      </c>
      <c r="I580" s="9" t="n">
        <v>0</v>
      </c>
      <c r="J580" s="10" t="n">
        <v>0</v>
      </c>
      <c r="K580" s="8" t="n">
        <v>1</v>
      </c>
      <c r="L580" s="8" t="n">
        <v>0</v>
      </c>
      <c r="M580" s="9" t="n">
        <v>0</v>
      </c>
      <c r="N580" s="9" t="n">
        <v>11389.36</v>
      </c>
      <c r="O580" s="9" t="n">
        <v>11389.36</v>
      </c>
      <c r="P580" s="8" t="n">
        <v>0</v>
      </c>
      <c r="Q580" s="8" t="n">
        <v>0</v>
      </c>
    </row>
    <row r="581">
      <c r="A581" s="8" t="n">
        <v>37</v>
      </c>
      <c r="B581" s="8" t="inlineStr">
        <is>
          <t>CASH_OUT</t>
        </is>
      </c>
      <c r="C581" s="9" t="n">
        <v>214979.42</v>
      </c>
      <c r="D581" s="8" t="inlineStr">
        <is>
          <t>C181373524</t>
        </is>
      </c>
      <c r="E581" s="9" t="n">
        <v>40858</v>
      </c>
      <c r="F581" s="9" t="n">
        <v>0</v>
      </c>
      <c r="G581" s="8" t="inlineStr">
        <is>
          <t>C1938585709</t>
        </is>
      </c>
      <c r="H581" s="9" t="n">
        <v>12435</v>
      </c>
      <c r="I581" s="9" t="n">
        <v>391085.1</v>
      </c>
      <c r="J581" s="10" t="n">
        <v>0</v>
      </c>
      <c r="K581" s="8" t="n">
        <v>0</v>
      </c>
      <c r="L581" s="8" t="n">
        <v>1</v>
      </c>
      <c r="M581" s="9" t="n">
        <v>28423</v>
      </c>
      <c r="N581" s="9" t="n">
        <v>174121.42</v>
      </c>
      <c r="O581" s="9" t="n">
        <v>-163670.68</v>
      </c>
      <c r="P581" s="8" t="n">
        <v>1</v>
      </c>
      <c r="Q581" s="8" t="n">
        <v>0</v>
      </c>
    </row>
    <row r="582">
      <c r="A582" s="8" t="n">
        <v>638</v>
      </c>
      <c r="B582" s="8" t="inlineStr">
        <is>
          <t>TRANSFER</t>
        </is>
      </c>
      <c r="C582" s="9" t="n">
        <v>1559540.62</v>
      </c>
      <c r="D582" s="8" t="inlineStr">
        <is>
          <t>C485713115</t>
        </is>
      </c>
      <c r="E582" s="9" t="n">
        <v>1559540.62</v>
      </c>
      <c r="F582" s="9" t="n">
        <v>0</v>
      </c>
      <c r="G582" s="8" t="inlineStr">
        <is>
          <t>C1786870760</t>
        </is>
      </c>
      <c r="H582" s="9" t="n">
        <v>0</v>
      </c>
      <c r="I582" s="9" t="n">
        <v>0</v>
      </c>
      <c r="J582" s="11" t="n">
        <v>1</v>
      </c>
      <c r="K582" s="8" t="n">
        <v>0</v>
      </c>
      <c r="L582" s="8" t="n">
        <v>1</v>
      </c>
      <c r="M582" s="9" t="n">
        <v>1559540.62</v>
      </c>
      <c r="N582" s="9" t="n">
        <v>0</v>
      </c>
      <c r="O582" s="9" t="n">
        <v>1559540.62</v>
      </c>
      <c r="P582" s="8" t="n">
        <v>1</v>
      </c>
      <c r="Q582" s="8" t="n">
        <v>1</v>
      </c>
    </row>
    <row r="583">
      <c r="A583" s="8" t="n">
        <v>236</v>
      </c>
      <c r="B583" s="8" t="inlineStr">
        <is>
          <t>CASH_OUT</t>
        </is>
      </c>
      <c r="C583" s="9" t="n">
        <v>121747.2</v>
      </c>
      <c r="D583" s="8" t="inlineStr">
        <is>
          <t>C771740272</t>
        </is>
      </c>
      <c r="E583" s="9" t="n">
        <v>0</v>
      </c>
      <c r="F583" s="9" t="n">
        <v>0</v>
      </c>
      <c r="G583" s="8" t="inlineStr">
        <is>
          <t>C1644942922</t>
        </is>
      </c>
      <c r="H583" s="9" t="n">
        <v>1437733.25</v>
      </c>
      <c r="I583" s="9" t="n">
        <v>1559480.46</v>
      </c>
      <c r="J583" s="10" t="n">
        <v>0</v>
      </c>
      <c r="K583" s="8" t="n">
        <v>0</v>
      </c>
      <c r="L583" s="8" t="n">
        <v>1</v>
      </c>
      <c r="M583" s="9" t="n">
        <v>1437733.25</v>
      </c>
      <c r="N583" s="9" t="n">
        <v>121747.2</v>
      </c>
      <c r="O583" s="9" t="n">
        <v>-0.01</v>
      </c>
      <c r="P583" s="8" t="n">
        <v>1</v>
      </c>
      <c r="Q583" s="8" t="n">
        <v>0</v>
      </c>
    </row>
    <row r="584">
      <c r="A584" s="8" t="n">
        <v>207</v>
      </c>
      <c r="B584" s="8" t="inlineStr">
        <is>
          <t>TRANSFER</t>
        </is>
      </c>
      <c r="C584" s="9" t="n">
        <v>50459.4</v>
      </c>
      <c r="D584" s="8" t="inlineStr">
        <is>
          <t>C1283592188</t>
        </is>
      </c>
      <c r="E584" s="9" t="n">
        <v>6440</v>
      </c>
      <c r="F584" s="9" t="n">
        <v>0</v>
      </c>
      <c r="G584" s="8" t="inlineStr">
        <is>
          <t>C603256762</t>
        </is>
      </c>
      <c r="H584" s="9" t="n">
        <v>305613.65</v>
      </c>
      <c r="I584" s="9" t="n">
        <v>356073.05</v>
      </c>
      <c r="J584" s="10" t="n">
        <v>0</v>
      </c>
      <c r="K584" s="8" t="n">
        <v>0</v>
      </c>
      <c r="L584" s="8" t="n">
        <v>1</v>
      </c>
      <c r="M584" s="9" t="n">
        <v>299173.65</v>
      </c>
      <c r="N584" s="9" t="n">
        <v>44019.4</v>
      </c>
      <c r="O584" s="9" t="n">
        <v>0</v>
      </c>
      <c r="P584" s="8" t="n">
        <v>1</v>
      </c>
      <c r="Q584" s="8" t="n">
        <v>0</v>
      </c>
    </row>
    <row r="585">
      <c r="A585" s="8" t="n">
        <v>608</v>
      </c>
      <c r="B585" s="8" t="inlineStr">
        <is>
          <t>TRANSFER</t>
        </is>
      </c>
      <c r="C585" s="9" t="n">
        <v>27985.73</v>
      </c>
      <c r="D585" s="8" t="inlineStr">
        <is>
          <t>C1047942249</t>
        </is>
      </c>
      <c r="E585" s="9" t="n">
        <v>27985.73</v>
      </c>
      <c r="F585" s="9" t="n">
        <v>0</v>
      </c>
      <c r="G585" s="8" t="inlineStr">
        <is>
          <t>C2050212137</t>
        </is>
      </c>
      <c r="H585" s="9" t="n">
        <v>0</v>
      </c>
      <c r="I585" s="9" t="n">
        <v>0</v>
      </c>
      <c r="J585" s="11" t="n">
        <v>1</v>
      </c>
      <c r="K585" s="8" t="n">
        <v>0</v>
      </c>
      <c r="L585" s="8" t="n">
        <v>1</v>
      </c>
      <c r="M585" s="9" t="n">
        <v>27985.73</v>
      </c>
      <c r="N585" s="9" t="n">
        <v>0</v>
      </c>
      <c r="O585" s="9" t="n">
        <v>27985.73</v>
      </c>
      <c r="P585" s="8" t="n">
        <v>1</v>
      </c>
      <c r="Q585" s="8" t="n">
        <v>1</v>
      </c>
    </row>
    <row r="586">
      <c r="A586" s="8" t="n">
        <v>178</v>
      </c>
      <c r="B586" s="8" t="inlineStr">
        <is>
          <t>CASH_OUT</t>
        </is>
      </c>
      <c r="C586" s="9" t="n">
        <v>2222008.27</v>
      </c>
      <c r="D586" s="8" t="inlineStr">
        <is>
          <t>C462145857</t>
        </is>
      </c>
      <c r="E586" s="9" t="n">
        <v>2222008.27</v>
      </c>
      <c r="F586" s="9" t="n">
        <v>0</v>
      </c>
      <c r="G586" s="8" t="inlineStr">
        <is>
          <t>C2101247370</t>
        </is>
      </c>
      <c r="H586" s="9" t="n">
        <v>167293.11</v>
      </c>
      <c r="I586" s="9" t="n">
        <v>2389301.38</v>
      </c>
      <c r="J586" s="11" t="n">
        <v>1</v>
      </c>
      <c r="K586" s="8" t="n">
        <v>0</v>
      </c>
      <c r="L586" s="8" t="n">
        <v>1</v>
      </c>
      <c r="M586" s="9" t="n">
        <v>2054715.16</v>
      </c>
      <c r="N586" s="9" t="n">
        <v>0</v>
      </c>
      <c r="O586" s="9" t="n">
        <v>0</v>
      </c>
      <c r="P586" s="8" t="n">
        <v>1</v>
      </c>
      <c r="Q586" s="8" t="n">
        <v>1</v>
      </c>
    </row>
    <row r="587">
      <c r="A587" s="8" t="n">
        <v>526</v>
      </c>
      <c r="B587" s="8" t="inlineStr">
        <is>
          <t>CASH_OUT</t>
        </is>
      </c>
      <c r="C587" s="9" t="n">
        <v>606920.11</v>
      </c>
      <c r="D587" s="8" t="inlineStr">
        <is>
          <t>C998785780</t>
        </is>
      </c>
      <c r="E587" s="9" t="n">
        <v>606920.11</v>
      </c>
      <c r="F587" s="9" t="n">
        <v>0</v>
      </c>
      <c r="G587" s="8" t="inlineStr">
        <is>
          <t>C2120671448</t>
        </is>
      </c>
      <c r="H587" s="9" t="n">
        <v>16606636.44</v>
      </c>
      <c r="I587" s="9" t="n">
        <v>17213556.55</v>
      </c>
      <c r="J587" s="11" t="n">
        <v>1</v>
      </c>
      <c r="K587" s="8" t="n">
        <v>0</v>
      </c>
      <c r="L587" s="8" t="n">
        <v>1</v>
      </c>
      <c r="M587" s="9" t="n">
        <v>15999716.33</v>
      </c>
      <c r="N587" s="9" t="n">
        <v>0</v>
      </c>
      <c r="O587" s="9" t="n">
        <v>0</v>
      </c>
      <c r="P587" s="8" t="n">
        <v>1</v>
      </c>
      <c r="Q587" s="8" t="n">
        <v>1</v>
      </c>
    </row>
    <row r="588">
      <c r="A588" s="8" t="n">
        <v>274</v>
      </c>
      <c r="B588" s="8" t="inlineStr">
        <is>
          <t>CASH_IN</t>
        </is>
      </c>
      <c r="C588" s="9" t="n">
        <v>391166.55</v>
      </c>
      <c r="D588" s="8" t="inlineStr">
        <is>
          <t>C1802293181</t>
        </is>
      </c>
      <c r="E588" s="9" t="n">
        <v>134296.64</v>
      </c>
      <c r="F588" s="9" t="n">
        <v>525463.1899999999</v>
      </c>
      <c r="G588" s="8" t="inlineStr">
        <is>
          <t>C944296674</t>
        </is>
      </c>
      <c r="H588" s="9" t="n">
        <v>595724.14</v>
      </c>
      <c r="I588" s="9" t="n">
        <v>204557.59</v>
      </c>
      <c r="J588" s="10" t="n">
        <v>0</v>
      </c>
      <c r="K588" s="8" t="n">
        <v>0</v>
      </c>
      <c r="L588" s="8" t="n">
        <v>0</v>
      </c>
      <c r="M588" s="9" t="n">
        <v>461427.5</v>
      </c>
      <c r="N588" s="9" t="n">
        <v>782333.1</v>
      </c>
      <c r="O588" s="9" t="n">
        <v>782333.1</v>
      </c>
      <c r="P588" s="8" t="n">
        <v>1</v>
      </c>
      <c r="Q588" s="8" t="n">
        <v>0</v>
      </c>
    </row>
    <row r="589">
      <c r="A589" s="8" t="n">
        <v>523</v>
      </c>
      <c r="B589" s="8" t="inlineStr">
        <is>
          <t>TRANSFER</t>
        </is>
      </c>
      <c r="C589" s="9" t="n">
        <v>951451.17</v>
      </c>
      <c r="D589" s="8" t="inlineStr">
        <is>
          <t>C2053342988</t>
        </is>
      </c>
      <c r="E589" s="9" t="n">
        <v>951451.17</v>
      </c>
      <c r="F589" s="9" t="n">
        <v>0</v>
      </c>
      <c r="G589" s="8" t="inlineStr">
        <is>
          <t>C1967338222</t>
        </is>
      </c>
      <c r="H589" s="9" t="n">
        <v>0</v>
      </c>
      <c r="I589" s="9" t="n">
        <v>0</v>
      </c>
      <c r="J589" s="11" t="n">
        <v>1</v>
      </c>
      <c r="K589" s="8" t="n">
        <v>0</v>
      </c>
      <c r="L589" s="8" t="n">
        <v>1</v>
      </c>
      <c r="M589" s="9" t="n">
        <v>951451.17</v>
      </c>
      <c r="N589" s="9" t="n">
        <v>0</v>
      </c>
      <c r="O589" s="9" t="n">
        <v>951451.17</v>
      </c>
      <c r="P589" s="8" t="n">
        <v>1</v>
      </c>
      <c r="Q589" s="8" t="n">
        <v>1</v>
      </c>
    </row>
    <row r="590">
      <c r="A590" s="8" t="n">
        <v>377</v>
      </c>
      <c r="B590" s="8" t="inlineStr">
        <is>
          <t>CASH_OUT</t>
        </is>
      </c>
      <c r="C590" s="9" t="n">
        <v>305566.87</v>
      </c>
      <c r="D590" s="8" t="inlineStr">
        <is>
          <t>C2067565608</t>
        </is>
      </c>
      <c r="E590" s="9" t="n">
        <v>36852.43</v>
      </c>
      <c r="F590" s="9" t="n">
        <v>0</v>
      </c>
      <c r="G590" s="8" t="inlineStr">
        <is>
          <t>C568357945</t>
        </is>
      </c>
      <c r="H590" s="9" t="n">
        <v>605197.63</v>
      </c>
      <c r="I590" s="9" t="n">
        <v>910764.49</v>
      </c>
      <c r="J590" s="10" t="n">
        <v>0</v>
      </c>
      <c r="K590" s="8" t="n">
        <v>0</v>
      </c>
      <c r="L590" s="8" t="n">
        <v>1</v>
      </c>
      <c r="M590" s="9" t="n">
        <v>568345.2</v>
      </c>
      <c r="N590" s="9" t="n">
        <v>268714.44</v>
      </c>
      <c r="O590" s="9" t="n">
        <v>0.01</v>
      </c>
      <c r="P590" s="8" t="n">
        <v>1</v>
      </c>
      <c r="Q590" s="8" t="n">
        <v>0</v>
      </c>
    </row>
    <row r="591">
      <c r="A591" s="8" t="n">
        <v>495</v>
      </c>
      <c r="B591" s="8" t="inlineStr">
        <is>
          <t>TRANSFER</t>
        </is>
      </c>
      <c r="C591" s="9" t="n">
        <v>1301090.39</v>
      </c>
      <c r="D591" s="8" t="inlineStr">
        <is>
          <t>C1386844753</t>
        </is>
      </c>
      <c r="E591" s="9" t="n">
        <v>1301090.39</v>
      </c>
      <c r="F591" s="9" t="n">
        <v>0</v>
      </c>
      <c r="G591" s="8" t="inlineStr">
        <is>
          <t>C808323881</t>
        </is>
      </c>
      <c r="H591" s="9" t="n">
        <v>0</v>
      </c>
      <c r="I591" s="9" t="n">
        <v>0</v>
      </c>
      <c r="J591" s="11" t="n">
        <v>1</v>
      </c>
      <c r="K591" s="8" t="n">
        <v>0</v>
      </c>
      <c r="L591" s="8" t="n">
        <v>1</v>
      </c>
      <c r="M591" s="9" t="n">
        <v>1301090.39</v>
      </c>
      <c r="N591" s="9" t="n">
        <v>0</v>
      </c>
      <c r="O591" s="9" t="n">
        <v>1301090.39</v>
      </c>
      <c r="P591" s="8" t="n">
        <v>1</v>
      </c>
      <c r="Q591" s="8" t="n">
        <v>1</v>
      </c>
    </row>
    <row r="592">
      <c r="A592" s="8" t="n">
        <v>216</v>
      </c>
      <c r="B592" s="8" t="inlineStr">
        <is>
          <t>PAYMENT</t>
        </is>
      </c>
      <c r="C592" s="9" t="n">
        <v>3626.84</v>
      </c>
      <c r="D592" s="8" t="inlineStr">
        <is>
          <t>C754768534</t>
        </is>
      </c>
      <c r="E592" s="9" t="n">
        <v>60773</v>
      </c>
      <c r="F592" s="9" t="n">
        <v>57146.16</v>
      </c>
      <c r="G592" s="8" t="inlineStr">
        <is>
          <t>M902004912</t>
        </is>
      </c>
      <c r="H592" s="9" t="n">
        <v>0</v>
      </c>
      <c r="I592" s="9" t="n">
        <v>0</v>
      </c>
      <c r="J592" s="10" t="n">
        <v>0</v>
      </c>
      <c r="K592" s="8" t="n">
        <v>1</v>
      </c>
      <c r="L592" s="8" t="n">
        <v>0</v>
      </c>
      <c r="M592" s="9" t="n">
        <v>60773</v>
      </c>
      <c r="N592" s="9" t="n">
        <v>0</v>
      </c>
      <c r="O592" s="9" t="n">
        <v>3626.84</v>
      </c>
      <c r="P592" s="8" t="n">
        <v>0</v>
      </c>
      <c r="Q592" s="8" t="n">
        <v>1</v>
      </c>
    </row>
    <row r="593">
      <c r="A593" s="8" t="n">
        <v>44</v>
      </c>
      <c r="B593" s="8" t="inlineStr">
        <is>
          <t>TRANSFER</t>
        </is>
      </c>
      <c r="C593" s="9" t="n">
        <v>222874.63</v>
      </c>
      <c r="D593" s="8" t="inlineStr">
        <is>
          <t>C1391189880</t>
        </is>
      </c>
      <c r="E593" s="9" t="n">
        <v>31344</v>
      </c>
      <c r="F593" s="9" t="n">
        <v>0</v>
      </c>
      <c r="G593" s="8" t="inlineStr">
        <is>
          <t>C1108675046</t>
        </is>
      </c>
      <c r="H593" s="9" t="n">
        <v>9707920.6</v>
      </c>
      <c r="I593" s="9" t="n">
        <v>9930795.23</v>
      </c>
      <c r="J593" s="10" t="n">
        <v>0</v>
      </c>
      <c r="K593" s="8" t="n">
        <v>0</v>
      </c>
      <c r="L593" s="8" t="n">
        <v>1</v>
      </c>
      <c r="M593" s="9" t="n">
        <v>9676576.6</v>
      </c>
      <c r="N593" s="9" t="n">
        <v>191530.63</v>
      </c>
      <c r="O593" s="9" t="n">
        <v>0</v>
      </c>
      <c r="P593" s="8" t="n">
        <v>1</v>
      </c>
      <c r="Q593" s="8" t="n">
        <v>0</v>
      </c>
    </row>
    <row r="594">
      <c r="A594" s="8" t="n">
        <v>331</v>
      </c>
      <c r="B594" s="8" t="inlineStr">
        <is>
          <t>PAYMENT</t>
        </is>
      </c>
      <c r="C594" s="9" t="n">
        <v>24916.75</v>
      </c>
      <c r="D594" s="8" t="inlineStr">
        <is>
          <t>C132767258</t>
        </is>
      </c>
      <c r="E594" s="9" t="n">
        <v>238404.65</v>
      </c>
      <c r="F594" s="9" t="n">
        <v>213487.9</v>
      </c>
      <c r="G594" s="8" t="inlineStr">
        <is>
          <t>M44946537</t>
        </is>
      </c>
      <c r="H594" s="9" t="n">
        <v>0</v>
      </c>
      <c r="I594" s="9" t="n">
        <v>0</v>
      </c>
      <c r="J594" s="10" t="n">
        <v>0</v>
      </c>
      <c r="K594" s="8" t="n">
        <v>1</v>
      </c>
      <c r="L594" s="8" t="n">
        <v>0</v>
      </c>
      <c r="M594" s="9" t="n">
        <v>238404.65</v>
      </c>
      <c r="N594" s="9" t="n">
        <v>0</v>
      </c>
      <c r="O594" s="9" t="n">
        <v>24916.75</v>
      </c>
      <c r="P594" s="8" t="n">
        <v>0</v>
      </c>
      <c r="Q594" s="8" t="n">
        <v>1</v>
      </c>
    </row>
    <row r="595">
      <c r="A595" s="8" t="n">
        <v>13</v>
      </c>
      <c r="B595" s="8" t="inlineStr">
        <is>
          <t>CASH_IN</t>
        </is>
      </c>
      <c r="C595" s="9" t="n">
        <v>37506.31</v>
      </c>
      <c r="D595" s="8" t="inlineStr">
        <is>
          <t>C993322749</t>
        </is>
      </c>
      <c r="E595" s="9" t="n">
        <v>1331368.56</v>
      </c>
      <c r="F595" s="9" t="n">
        <v>1368874.87</v>
      </c>
      <c r="G595" s="8" t="inlineStr">
        <is>
          <t>C485500846</t>
        </is>
      </c>
      <c r="H595" s="9" t="n">
        <v>314470.79</v>
      </c>
      <c r="I595" s="9" t="n">
        <v>276964.48</v>
      </c>
      <c r="J595" s="10" t="n">
        <v>0</v>
      </c>
      <c r="K595" s="8" t="n">
        <v>0</v>
      </c>
      <c r="L595" s="8" t="n">
        <v>0</v>
      </c>
      <c r="M595" s="9" t="n">
        <v>1016897.77</v>
      </c>
      <c r="N595" s="9" t="n">
        <v>75012.62</v>
      </c>
      <c r="O595" s="9" t="n">
        <v>75012.62</v>
      </c>
      <c r="P595" s="8" t="n">
        <v>1</v>
      </c>
      <c r="Q595" s="8" t="n">
        <v>0</v>
      </c>
    </row>
    <row r="596">
      <c r="A596" s="8" t="n">
        <v>132</v>
      </c>
      <c r="B596" s="8" t="inlineStr">
        <is>
          <t>PAYMENT</t>
        </is>
      </c>
      <c r="C596" s="9" t="n">
        <v>2729.25</v>
      </c>
      <c r="D596" s="8" t="inlineStr">
        <is>
          <t>C733658019</t>
        </is>
      </c>
      <c r="E596" s="9" t="n">
        <v>0</v>
      </c>
      <c r="F596" s="9" t="n">
        <v>0</v>
      </c>
      <c r="G596" s="8" t="inlineStr">
        <is>
          <t>M2100565573</t>
        </is>
      </c>
      <c r="H596" s="9" t="n">
        <v>0</v>
      </c>
      <c r="I596" s="9" t="n">
        <v>0</v>
      </c>
      <c r="J596" s="10" t="n">
        <v>0</v>
      </c>
      <c r="K596" s="8" t="n">
        <v>1</v>
      </c>
      <c r="L596" s="8" t="n">
        <v>0</v>
      </c>
      <c r="M596" s="9" t="n">
        <v>0</v>
      </c>
      <c r="N596" s="9" t="n">
        <v>2729.25</v>
      </c>
      <c r="O596" s="9" t="n">
        <v>2729.25</v>
      </c>
      <c r="P596" s="8" t="n">
        <v>0</v>
      </c>
      <c r="Q596" s="8" t="n">
        <v>0</v>
      </c>
    </row>
    <row r="597">
      <c r="A597" s="8" t="n">
        <v>356</v>
      </c>
      <c r="B597" s="8" t="inlineStr">
        <is>
          <t>PAYMENT</t>
        </is>
      </c>
      <c r="C597" s="9" t="n">
        <v>10528.23</v>
      </c>
      <c r="D597" s="8" t="inlineStr">
        <is>
          <t>C1433025465</t>
        </is>
      </c>
      <c r="E597" s="9" t="n">
        <v>2537</v>
      </c>
      <c r="F597" s="9" t="n">
        <v>0</v>
      </c>
      <c r="G597" s="8" t="inlineStr">
        <is>
          <t>M125059356</t>
        </is>
      </c>
      <c r="H597" s="9" t="n">
        <v>0</v>
      </c>
      <c r="I597" s="9" t="n">
        <v>0</v>
      </c>
      <c r="J597" s="10" t="n">
        <v>0</v>
      </c>
      <c r="K597" s="8" t="n">
        <v>1</v>
      </c>
      <c r="L597" s="8" t="n">
        <v>0</v>
      </c>
      <c r="M597" s="9" t="n">
        <v>2537</v>
      </c>
      <c r="N597" s="9" t="n">
        <v>7991.23</v>
      </c>
      <c r="O597" s="9" t="n">
        <v>10528.23</v>
      </c>
      <c r="P597" s="8" t="n">
        <v>0</v>
      </c>
      <c r="Q597" s="8" t="n">
        <v>0</v>
      </c>
    </row>
    <row r="598">
      <c r="A598" s="8" t="n">
        <v>461</v>
      </c>
      <c r="B598" s="8" t="inlineStr">
        <is>
          <t>TRANSFER</t>
        </is>
      </c>
      <c r="C598" s="9" t="n">
        <v>1464614.79</v>
      </c>
      <c r="D598" s="8" t="inlineStr">
        <is>
          <t>C915102234</t>
        </is>
      </c>
      <c r="E598" s="9" t="n">
        <v>1464614.79</v>
      </c>
      <c r="F598" s="9" t="n">
        <v>0</v>
      </c>
      <c r="G598" s="8" t="inlineStr">
        <is>
          <t>C475837987</t>
        </is>
      </c>
      <c r="H598" s="9" t="n">
        <v>0</v>
      </c>
      <c r="I598" s="9" t="n">
        <v>0</v>
      </c>
      <c r="J598" s="11" t="n">
        <v>1</v>
      </c>
      <c r="K598" s="8" t="n">
        <v>0</v>
      </c>
      <c r="L598" s="8" t="n">
        <v>1</v>
      </c>
      <c r="M598" s="9" t="n">
        <v>1464614.79</v>
      </c>
      <c r="N598" s="9" t="n">
        <v>0</v>
      </c>
      <c r="O598" s="9" t="n">
        <v>1464614.79</v>
      </c>
      <c r="P598" s="8" t="n">
        <v>1</v>
      </c>
      <c r="Q598" s="8" t="n">
        <v>1</v>
      </c>
    </row>
    <row r="599">
      <c r="A599" s="8" t="n">
        <v>41</v>
      </c>
      <c r="B599" s="8" t="inlineStr">
        <is>
          <t>CASH_OUT</t>
        </is>
      </c>
      <c r="C599" s="9" t="n">
        <v>293330.2</v>
      </c>
      <c r="D599" s="8" t="inlineStr">
        <is>
          <t>C359364328</t>
        </is>
      </c>
      <c r="E599" s="9" t="n">
        <v>357</v>
      </c>
      <c r="F599" s="9" t="n">
        <v>0</v>
      </c>
      <c r="G599" s="8" t="inlineStr">
        <is>
          <t>C1207124317</t>
        </is>
      </c>
      <c r="H599" s="9" t="n">
        <v>152741.7</v>
      </c>
      <c r="I599" s="9" t="n">
        <v>446071.9</v>
      </c>
      <c r="J599" s="10" t="n">
        <v>0</v>
      </c>
      <c r="K599" s="8" t="n">
        <v>0</v>
      </c>
      <c r="L599" s="8" t="n">
        <v>1</v>
      </c>
      <c r="M599" s="9" t="n">
        <v>152384.7</v>
      </c>
      <c r="N599" s="9" t="n">
        <v>292973.2</v>
      </c>
      <c r="O599" s="9" t="n">
        <v>0</v>
      </c>
      <c r="P599" s="8" t="n">
        <v>1</v>
      </c>
      <c r="Q599" s="8" t="n">
        <v>0</v>
      </c>
    </row>
    <row r="600">
      <c r="A600" s="8" t="n">
        <v>17</v>
      </c>
      <c r="B600" s="8" t="inlineStr">
        <is>
          <t>CASH_OUT</t>
        </is>
      </c>
      <c r="C600" s="9" t="n">
        <v>90326.2</v>
      </c>
      <c r="D600" s="8" t="inlineStr">
        <is>
          <t>C130932819</t>
        </is>
      </c>
      <c r="E600" s="9" t="n">
        <v>21097</v>
      </c>
      <c r="F600" s="9" t="n">
        <v>0</v>
      </c>
      <c r="G600" s="8" t="inlineStr">
        <is>
          <t>C796647152</t>
        </is>
      </c>
      <c r="H600" s="9" t="n">
        <v>221829.68</v>
      </c>
      <c r="I600" s="9" t="n">
        <v>312155.88</v>
      </c>
      <c r="J600" s="10" t="n">
        <v>0</v>
      </c>
      <c r="K600" s="8" t="n">
        <v>0</v>
      </c>
      <c r="L600" s="8" t="n">
        <v>1</v>
      </c>
      <c r="M600" s="9" t="n">
        <v>200732.68</v>
      </c>
      <c r="N600" s="9" t="n">
        <v>69229.2</v>
      </c>
      <c r="O600" s="9" t="n">
        <v>0</v>
      </c>
      <c r="P600" s="8" t="n">
        <v>1</v>
      </c>
      <c r="Q600" s="8" t="n">
        <v>0</v>
      </c>
    </row>
    <row r="601">
      <c r="A601" s="8" t="n">
        <v>113</v>
      </c>
      <c r="B601" s="8" t="inlineStr">
        <is>
          <t>CASH_OUT</t>
        </is>
      </c>
      <c r="C601" s="9" t="n">
        <v>37119.58</v>
      </c>
      <c r="D601" s="8" t="inlineStr">
        <is>
          <t>C39621039</t>
        </is>
      </c>
      <c r="E601" s="9" t="n">
        <v>37119.58</v>
      </c>
      <c r="F601" s="9" t="n">
        <v>0</v>
      </c>
      <c r="G601" s="8" t="inlineStr">
        <is>
          <t>C1336335026</t>
        </is>
      </c>
      <c r="H601" s="9" t="n">
        <v>0</v>
      </c>
      <c r="I601" s="9" t="n">
        <v>37119.58</v>
      </c>
      <c r="J601" s="11" t="n">
        <v>1</v>
      </c>
      <c r="K601" s="8" t="n">
        <v>0</v>
      </c>
      <c r="L601" s="8" t="n">
        <v>1</v>
      </c>
      <c r="M601" s="9" t="n">
        <v>37119.58</v>
      </c>
      <c r="N601" s="9" t="n">
        <v>0</v>
      </c>
      <c r="O601" s="9" t="n">
        <v>0</v>
      </c>
      <c r="P601" s="8" t="n">
        <v>1</v>
      </c>
      <c r="Q601" s="8" t="n">
        <v>1</v>
      </c>
    </row>
    <row r="602">
      <c r="A602" s="8" t="n">
        <v>154</v>
      </c>
      <c r="B602" s="8" t="inlineStr">
        <is>
          <t>PAYMENT</t>
        </is>
      </c>
      <c r="C602" s="9" t="n">
        <v>13341.07</v>
      </c>
      <c r="D602" s="8" t="inlineStr">
        <is>
          <t>C1208302501</t>
        </is>
      </c>
      <c r="E602" s="9" t="n">
        <v>0</v>
      </c>
      <c r="F602" s="9" t="n">
        <v>0</v>
      </c>
      <c r="G602" s="8" t="inlineStr">
        <is>
          <t>M1950675814</t>
        </is>
      </c>
      <c r="H602" s="9" t="n">
        <v>0</v>
      </c>
      <c r="I602" s="9" t="n">
        <v>0</v>
      </c>
      <c r="J602" s="10" t="n">
        <v>0</v>
      </c>
      <c r="K602" s="8" t="n">
        <v>1</v>
      </c>
      <c r="L602" s="8" t="n">
        <v>0</v>
      </c>
      <c r="M602" s="9" t="n">
        <v>0</v>
      </c>
      <c r="N602" s="9" t="n">
        <v>13341.07</v>
      </c>
      <c r="O602" s="9" t="n">
        <v>13341.07</v>
      </c>
      <c r="P602" s="8" t="n">
        <v>0</v>
      </c>
      <c r="Q602" s="8" t="n">
        <v>0</v>
      </c>
    </row>
    <row r="603">
      <c r="A603" s="8" t="n">
        <v>380</v>
      </c>
      <c r="B603" s="8" t="inlineStr">
        <is>
          <t>PAYMENT</t>
        </is>
      </c>
      <c r="C603" s="9" t="n">
        <v>44809.03</v>
      </c>
      <c r="D603" s="8" t="inlineStr">
        <is>
          <t>C1109018584</t>
        </is>
      </c>
      <c r="E603" s="9" t="n">
        <v>0</v>
      </c>
      <c r="F603" s="9" t="n">
        <v>0</v>
      </c>
      <c r="G603" s="8" t="inlineStr">
        <is>
          <t>M90093337</t>
        </is>
      </c>
      <c r="H603" s="9" t="n">
        <v>0</v>
      </c>
      <c r="I603" s="9" t="n">
        <v>0</v>
      </c>
      <c r="J603" s="10" t="n">
        <v>0</v>
      </c>
      <c r="K603" s="8" t="n">
        <v>1</v>
      </c>
      <c r="L603" s="8" t="n">
        <v>0</v>
      </c>
      <c r="M603" s="9" t="n">
        <v>0</v>
      </c>
      <c r="N603" s="9" t="n">
        <v>44809.03</v>
      </c>
      <c r="O603" s="9" t="n">
        <v>44809.03</v>
      </c>
      <c r="P603" s="8" t="n">
        <v>0</v>
      </c>
      <c r="Q603" s="8" t="n">
        <v>0</v>
      </c>
    </row>
    <row r="604">
      <c r="A604" s="8" t="n">
        <v>273</v>
      </c>
      <c r="B604" s="8" t="inlineStr">
        <is>
          <t>PAYMENT</t>
        </is>
      </c>
      <c r="C604" s="9" t="n">
        <v>4210.54</v>
      </c>
      <c r="D604" s="8" t="inlineStr">
        <is>
          <t>C568998649</t>
        </is>
      </c>
      <c r="E604" s="9" t="n">
        <v>102768</v>
      </c>
      <c r="F604" s="9" t="n">
        <v>98557.46000000001</v>
      </c>
      <c r="G604" s="8" t="inlineStr">
        <is>
          <t>M1698883439</t>
        </is>
      </c>
      <c r="H604" s="9" t="n">
        <v>0</v>
      </c>
      <c r="I604" s="9" t="n">
        <v>0</v>
      </c>
      <c r="J604" s="10" t="n">
        <v>0</v>
      </c>
      <c r="K604" s="8" t="n">
        <v>1</v>
      </c>
      <c r="L604" s="8" t="n">
        <v>0</v>
      </c>
      <c r="M604" s="9" t="n">
        <v>102768</v>
      </c>
      <c r="N604" s="9" t="n">
        <v>0</v>
      </c>
      <c r="O604" s="9" t="n">
        <v>4210.54</v>
      </c>
      <c r="P604" s="8" t="n">
        <v>0</v>
      </c>
      <c r="Q604" s="8" t="n">
        <v>1</v>
      </c>
    </row>
    <row r="605">
      <c r="A605" s="8" t="n">
        <v>44</v>
      </c>
      <c r="B605" s="8" t="inlineStr">
        <is>
          <t>TRANSFER</t>
        </is>
      </c>
      <c r="C605" s="9" t="n">
        <v>412924.19</v>
      </c>
      <c r="D605" s="8" t="inlineStr">
        <is>
          <t>C1062404610</t>
        </is>
      </c>
      <c r="E605" s="9" t="n">
        <v>21179</v>
      </c>
      <c r="F605" s="9" t="n">
        <v>0</v>
      </c>
      <c r="G605" s="8" t="inlineStr">
        <is>
          <t>C798610243</t>
        </is>
      </c>
      <c r="H605" s="9" t="n">
        <v>0</v>
      </c>
      <c r="I605" s="9" t="n">
        <v>412924.19</v>
      </c>
      <c r="J605" s="10" t="n">
        <v>0</v>
      </c>
      <c r="K605" s="8" t="n">
        <v>0</v>
      </c>
      <c r="L605" s="8" t="n">
        <v>1</v>
      </c>
      <c r="M605" s="9" t="n">
        <v>21179</v>
      </c>
      <c r="N605" s="9" t="n">
        <v>391745.19</v>
      </c>
      <c r="O605" s="9" t="n">
        <v>0</v>
      </c>
      <c r="P605" s="8" t="n">
        <v>1</v>
      </c>
      <c r="Q605" s="8" t="n">
        <v>0</v>
      </c>
    </row>
    <row r="606">
      <c r="A606" s="8" t="n">
        <v>17</v>
      </c>
      <c r="B606" s="8" t="inlineStr">
        <is>
          <t>CASH_IN</t>
        </is>
      </c>
      <c r="C606" s="9" t="n">
        <v>53093.1</v>
      </c>
      <c r="D606" s="8" t="inlineStr">
        <is>
          <t>C2103780708</t>
        </is>
      </c>
      <c r="E606" s="9" t="n">
        <v>168</v>
      </c>
      <c r="F606" s="9" t="n">
        <v>53261.1</v>
      </c>
      <c r="G606" s="8" t="inlineStr">
        <is>
          <t>C430710430</t>
        </is>
      </c>
      <c r="H606" s="9" t="n">
        <v>282</v>
      </c>
      <c r="I606" s="9" t="n">
        <v>0</v>
      </c>
      <c r="J606" s="10" t="n">
        <v>0</v>
      </c>
      <c r="K606" s="8" t="n">
        <v>0</v>
      </c>
      <c r="L606" s="8" t="n">
        <v>0</v>
      </c>
      <c r="M606" s="9" t="n">
        <v>114</v>
      </c>
      <c r="N606" s="9" t="n">
        <v>106186.2</v>
      </c>
      <c r="O606" s="9" t="n">
        <v>53375.1</v>
      </c>
      <c r="P606" s="8" t="n">
        <v>1</v>
      </c>
      <c r="Q606" s="8" t="n">
        <v>0</v>
      </c>
    </row>
    <row r="607">
      <c r="A607" s="8" t="n">
        <v>184</v>
      </c>
      <c r="B607" s="8" t="inlineStr">
        <is>
          <t>CASH_IN</t>
        </is>
      </c>
      <c r="C607" s="9" t="n">
        <v>21560.28</v>
      </c>
      <c r="D607" s="8" t="inlineStr">
        <is>
          <t>C376094673</t>
        </is>
      </c>
      <c r="E607" s="9" t="n">
        <v>951495.25</v>
      </c>
      <c r="F607" s="9" t="n">
        <v>973055.53</v>
      </c>
      <c r="G607" s="8" t="inlineStr">
        <is>
          <t>C1752656087</t>
        </is>
      </c>
      <c r="H607" s="9" t="n">
        <v>4631302.14</v>
      </c>
      <c r="I607" s="9" t="n">
        <v>4380141.98</v>
      </c>
      <c r="J607" s="10" t="n">
        <v>0</v>
      </c>
      <c r="K607" s="8" t="n">
        <v>0</v>
      </c>
      <c r="L607" s="8" t="n">
        <v>0</v>
      </c>
      <c r="M607" s="9" t="n">
        <v>3679806.89</v>
      </c>
      <c r="N607" s="9" t="n">
        <v>43120.56</v>
      </c>
      <c r="O607" s="9" t="n">
        <v>272720.44</v>
      </c>
      <c r="P607" s="8" t="n">
        <v>1</v>
      </c>
      <c r="Q607" s="8" t="n">
        <v>0</v>
      </c>
    </row>
    <row r="608">
      <c r="A608" s="8" t="n">
        <v>379</v>
      </c>
      <c r="B608" s="8" t="inlineStr">
        <is>
          <t>CASH_OUT</t>
        </is>
      </c>
      <c r="C608" s="9" t="n">
        <v>2983996.6</v>
      </c>
      <c r="D608" s="8" t="inlineStr">
        <is>
          <t>C588956129</t>
        </is>
      </c>
      <c r="E608" s="9" t="n">
        <v>2983996.6</v>
      </c>
      <c r="F608" s="9" t="n">
        <v>0</v>
      </c>
      <c r="G608" s="8" t="inlineStr">
        <is>
          <t>C1673836428</t>
        </is>
      </c>
      <c r="H608" s="9" t="n">
        <v>0</v>
      </c>
      <c r="I608" s="9" t="n">
        <v>2983996.6</v>
      </c>
      <c r="J608" s="11" t="n">
        <v>1</v>
      </c>
      <c r="K608" s="8" t="n">
        <v>0</v>
      </c>
      <c r="L608" s="8" t="n">
        <v>1</v>
      </c>
      <c r="M608" s="9" t="n">
        <v>2983996.6</v>
      </c>
      <c r="N608" s="9" t="n">
        <v>0</v>
      </c>
      <c r="O608" s="9" t="n">
        <v>0</v>
      </c>
      <c r="P608" s="8" t="n">
        <v>1</v>
      </c>
      <c r="Q608" s="8" t="n">
        <v>1</v>
      </c>
    </row>
    <row r="609">
      <c r="A609" s="8" t="n">
        <v>351</v>
      </c>
      <c r="B609" s="8" t="inlineStr">
        <is>
          <t>TRANSFER</t>
        </is>
      </c>
      <c r="C609" s="9" t="n">
        <v>232401.28</v>
      </c>
      <c r="D609" s="8" t="inlineStr">
        <is>
          <t>C746782745</t>
        </is>
      </c>
      <c r="E609" s="9" t="n">
        <v>51816</v>
      </c>
      <c r="F609" s="9" t="n">
        <v>0</v>
      </c>
      <c r="G609" s="8" t="inlineStr">
        <is>
          <t>C1173050641</t>
        </is>
      </c>
      <c r="H609" s="9" t="n">
        <v>0</v>
      </c>
      <c r="I609" s="9" t="n">
        <v>232401.28</v>
      </c>
      <c r="J609" s="10" t="n">
        <v>0</v>
      </c>
      <c r="K609" s="8" t="n">
        <v>0</v>
      </c>
      <c r="L609" s="8" t="n">
        <v>1</v>
      </c>
      <c r="M609" s="9" t="n">
        <v>51816</v>
      </c>
      <c r="N609" s="9" t="n">
        <v>180585.28</v>
      </c>
      <c r="O609" s="9" t="n">
        <v>0</v>
      </c>
      <c r="P609" s="8" t="n">
        <v>1</v>
      </c>
      <c r="Q609" s="8" t="n">
        <v>0</v>
      </c>
    </row>
    <row r="610">
      <c r="A610" s="8" t="n">
        <v>426</v>
      </c>
      <c r="B610" s="8" t="inlineStr">
        <is>
          <t>CASH_OUT</t>
        </is>
      </c>
      <c r="C610" s="9" t="n">
        <v>99804.21000000001</v>
      </c>
      <c r="D610" s="8" t="inlineStr">
        <is>
          <t>C832632407</t>
        </is>
      </c>
      <c r="E610" s="9" t="n">
        <v>99804.21000000001</v>
      </c>
      <c r="F610" s="9" t="n">
        <v>0</v>
      </c>
      <c r="G610" s="8" t="inlineStr">
        <is>
          <t>C608557779</t>
        </is>
      </c>
      <c r="H610" s="9" t="n">
        <v>77105.84</v>
      </c>
      <c r="I610" s="9" t="n">
        <v>176910.05</v>
      </c>
      <c r="J610" s="11" t="n">
        <v>1</v>
      </c>
      <c r="K610" s="8" t="n">
        <v>0</v>
      </c>
      <c r="L610" s="8" t="n">
        <v>1</v>
      </c>
      <c r="M610" s="9" t="n">
        <v>22698.37000000001</v>
      </c>
      <c r="N610" s="9" t="n">
        <v>0</v>
      </c>
      <c r="O610" s="9" t="n">
        <v>0</v>
      </c>
      <c r="P610" s="8" t="n">
        <v>1</v>
      </c>
      <c r="Q610" s="8" t="n">
        <v>1</v>
      </c>
    </row>
    <row r="611">
      <c r="A611" s="8" t="n">
        <v>59</v>
      </c>
      <c r="B611" s="8" t="inlineStr">
        <is>
          <t>TRANSFER</t>
        </is>
      </c>
      <c r="C611" s="9" t="n">
        <v>3857176.83</v>
      </c>
      <c r="D611" s="8" t="inlineStr">
        <is>
          <t>C1675721447</t>
        </is>
      </c>
      <c r="E611" s="9" t="n">
        <v>3857176.83</v>
      </c>
      <c r="F611" s="9" t="n">
        <v>0</v>
      </c>
      <c r="G611" s="8" t="inlineStr">
        <is>
          <t>C892636220</t>
        </is>
      </c>
      <c r="H611" s="9" t="n">
        <v>0</v>
      </c>
      <c r="I611" s="9" t="n">
        <v>0</v>
      </c>
      <c r="J611" s="11" t="n">
        <v>1</v>
      </c>
      <c r="K611" s="8" t="n">
        <v>0</v>
      </c>
      <c r="L611" s="8" t="n">
        <v>1</v>
      </c>
      <c r="M611" s="9" t="n">
        <v>3857176.83</v>
      </c>
      <c r="N611" s="9" t="n">
        <v>0</v>
      </c>
      <c r="O611" s="9" t="n">
        <v>3857176.83</v>
      </c>
      <c r="P611" s="8" t="n">
        <v>1</v>
      </c>
      <c r="Q611" s="8" t="n">
        <v>1</v>
      </c>
    </row>
    <row r="612">
      <c r="A612" s="8" t="n">
        <v>202</v>
      </c>
      <c r="B612" s="8" t="inlineStr">
        <is>
          <t>CASH_OUT</t>
        </is>
      </c>
      <c r="C612" s="9" t="n">
        <v>75217.84</v>
      </c>
      <c r="D612" s="8" t="inlineStr">
        <is>
          <t>C306117704</t>
        </is>
      </c>
      <c r="E612" s="9" t="n">
        <v>738</v>
      </c>
      <c r="F612" s="9" t="n">
        <v>0</v>
      </c>
      <c r="G612" s="8" t="inlineStr">
        <is>
          <t>C1040312301</t>
        </is>
      </c>
      <c r="H612" s="9" t="n">
        <v>123175.82</v>
      </c>
      <c r="I612" s="9" t="n">
        <v>198393.66</v>
      </c>
      <c r="J612" s="10" t="n">
        <v>0</v>
      </c>
      <c r="K612" s="8" t="n">
        <v>0</v>
      </c>
      <c r="L612" s="8" t="n">
        <v>1</v>
      </c>
      <c r="M612" s="9" t="n">
        <v>122437.82</v>
      </c>
      <c r="N612" s="9" t="n">
        <v>74479.84</v>
      </c>
      <c r="O612" s="9" t="n">
        <v>0</v>
      </c>
      <c r="P612" s="8" t="n">
        <v>1</v>
      </c>
      <c r="Q612" s="8" t="n">
        <v>0</v>
      </c>
    </row>
    <row r="613">
      <c r="A613" s="8" t="n">
        <v>514</v>
      </c>
      <c r="B613" s="8" t="inlineStr">
        <is>
          <t>CASH_OUT</t>
        </is>
      </c>
      <c r="C613" s="9" t="n">
        <v>48340.79</v>
      </c>
      <c r="D613" s="8" t="inlineStr">
        <is>
          <t>C1078822434</t>
        </is>
      </c>
      <c r="E613" s="9" t="n">
        <v>48340.79</v>
      </c>
      <c r="F613" s="9" t="n">
        <v>0</v>
      </c>
      <c r="G613" s="8" t="inlineStr">
        <is>
          <t>C347056727</t>
        </is>
      </c>
      <c r="H613" s="9" t="n">
        <v>3532298.75</v>
      </c>
      <c r="I613" s="9" t="n">
        <v>3580639.54</v>
      </c>
      <c r="J613" s="11" t="n">
        <v>1</v>
      </c>
      <c r="K613" s="8" t="n">
        <v>0</v>
      </c>
      <c r="L613" s="8" t="n">
        <v>1</v>
      </c>
      <c r="M613" s="9" t="n">
        <v>3483957.96</v>
      </c>
      <c r="N613" s="9" t="n">
        <v>0</v>
      </c>
      <c r="O613" s="9" t="n">
        <v>0</v>
      </c>
      <c r="P613" s="8" t="n">
        <v>1</v>
      </c>
      <c r="Q613" s="8" t="n">
        <v>1</v>
      </c>
    </row>
    <row r="614">
      <c r="A614" s="8" t="n">
        <v>185</v>
      </c>
      <c r="B614" s="8" t="inlineStr">
        <is>
          <t>CASH_OUT</t>
        </is>
      </c>
      <c r="C614" s="9" t="n">
        <v>1281.01</v>
      </c>
      <c r="D614" s="8" t="inlineStr">
        <is>
          <t>C701355824</t>
        </is>
      </c>
      <c r="E614" s="9" t="n">
        <v>345014.65</v>
      </c>
      <c r="F614" s="9" t="n">
        <v>343733.65</v>
      </c>
      <c r="G614" s="8" t="inlineStr">
        <is>
          <t>C1614781083</t>
        </is>
      </c>
      <c r="H614" s="9" t="n">
        <v>5269256.7</v>
      </c>
      <c r="I614" s="9" t="n">
        <v>5270537.7</v>
      </c>
      <c r="J614" s="10" t="n">
        <v>0</v>
      </c>
      <c r="K614" s="8" t="n">
        <v>0</v>
      </c>
      <c r="L614" s="8" t="n">
        <v>1</v>
      </c>
      <c r="M614" s="9" t="n">
        <v>4924242.05</v>
      </c>
      <c r="N614" s="9" t="n">
        <v>0.01</v>
      </c>
      <c r="O614" s="9" t="n">
        <v>0.01</v>
      </c>
      <c r="P614" s="8" t="n">
        <v>1</v>
      </c>
      <c r="Q614" s="8" t="n">
        <v>1</v>
      </c>
    </row>
    <row r="615">
      <c r="A615" s="8" t="n">
        <v>133</v>
      </c>
      <c r="B615" s="8" t="inlineStr">
        <is>
          <t>PAYMENT</t>
        </is>
      </c>
      <c r="C615" s="9" t="n">
        <v>10231.16</v>
      </c>
      <c r="D615" s="8" t="inlineStr">
        <is>
          <t>C482730221</t>
        </is>
      </c>
      <c r="E615" s="9" t="n">
        <v>0</v>
      </c>
      <c r="F615" s="9" t="n">
        <v>0</v>
      </c>
      <c r="G615" s="8" t="inlineStr">
        <is>
          <t>M1621279997</t>
        </is>
      </c>
      <c r="H615" s="9" t="n">
        <v>0</v>
      </c>
      <c r="I615" s="9" t="n">
        <v>0</v>
      </c>
      <c r="J615" s="10" t="n">
        <v>0</v>
      </c>
      <c r="K615" s="8" t="n">
        <v>1</v>
      </c>
      <c r="L615" s="8" t="n">
        <v>0</v>
      </c>
      <c r="M615" s="9" t="n">
        <v>0</v>
      </c>
      <c r="N615" s="9" t="n">
        <v>10231.16</v>
      </c>
      <c r="O615" s="9" t="n">
        <v>10231.16</v>
      </c>
      <c r="P615" s="8" t="n">
        <v>0</v>
      </c>
      <c r="Q615" s="8" t="n">
        <v>0</v>
      </c>
    </row>
    <row r="616">
      <c r="A616" s="8" t="n">
        <v>324</v>
      </c>
      <c r="B616" s="8" t="inlineStr">
        <is>
          <t>CASH_OUT</t>
        </is>
      </c>
      <c r="C616" s="9" t="n">
        <v>420634.69</v>
      </c>
      <c r="D616" s="8" t="inlineStr">
        <is>
          <t>C348049471</t>
        </is>
      </c>
      <c r="E616" s="9" t="n">
        <v>0</v>
      </c>
      <c r="F616" s="9" t="n">
        <v>0</v>
      </c>
      <c r="G616" s="8" t="inlineStr">
        <is>
          <t>C1342002319</t>
        </is>
      </c>
      <c r="H616" s="9" t="n">
        <v>889034.7</v>
      </c>
      <c r="I616" s="9" t="n">
        <v>1309669.39</v>
      </c>
      <c r="J616" s="10" t="n">
        <v>0</v>
      </c>
      <c r="K616" s="8" t="n">
        <v>0</v>
      </c>
      <c r="L616" s="8" t="n">
        <v>1</v>
      </c>
      <c r="M616" s="9" t="n">
        <v>889034.7</v>
      </c>
      <c r="N616" s="9" t="n">
        <v>420634.69</v>
      </c>
      <c r="O616" s="9" t="n">
        <v>0</v>
      </c>
      <c r="P616" s="8" t="n">
        <v>1</v>
      </c>
      <c r="Q616" s="8" t="n">
        <v>0</v>
      </c>
    </row>
    <row r="617">
      <c r="A617" s="8" t="n">
        <v>14</v>
      </c>
      <c r="B617" s="8" t="inlineStr">
        <is>
          <t>CASH_OUT</t>
        </is>
      </c>
      <c r="C617" s="9" t="n">
        <v>39539.53</v>
      </c>
      <c r="D617" s="8" t="inlineStr">
        <is>
          <t>C622839964</t>
        </is>
      </c>
      <c r="E617" s="9" t="n">
        <v>12208</v>
      </c>
      <c r="F617" s="9" t="n">
        <v>0</v>
      </c>
      <c r="G617" s="8" t="inlineStr">
        <is>
          <t>C440795879</t>
        </is>
      </c>
      <c r="H617" s="9" t="n">
        <v>0</v>
      </c>
      <c r="I617" s="9" t="n">
        <v>39539.53</v>
      </c>
      <c r="J617" s="10" t="n">
        <v>0</v>
      </c>
      <c r="K617" s="8" t="n">
        <v>0</v>
      </c>
      <c r="L617" s="8" t="n">
        <v>1</v>
      </c>
      <c r="M617" s="9" t="n">
        <v>12208</v>
      </c>
      <c r="N617" s="9" t="n">
        <v>27331.53</v>
      </c>
      <c r="O617" s="9" t="n">
        <v>0</v>
      </c>
      <c r="P617" s="8" t="n">
        <v>1</v>
      </c>
      <c r="Q617" s="8" t="n">
        <v>0</v>
      </c>
    </row>
    <row r="618">
      <c r="A618" s="8" t="n">
        <v>332</v>
      </c>
      <c r="B618" s="8" t="inlineStr">
        <is>
          <t>PAYMENT</t>
        </is>
      </c>
      <c r="C618" s="9" t="n">
        <v>27902.78</v>
      </c>
      <c r="D618" s="8" t="inlineStr">
        <is>
          <t>C1100472929</t>
        </is>
      </c>
      <c r="E618" s="9" t="n">
        <v>0</v>
      </c>
      <c r="F618" s="9" t="n">
        <v>0</v>
      </c>
      <c r="G618" s="8" t="inlineStr">
        <is>
          <t>M1267816190</t>
        </is>
      </c>
      <c r="H618" s="9" t="n">
        <v>0</v>
      </c>
      <c r="I618" s="9" t="n">
        <v>0</v>
      </c>
      <c r="J618" s="10" t="n">
        <v>0</v>
      </c>
      <c r="K618" s="8" t="n">
        <v>1</v>
      </c>
      <c r="L618" s="8" t="n">
        <v>0</v>
      </c>
      <c r="M618" s="9" t="n">
        <v>0</v>
      </c>
      <c r="N618" s="9" t="n">
        <v>27902.78</v>
      </c>
      <c r="O618" s="9" t="n">
        <v>27902.78</v>
      </c>
      <c r="P618" s="8" t="n">
        <v>0</v>
      </c>
      <c r="Q618" s="8" t="n">
        <v>0</v>
      </c>
    </row>
    <row r="619">
      <c r="A619" s="8" t="n">
        <v>583</v>
      </c>
      <c r="B619" s="8" t="inlineStr">
        <is>
          <t>CASH_OUT</t>
        </is>
      </c>
      <c r="C619" s="9" t="n">
        <v>759701.03</v>
      </c>
      <c r="D619" s="8" t="inlineStr">
        <is>
          <t>C1817565028</t>
        </is>
      </c>
      <c r="E619" s="9" t="n">
        <v>759701.03</v>
      </c>
      <c r="F619" s="9" t="n">
        <v>0</v>
      </c>
      <c r="G619" s="8" t="inlineStr">
        <is>
          <t>C1623972064</t>
        </is>
      </c>
      <c r="H619" s="9" t="n">
        <v>1076095.67</v>
      </c>
      <c r="I619" s="9" t="n">
        <v>1835796.71</v>
      </c>
      <c r="J619" s="11" t="n">
        <v>1</v>
      </c>
      <c r="K619" s="8" t="n">
        <v>0</v>
      </c>
      <c r="L619" s="8" t="n">
        <v>1</v>
      </c>
      <c r="M619" s="9" t="n">
        <v>316394.6399999999</v>
      </c>
      <c r="N619" s="9" t="n">
        <v>0</v>
      </c>
      <c r="O619" s="9" t="n">
        <v>-0.01</v>
      </c>
      <c r="P619" s="8" t="n">
        <v>1</v>
      </c>
      <c r="Q619" s="8" t="n">
        <v>1</v>
      </c>
    </row>
    <row r="620">
      <c r="A620" s="8" t="n">
        <v>259</v>
      </c>
      <c r="B620" s="8" t="inlineStr">
        <is>
          <t>CASH_IN</t>
        </is>
      </c>
      <c r="C620" s="9" t="n">
        <v>61330.13</v>
      </c>
      <c r="D620" s="8" t="inlineStr">
        <is>
          <t>C14342501</t>
        </is>
      </c>
      <c r="E620" s="9" t="n">
        <v>20985847.83</v>
      </c>
      <c r="F620" s="9" t="n">
        <v>21047177.96</v>
      </c>
      <c r="G620" s="8" t="inlineStr">
        <is>
          <t>C1395121175</t>
        </is>
      </c>
      <c r="H620" s="9" t="n">
        <v>355851</v>
      </c>
      <c r="I620" s="9" t="n">
        <v>294520.87</v>
      </c>
      <c r="J620" s="10" t="n">
        <v>0</v>
      </c>
      <c r="K620" s="8" t="n">
        <v>0</v>
      </c>
      <c r="L620" s="8" t="n">
        <v>0</v>
      </c>
      <c r="M620" s="9" t="n">
        <v>20629996.83</v>
      </c>
      <c r="N620" s="9" t="n">
        <v>122660.26</v>
      </c>
      <c r="O620" s="9" t="n">
        <v>122660.26</v>
      </c>
      <c r="P620" s="8" t="n">
        <v>1</v>
      </c>
      <c r="Q620" s="8" t="n">
        <v>0</v>
      </c>
    </row>
    <row r="621">
      <c r="A621" s="8" t="n">
        <v>253</v>
      </c>
      <c r="B621" s="8" t="inlineStr">
        <is>
          <t>PAYMENT</t>
        </is>
      </c>
      <c r="C621" s="9" t="n">
        <v>8102.63</v>
      </c>
      <c r="D621" s="8" t="inlineStr">
        <is>
          <t>C38393094</t>
        </is>
      </c>
      <c r="E621" s="9" t="n">
        <v>116496.93</v>
      </c>
      <c r="F621" s="9" t="n">
        <v>108394.3</v>
      </c>
      <c r="G621" s="8" t="inlineStr">
        <is>
          <t>M1749278013</t>
        </is>
      </c>
      <c r="H621" s="9" t="n">
        <v>0</v>
      </c>
      <c r="I621" s="9" t="n">
        <v>0</v>
      </c>
      <c r="J621" s="10" t="n">
        <v>0</v>
      </c>
      <c r="K621" s="8" t="n">
        <v>1</v>
      </c>
      <c r="L621" s="8" t="n">
        <v>0</v>
      </c>
      <c r="M621" s="9" t="n">
        <v>116496.93</v>
      </c>
      <c r="N621" s="9" t="n">
        <v>0</v>
      </c>
      <c r="O621" s="9" t="n">
        <v>8102.63</v>
      </c>
      <c r="P621" s="8" t="n">
        <v>0</v>
      </c>
      <c r="Q621" s="8" t="n">
        <v>1</v>
      </c>
    </row>
    <row r="622">
      <c r="A622" s="8" t="n">
        <v>672</v>
      </c>
      <c r="B622" s="8" t="inlineStr">
        <is>
          <t>TRANSFER</t>
        </is>
      </c>
      <c r="C622" s="9" t="n">
        <v>7218629.01</v>
      </c>
      <c r="D622" s="8" t="inlineStr">
        <is>
          <t>C426878281</t>
        </is>
      </c>
      <c r="E622" s="9" t="n">
        <v>7218629.01</v>
      </c>
      <c r="F622" s="9" t="n">
        <v>0</v>
      </c>
      <c r="G622" s="8" t="inlineStr">
        <is>
          <t>C1596412871</t>
        </is>
      </c>
      <c r="H622" s="9" t="n">
        <v>0</v>
      </c>
      <c r="I622" s="9" t="n">
        <v>0</v>
      </c>
      <c r="J622" s="11" t="n">
        <v>1</v>
      </c>
      <c r="K622" s="8" t="n">
        <v>0</v>
      </c>
      <c r="L622" s="8" t="n">
        <v>1</v>
      </c>
      <c r="M622" s="9" t="n">
        <v>7218629.01</v>
      </c>
      <c r="N622" s="9" t="n">
        <v>0</v>
      </c>
      <c r="O622" s="9" t="n">
        <v>7218629.01</v>
      </c>
      <c r="P622" s="8" t="n">
        <v>1</v>
      </c>
      <c r="Q622" s="8" t="n">
        <v>1</v>
      </c>
    </row>
    <row r="623">
      <c r="A623" s="8" t="n">
        <v>378</v>
      </c>
      <c r="B623" s="8" t="inlineStr">
        <is>
          <t>TRANSFER</t>
        </is>
      </c>
      <c r="C623" s="9" t="n">
        <v>2698972.36</v>
      </c>
      <c r="D623" s="8" t="inlineStr">
        <is>
          <t>C1287300108</t>
        </is>
      </c>
      <c r="E623" s="9" t="n">
        <v>0</v>
      </c>
      <c r="F623" s="9" t="n">
        <v>0</v>
      </c>
      <c r="G623" s="8" t="inlineStr">
        <is>
          <t>C886750888</t>
        </is>
      </c>
      <c r="H623" s="9" t="n">
        <v>3402690.56</v>
      </c>
      <c r="I623" s="9" t="n">
        <v>6101662.92</v>
      </c>
      <c r="J623" s="10" t="n">
        <v>0</v>
      </c>
      <c r="K623" s="8" t="n">
        <v>0</v>
      </c>
      <c r="L623" s="8" t="n">
        <v>1</v>
      </c>
      <c r="M623" s="9" t="n">
        <v>3402690.56</v>
      </c>
      <c r="N623" s="9" t="n">
        <v>2698972.36</v>
      </c>
      <c r="O623" s="9" t="n">
        <v>0</v>
      </c>
      <c r="P623" s="8" t="n">
        <v>1</v>
      </c>
      <c r="Q623" s="8" t="n">
        <v>0</v>
      </c>
    </row>
    <row r="624">
      <c r="A624" s="8" t="n">
        <v>19</v>
      </c>
      <c r="B624" s="8" t="inlineStr">
        <is>
          <t>CASH_OUT</t>
        </is>
      </c>
      <c r="C624" s="9" t="n">
        <v>405068.37</v>
      </c>
      <c r="D624" s="8" t="inlineStr">
        <is>
          <t>C952770006</t>
        </is>
      </c>
      <c r="E624" s="9" t="n">
        <v>0</v>
      </c>
      <c r="F624" s="9" t="n">
        <v>0</v>
      </c>
      <c r="G624" s="8" t="inlineStr">
        <is>
          <t>C540798555</t>
        </is>
      </c>
      <c r="H624" s="9" t="n">
        <v>3368124.94</v>
      </c>
      <c r="I624" s="9" t="n">
        <v>3594989.56</v>
      </c>
      <c r="J624" s="10" t="n">
        <v>0</v>
      </c>
      <c r="K624" s="8" t="n">
        <v>0</v>
      </c>
      <c r="L624" s="8" t="n">
        <v>1</v>
      </c>
      <c r="M624" s="9" t="n">
        <v>3368124.94</v>
      </c>
      <c r="N624" s="9" t="n">
        <v>405068.37</v>
      </c>
      <c r="O624" s="9" t="n">
        <v>178203.75</v>
      </c>
      <c r="P624" s="8" t="n">
        <v>1</v>
      </c>
      <c r="Q624" s="8" t="n">
        <v>0</v>
      </c>
    </row>
    <row r="625">
      <c r="A625" s="8" t="n">
        <v>158</v>
      </c>
      <c r="B625" s="8" t="inlineStr">
        <is>
          <t>PAYMENT</t>
        </is>
      </c>
      <c r="C625" s="9" t="n">
        <v>642.09</v>
      </c>
      <c r="D625" s="8" t="inlineStr">
        <is>
          <t>C1592943976</t>
        </is>
      </c>
      <c r="E625" s="9" t="n">
        <v>0</v>
      </c>
      <c r="F625" s="9" t="n">
        <v>0</v>
      </c>
      <c r="G625" s="8" t="inlineStr">
        <is>
          <t>M254852148</t>
        </is>
      </c>
      <c r="H625" s="9" t="n">
        <v>0</v>
      </c>
      <c r="I625" s="9" t="n">
        <v>0</v>
      </c>
      <c r="J625" s="10" t="n">
        <v>0</v>
      </c>
      <c r="K625" s="8" t="n">
        <v>1</v>
      </c>
      <c r="L625" s="8" t="n">
        <v>0</v>
      </c>
      <c r="M625" s="9" t="n">
        <v>0</v>
      </c>
      <c r="N625" s="9" t="n">
        <v>642.09</v>
      </c>
      <c r="O625" s="9" t="n">
        <v>642.09</v>
      </c>
      <c r="P625" s="8" t="n">
        <v>0</v>
      </c>
      <c r="Q625" s="8" t="n">
        <v>0</v>
      </c>
    </row>
    <row r="626">
      <c r="A626" s="8" t="n">
        <v>683</v>
      </c>
      <c r="B626" s="8" t="inlineStr">
        <is>
          <t>CASH_OUT</t>
        </is>
      </c>
      <c r="C626" s="9" t="n">
        <v>73929.99000000001</v>
      </c>
      <c r="D626" s="8" t="inlineStr">
        <is>
          <t>C652139882</t>
        </is>
      </c>
      <c r="E626" s="9" t="n">
        <v>73929.99000000001</v>
      </c>
      <c r="F626" s="9" t="n">
        <v>0</v>
      </c>
      <c r="G626" s="8" t="inlineStr">
        <is>
          <t>C641860418</t>
        </is>
      </c>
      <c r="H626" s="9" t="n">
        <v>1640832.48</v>
      </c>
      <c r="I626" s="9" t="n">
        <v>1714762.47</v>
      </c>
      <c r="J626" s="11" t="n">
        <v>1</v>
      </c>
      <c r="K626" s="8" t="n">
        <v>0</v>
      </c>
      <c r="L626" s="8" t="n">
        <v>1</v>
      </c>
      <c r="M626" s="9" t="n">
        <v>1566902.49</v>
      </c>
      <c r="N626" s="9" t="n">
        <v>0</v>
      </c>
      <c r="O626" s="9" t="n">
        <v>0</v>
      </c>
      <c r="P626" s="8" t="n">
        <v>1</v>
      </c>
      <c r="Q626" s="8" t="n">
        <v>1</v>
      </c>
    </row>
    <row r="627">
      <c r="A627" s="8" t="n">
        <v>12</v>
      </c>
      <c r="B627" s="8" t="inlineStr">
        <is>
          <t>TRANSFER</t>
        </is>
      </c>
      <c r="C627" s="9" t="n">
        <v>270925.06</v>
      </c>
      <c r="D627" s="8" t="inlineStr">
        <is>
          <t>C673319613</t>
        </is>
      </c>
      <c r="E627" s="9" t="n">
        <v>212276</v>
      </c>
      <c r="F627" s="9" t="n">
        <v>0</v>
      </c>
      <c r="G627" s="8" t="inlineStr">
        <is>
          <t>C304524494</t>
        </is>
      </c>
      <c r="H627" s="9" t="n">
        <v>40943.09</v>
      </c>
      <c r="I627" s="9" t="n">
        <v>549698.91</v>
      </c>
      <c r="J627" s="10" t="n">
        <v>0</v>
      </c>
      <c r="K627" s="8" t="n">
        <v>0</v>
      </c>
      <c r="L627" s="8" t="n">
        <v>1</v>
      </c>
      <c r="M627" s="9" t="n">
        <v>171332.91</v>
      </c>
      <c r="N627" s="9" t="n">
        <v>58649.06</v>
      </c>
      <c r="O627" s="9" t="n">
        <v>-237830.76</v>
      </c>
      <c r="P627" s="8" t="n">
        <v>1</v>
      </c>
      <c r="Q627" s="8" t="n">
        <v>0</v>
      </c>
    </row>
    <row r="628">
      <c r="A628" s="8" t="n">
        <v>209</v>
      </c>
      <c r="B628" s="8" t="inlineStr">
        <is>
          <t>CASH_OUT</t>
        </is>
      </c>
      <c r="C628" s="9" t="n">
        <v>350034.21</v>
      </c>
      <c r="D628" s="8" t="inlineStr">
        <is>
          <t>C873086961</t>
        </is>
      </c>
      <c r="E628" s="9" t="n">
        <v>42144</v>
      </c>
      <c r="F628" s="9" t="n">
        <v>0</v>
      </c>
      <c r="G628" s="8" t="inlineStr">
        <is>
          <t>C2094739878</t>
        </is>
      </c>
      <c r="H628" s="9" t="n">
        <v>2313845.98</v>
      </c>
      <c r="I628" s="9" t="n">
        <v>2663880.19</v>
      </c>
      <c r="J628" s="10" t="n">
        <v>0</v>
      </c>
      <c r="K628" s="8" t="n">
        <v>0</v>
      </c>
      <c r="L628" s="8" t="n">
        <v>1</v>
      </c>
      <c r="M628" s="9" t="n">
        <v>2271701.98</v>
      </c>
      <c r="N628" s="9" t="n">
        <v>307890.21</v>
      </c>
      <c r="O628" s="9" t="n">
        <v>0</v>
      </c>
      <c r="P628" s="8" t="n">
        <v>1</v>
      </c>
      <c r="Q628" s="8" t="n">
        <v>0</v>
      </c>
    </row>
    <row r="629">
      <c r="A629" s="8" t="n">
        <v>187</v>
      </c>
      <c r="B629" s="8" t="inlineStr">
        <is>
          <t>PAYMENT</t>
        </is>
      </c>
      <c r="C629" s="9" t="n">
        <v>4809.52</v>
      </c>
      <c r="D629" s="8" t="inlineStr">
        <is>
          <t>C1378392161</t>
        </is>
      </c>
      <c r="E629" s="9" t="n">
        <v>0</v>
      </c>
      <c r="F629" s="9" t="n">
        <v>0</v>
      </c>
      <c r="G629" s="8" t="inlineStr">
        <is>
          <t>M1261752031</t>
        </is>
      </c>
      <c r="H629" s="9" t="n">
        <v>0</v>
      </c>
      <c r="I629" s="9" t="n">
        <v>0</v>
      </c>
      <c r="J629" s="10" t="n">
        <v>0</v>
      </c>
      <c r="K629" s="8" t="n">
        <v>1</v>
      </c>
      <c r="L629" s="8" t="n">
        <v>0</v>
      </c>
      <c r="M629" s="9" t="n">
        <v>0</v>
      </c>
      <c r="N629" s="9" t="n">
        <v>4809.52</v>
      </c>
      <c r="O629" s="9" t="n">
        <v>4809.52</v>
      </c>
      <c r="P629" s="8" t="n">
        <v>0</v>
      </c>
      <c r="Q629" s="8" t="n">
        <v>0</v>
      </c>
    </row>
    <row r="630">
      <c r="A630" s="8" t="n">
        <v>160</v>
      </c>
      <c r="B630" s="8" t="inlineStr">
        <is>
          <t>TRANSFER</t>
        </is>
      </c>
      <c r="C630" s="9" t="n">
        <v>10000000</v>
      </c>
      <c r="D630" s="8" t="inlineStr">
        <is>
          <t>C752627210</t>
        </is>
      </c>
      <c r="E630" s="9" t="n">
        <v>27670038.08</v>
      </c>
      <c r="F630" s="9" t="n">
        <v>17670038.08</v>
      </c>
      <c r="G630" s="8" t="inlineStr">
        <is>
          <t>C1853789265</t>
        </is>
      </c>
      <c r="H630" s="9" t="n">
        <v>0</v>
      </c>
      <c r="I630" s="9" t="n">
        <v>0</v>
      </c>
      <c r="J630" s="11" t="n">
        <v>1</v>
      </c>
      <c r="K630" s="8" t="n">
        <v>0</v>
      </c>
      <c r="L630" s="8" t="n">
        <v>1</v>
      </c>
      <c r="M630" s="9" t="n">
        <v>27670038.08</v>
      </c>
      <c r="N630" s="9" t="n">
        <v>0</v>
      </c>
      <c r="O630" s="9" t="n">
        <v>10000000</v>
      </c>
      <c r="P630" s="8" t="n">
        <v>1</v>
      </c>
      <c r="Q630" s="8" t="n">
        <v>1</v>
      </c>
    </row>
    <row r="631">
      <c r="A631" s="8" t="n">
        <v>332</v>
      </c>
      <c r="B631" s="8" t="inlineStr">
        <is>
          <t>CASH_OUT</t>
        </is>
      </c>
      <c r="C631" s="9" t="n">
        <v>10711.04</v>
      </c>
      <c r="D631" s="8" t="inlineStr">
        <is>
          <t>C1471079876</t>
        </is>
      </c>
      <c r="E631" s="9" t="n">
        <v>0</v>
      </c>
      <c r="F631" s="9" t="n">
        <v>0</v>
      </c>
      <c r="G631" s="8" t="inlineStr">
        <is>
          <t>C1886298820</t>
        </is>
      </c>
      <c r="H631" s="9" t="n">
        <v>28088.59</v>
      </c>
      <c r="I631" s="9" t="n">
        <v>38799.63</v>
      </c>
      <c r="J631" s="10" t="n">
        <v>0</v>
      </c>
      <c r="K631" s="8" t="n">
        <v>0</v>
      </c>
      <c r="L631" s="8" t="n">
        <v>1</v>
      </c>
      <c r="M631" s="9" t="n">
        <v>28088.59</v>
      </c>
      <c r="N631" s="9" t="n">
        <v>10711.04</v>
      </c>
      <c r="O631" s="9" t="n">
        <v>0</v>
      </c>
      <c r="P631" s="8" t="n">
        <v>1</v>
      </c>
      <c r="Q631" s="8" t="n">
        <v>0</v>
      </c>
    </row>
    <row r="632">
      <c r="A632" s="8" t="n">
        <v>208</v>
      </c>
      <c r="B632" s="8" t="inlineStr">
        <is>
          <t>CASH_IN</t>
        </is>
      </c>
      <c r="C632" s="9" t="n">
        <v>128029.89</v>
      </c>
      <c r="D632" s="8" t="inlineStr">
        <is>
          <t>C1240050189</t>
        </is>
      </c>
      <c r="E632" s="9" t="n">
        <v>312165</v>
      </c>
      <c r="F632" s="9" t="n">
        <v>440194.89</v>
      </c>
      <c r="G632" s="8" t="inlineStr">
        <is>
          <t>C1512598282</t>
        </is>
      </c>
      <c r="H632" s="9" t="n">
        <v>0</v>
      </c>
      <c r="I632" s="9" t="n">
        <v>0</v>
      </c>
      <c r="J632" s="10" t="n">
        <v>0</v>
      </c>
      <c r="K632" s="8" t="n">
        <v>0</v>
      </c>
      <c r="L632" s="8" t="n">
        <v>0</v>
      </c>
      <c r="M632" s="9" t="n">
        <v>312165</v>
      </c>
      <c r="N632" s="9" t="n">
        <v>256059.78</v>
      </c>
      <c r="O632" s="9" t="n">
        <v>128029.89</v>
      </c>
      <c r="P632" s="8" t="n">
        <v>1</v>
      </c>
      <c r="Q632" s="8" t="n">
        <v>0</v>
      </c>
    </row>
    <row r="633">
      <c r="A633" s="8" t="n">
        <v>282</v>
      </c>
      <c r="B633" s="8" t="inlineStr">
        <is>
          <t>CASH_OUT</t>
        </is>
      </c>
      <c r="C633" s="9" t="n">
        <v>140524.6</v>
      </c>
      <c r="D633" s="8" t="inlineStr">
        <is>
          <t>C1159480161</t>
        </is>
      </c>
      <c r="E633" s="9" t="n">
        <v>11883</v>
      </c>
      <c r="F633" s="9" t="n">
        <v>0</v>
      </c>
      <c r="G633" s="8" t="inlineStr">
        <is>
          <t>C546592218</t>
        </is>
      </c>
      <c r="H633" s="9" t="n">
        <v>0</v>
      </c>
      <c r="I633" s="9" t="n">
        <v>190308.98</v>
      </c>
      <c r="J633" s="10" t="n">
        <v>0</v>
      </c>
      <c r="K633" s="8" t="n">
        <v>0</v>
      </c>
      <c r="L633" s="8" t="n">
        <v>1</v>
      </c>
      <c r="M633" s="9" t="n">
        <v>11883</v>
      </c>
      <c r="N633" s="9" t="n">
        <v>128641.6</v>
      </c>
      <c r="O633" s="9" t="n">
        <v>-49784.38</v>
      </c>
      <c r="P633" s="8" t="n">
        <v>1</v>
      </c>
      <c r="Q633" s="8" t="n">
        <v>0</v>
      </c>
    </row>
    <row r="634">
      <c r="A634" s="8" t="n">
        <v>667</v>
      </c>
      <c r="B634" s="8" t="inlineStr">
        <is>
          <t>TRANSFER</t>
        </is>
      </c>
      <c r="C634" s="9" t="n">
        <v>71554.74000000001</v>
      </c>
      <c r="D634" s="8" t="inlineStr">
        <is>
          <t>C118393699</t>
        </is>
      </c>
      <c r="E634" s="9" t="n">
        <v>71554.74000000001</v>
      </c>
      <c r="F634" s="9" t="n">
        <v>0</v>
      </c>
      <c r="G634" s="8" t="inlineStr">
        <is>
          <t>C1077131612</t>
        </is>
      </c>
      <c r="H634" s="9" t="n">
        <v>0</v>
      </c>
      <c r="I634" s="9" t="n">
        <v>0</v>
      </c>
      <c r="J634" s="11" t="n">
        <v>1</v>
      </c>
      <c r="K634" s="8" t="n">
        <v>0</v>
      </c>
      <c r="L634" s="8" t="n">
        <v>1</v>
      </c>
      <c r="M634" s="9" t="n">
        <v>71554.74000000001</v>
      </c>
      <c r="N634" s="9" t="n">
        <v>0</v>
      </c>
      <c r="O634" s="9" t="n">
        <v>71554.74000000001</v>
      </c>
      <c r="P634" s="8" t="n">
        <v>1</v>
      </c>
      <c r="Q634" s="8" t="n">
        <v>1</v>
      </c>
    </row>
    <row r="635">
      <c r="A635" s="8" t="n">
        <v>475</v>
      </c>
      <c r="B635" s="8" t="inlineStr">
        <is>
          <t>CASH_OUT</t>
        </is>
      </c>
      <c r="C635" s="9" t="n">
        <v>11424.36</v>
      </c>
      <c r="D635" s="8" t="inlineStr">
        <is>
          <t>C358552175</t>
        </is>
      </c>
      <c r="E635" s="9" t="n">
        <v>11424.36</v>
      </c>
      <c r="F635" s="9" t="n">
        <v>0</v>
      </c>
      <c r="G635" s="8" t="inlineStr">
        <is>
          <t>C11759889</t>
        </is>
      </c>
      <c r="H635" s="9" t="n">
        <v>155495.9</v>
      </c>
      <c r="I635" s="9" t="n">
        <v>166920.26</v>
      </c>
      <c r="J635" s="11" t="n">
        <v>1</v>
      </c>
      <c r="K635" s="8" t="n">
        <v>0</v>
      </c>
      <c r="L635" s="8" t="n">
        <v>1</v>
      </c>
      <c r="M635" s="9" t="n">
        <v>144071.54</v>
      </c>
      <c r="N635" s="9" t="n">
        <v>0</v>
      </c>
      <c r="O635" s="9" t="n">
        <v>0</v>
      </c>
      <c r="P635" s="8" t="n">
        <v>1</v>
      </c>
      <c r="Q635" s="8" t="n">
        <v>1</v>
      </c>
    </row>
    <row r="636">
      <c r="A636" s="8" t="n">
        <v>217</v>
      </c>
      <c r="B636" s="8" t="inlineStr">
        <is>
          <t>CASH_OUT</t>
        </is>
      </c>
      <c r="C636" s="9" t="n">
        <v>108783.2</v>
      </c>
      <c r="D636" s="8" t="inlineStr">
        <is>
          <t>C656154265</t>
        </is>
      </c>
      <c r="E636" s="9" t="n">
        <v>108783.2</v>
      </c>
      <c r="F636" s="9" t="n">
        <v>0</v>
      </c>
      <c r="G636" s="8" t="inlineStr">
        <is>
          <t>C1779832819</t>
        </is>
      </c>
      <c r="H636" s="9" t="n">
        <v>89597.75</v>
      </c>
      <c r="I636" s="9" t="n">
        <v>198380.95</v>
      </c>
      <c r="J636" s="11" t="n">
        <v>1</v>
      </c>
      <c r="K636" s="8" t="n">
        <v>0</v>
      </c>
      <c r="L636" s="8" t="n">
        <v>1</v>
      </c>
      <c r="M636" s="9" t="n">
        <v>19185.45</v>
      </c>
      <c r="N636" s="9" t="n">
        <v>0</v>
      </c>
      <c r="O636" s="9" t="n">
        <v>0</v>
      </c>
      <c r="P636" s="8" t="n">
        <v>1</v>
      </c>
      <c r="Q636" s="8" t="n">
        <v>1</v>
      </c>
    </row>
    <row r="637">
      <c r="A637" s="8" t="n">
        <v>327</v>
      </c>
      <c r="B637" s="8" t="inlineStr">
        <is>
          <t>PAYMENT</t>
        </is>
      </c>
      <c r="C637" s="9" t="n">
        <v>30691.62</v>
      </c>
      <c r="D637" s="8" t="inlineStr">
        <is>
          <t>C1145081300</t>
        </is>
      </c>
      <c r="E637" s="9" t="n">
        <v>97267.89999999999</v>
      </c>
      <c r="F637" s="9" t="n">
        <v>66576.28</v>
      </c>
      <c r="G637" s="8" t="inlineStr">
        <is>
          <t>M1093530317</t>
        </is>
      </c>
      <c r="H637" s="9" t="n">
        <v>0</v>
      </c>
      <c r="I637" s="9" t="n">
        <v>0</v>
      </c>
      <c r="J637" s="10" t="n">
        <v>0</v>
      </c>
      <c r="K637" s="8" t="n">
        <v>1</v>
      </c>
      <c r="L637" s="8" t="n">
        <v>0</v>
      </c>
      <c r="M637" s="9" t="n">
        <v>97267.89999999999</v>
      </c>
      <c r="N637" s="9" t="n">
        <v>0</v>
      </c>
      <c r="O637" s="9" t="n">
        <v>30691.62</v>
      </c>
      <c r="P637" s="8" t="n">
        <v>0</v>
      </c>
      <c r="Q637" s="8" t="n">
        <v>1</v>
      </c>
    </row>
    <row r="638">
      <c r="A638" s="8" t="n">
        <v>403</v>
      </c>
      <c r="B638" s="8" t="inlineStr">
        <is>
          <t>CASH_OUT</t>
        </is>
      </c>
      <c r="C638" s="9" t="n">
        <v>196254.03</v>
      </c>
      <c r="D638" s="8" t="inlineStr">
        <is>
          <t>C2032582234</t>
        </is>
      </c>
      <c r="E638" s="9" t="n">
        <v>196254.03</v>
      </c>
      <c r="F638" s="9" t="n">
        <v>0</v>
      </c>
      <c r="G638" s="8" t="inlineStr">
        <is>
          <t>C677415412</t>
        </is>
      </c>
      <c r="H638" s="9" t="n">
        <v>0</v>
      </c>
      <c r="I638" s="9" t="n">
        <v>196254.03</v>
      </c>
      <c r="J638" s="11" t="n">
        <v>1</v>
      </c>
      <c r="K638" s="8" t="n">
        <v>0</v>
      </c>
      <c r="L638" s="8" t="n">
        <v>1</v>
      </c>
      <c r="M638" s="9" t="n">
        <v>196254.03</v>
      </c>
      <c r="N638" s="9" t="n">
        <v>0</v>
      </c>
      <c r="O638" s="9" t="n">
        <v>0</v>
      </c>
      <c r="P638" s="8" t="n">
        <v>1</v>
      </c>
      <c r="Q638" s="8" t="n">
        <v>1</v>
      </c>
    </row>
    <row r="639">
      <c r="A639" s="8" t="n">
        <v>181</v>
      </c>
      <c r="B639" s="8" t="inlineStr">
        <is>
          <t>CASH_IN</t>
        </is>
      </c>
      <c r="C639" s="9" t="n">
        <v>49984.29</v>
      </c>
      <c r="D639" s="8" t="inlineStr">
        <is>
          <t>C712556762</t>
        </is>
      </c>
      <c r="E639" s="9" t="n">
        <v>55061</v>
      </c>
      <c r="F639" s="9" t="n">
        <v>105045.29</v>
      </c>
      <c r="G639" s="8" t="inlineStr">
        <is>
          <t>C2098475020</t>
        </is>
      </c>
      <c r="H639" s="9" t="n">
        <v>191045.32</v>
      </c>
      <c r="I639" s="9" t="n">
        <v>141061.03</v>
      </c>
      <c r="J639" s="10" t="n">
        <v>0</v>
      </c>
      <c r="K639" s="8" t="n">
        <v>0</v>
      </c>
      <c r="L639" s="8" t="n">
        <v>0</v>
      </c>
      <c r="M639" s="9" t="n">
        <v>135984.32</v>
      </c>
      <c r="N639" s="9" t="n">
        <v>99968.58</v>
      </c>
      <c r="O639" s="9" t="n">
        <v>99968.58</v>
      </c>
      <c r="P639" s="8" t="n">
        <v>1</v>
      </c>
      <c r="Q639" s="8" t="n">
        <v>0</v>
      </c>
    </row>
    <row r="640">
      <c r="A640" s="8" t="n">
        <v>141</v>
      </c>
      <c r="B640" s="8" t="inlineStr">
        <is>
          <t>PAYMENT</t>
        </is>
      </c>
      <c r="C640" s="9" t="n">
        <v>3090.17</v>
      </c>
      <c r="D640" s="8" t="inlineStr">
        <is>
          <t>C725490922</t>
        </is>
      </c>
      <c r="E640" s="9" t="n">
        <v>952</v>
      </c>
      <c r="F640" s="9" t="n">
        <v>0</v>
      </c>
      <c r="G640" s="8" t="inlineStr">
        <is>
          <t>M673054310</t>
        </is>
      </c>
      <c r="H640" s="9" t="n">
        <v>0</v>
      </c>
      <c r="I640" s="9" t="n">
        <v>0</v>
      </c>
      <c r="J640" s="10" t="n">
        <v>0</v>
      </c>
      <c r="K640" s="8" t="n">
        <v>1</v>
      </c>
      <c r="L640" s="8" t="n">
        <v>0</v>
      </c>
      <c r="M640" s="9" t="n">
        <v>952</v>
      </c>
      <c r="N640" s="9" t="n">
        <v>2138.17</v>
      </c>
      <c r="O640" s="9" t="n">
        <v>3090.17</v>
      </c>
      <c r="P640" s="8" t="n">
        <v>0</v>
      </c>
      <c r="Q640" s="8" t="n">
        <v>0</v>
      </c>
    </row>
    <row r="641">
      <c r="A641" s="8" t="n">
        <v>177</v>
      </c>
      <c r="B641" s="8" t="inlineStr">
        <is>
          <t>TRANSFER</t>
        </is>
      </c>
      <c r="C641" s="9" t="n">
        <v>430788.51</v>
      </c>
      <c r="D641" s="8" t="inlineStr">
        <is>
          <t>C1688421179</t>
        </is>
      </c>
      <c r="E641" s="9" t="n">
        <v>30449</v>
      </c>
      <c r="F641" s="9" t="n">
        <v>0</v>
      </c>
      <c r="G641" s="8" t="inlineStr">
        <is>
          <t>C2010640257</t>
        </is>
      </c>
      <c r="H641" s="9" t="n">
        <v>0</v>
      </c>
      <c r="I641" s="9" t="n">
        <v>430788.51</v>
      </c>
      <c r="J641" s="10" t="n">
        <v>0</v>
      </c>
      <c r="K641" s="8" t="n">
        <v>0</v>
      </c>
      <c r="L641" s="8" t="n">
        <v>1</v>
      </c>
      <c r="M641" s="9" t="n">
        <v>30449</v>
      </c>
      <c r="N641" s="9" t="n">
        <v>400339.51</v>
      </c>
      <c r="O641" s="9" t="n">
        <v>0</v>
      </c>
      <c r="P641" s="8" t="n">
        <v>1</v>
      </c>
      <c r="Q641" s="8" t="n">
        <v>0</v>
      </c>
    </row>
    <row r="642">
      <c r="A642" s="8" t="n">
        <v>253</v>
      </c>
      <c r="B642" s="8" t="inlineStr">
        <is>
          <t>CASH_OUT</t>
        </is>
      </c>
      <c r="C642" s="9" t="n">
        <v>67166.94</v>
      </c>
      <c r="D642" s="8" t="inlineStr">
        <is>
          <t>C1612901224</t>
        </is>
      </c>
      <c r="E642" s="9" t="n">
        <v>0</v>
      </c>
      <c r="F642" s="9" t="n">
        <v>0</v>
      </c>
      <c r="G642" s="8" t="inlineStr">
        <is>
          <t>C686802968</t>
        </is>
      </c>
      <c r="H642" s="9" t="n">
        <v>371632.6</v>
      </c>
      <c r="I642" s="9" t="n">
        <v>438799.54</v>
      </c>
      <c r="J642" s="10" t="n">
        <v>0</v>
      </c>
      <c r="K642" s="8" t="n">
        <v>0</v>
      </c>
      <c r="L642" s="8" t="n">
        <v>1</v>
      </c>
      <c r="M642" s="9" t="n">
        <v>371632.6</v>
      </c>
      <c r="N642" s="9" t="n">
        <v>67166.94</v>
      </c>
      <c r="O642" s="9" t="n">
        <v>0</v>
      </c>
      <c r="P642" s="8" t="n">
        <v>1</v>
      </c>
      <c r="Q642" s="8" t="n">
        <v>0</v>
      </c>
    </row>
    <row r="643">
      <c r="A643" s="8" t="n">
        <v>494</v>
      </c>
      <c r="B643" s="8" t="inlineStr">
        <is>
          <t>TRANSFER</t>
        </is>
      </c>
      <c r="C643" s="9" t="n">
        <v>3642569.29</v>
      </c>
      <c r="D643" s="8" t="inlineStr">
        <is>
          <t>C964891508</t>
        </is>
      </c>
      <c r="E643" s="9" t="n">
        <v>3642569.29</v>
      </c>
      <c r="F643" s="9" t="n">
        <v>0</v>
      </c>
      <c r="G643" s="8" t="inlineStr">
        <is>
          <t>C262568847</t>
        </is>
      </c>
      <c r="H643" s="9" t="n">
        <v>0</v>
      </c>
      <c r="I643" s="9" t="n">
        <v>0</v>
      </c>
      <c r="J643" s="11" t="n">
        <v>1</v>
      </c>
      <c r="K643" s="8" t="n">
        <v>0</v>
      </c>
      <c r="L643" s="8" t="n">
        <v>1</v>
      </c>
      <c r="M643" s="9" t="n">
        <v>3642569.29</v>
      </c>
      <c r="N643" s="9" t="n">
        <v>0</v>
      </c>
      <c r="O643" s="9" t="n">
        <v>3642569.29</v>
      </c>
      <c r="P643" s="8" t="n">
        <v>1</v>
      </c>
      <c r="Q643" s="8" t="n">
        <v>1</v>
      </c>
    </row>
    <row r="644">
      <c r="A644" s="8" t="n">
        <v>256</v>
      </c>
      <c r="B644" s="8" t="inlineStr">
        <is>
          <t>PAYMENT</t>
        </is>
      </c>
      <c r="C644" s="9" t="n">
        <v>968.1900000000001</v>
      </c>
      <c r="D644" s="8" t="inlineStr">
        <is>
          <t>C1029327377</t>
        </is>
      </c>
      <c r="E644" s="9" t="n">
        <v>0</v>
      </c>
      <c r="F644" s="9" t="n">
        <v>0</v>
      </c>
      <c r="G644" s="8" t="inlineStr">
        <is>
          <t>M1449298193</t>
        </is>
      </c>
      <c r="H644" s="9" t="n">
        <v>0</v>
      </c>
      <c r="I644" s="9" t="n">
        <v>0</v>
      </c>
      <c r="J644" s="10" t="n">
        <v>0</v>
      </c>
      <c r="K644" s="8" t="n">
        <v>1</v>
      </c>
      <c r="L644" s="8" t="n">
        <v>0</v>
      </c>
      <c r="M644" s="9" t="n">
        <v>0</v>
      </c>
      <c r="N644" s="9" t="n">
        <v>968.1900000000001</v>
      </c>
      <c r="O644" s="9" t="n">
        <v>968.1900000000001</v>
      </c>
      <c r="P644" s="8" t="n">
        <v>0</v>
      </c>
      <c r="Q644" s="8" t="n">
        <v>0</v>
      </c>
    </row>
    <row r="645">
      <c r="A645" s="8" t="n">
        <v>400</v>
      </c>
      <c r="B645" s="8" t="inlineStr">
        <is>
          <t>CASH_OUT</t>
        </is>
      </c>
      <c r="C645" s="9" t="n">
        <v>76687.35000000001</v>
      </c>
      <c r="D645" s="8" t="inlineStr">
        <is>
          <t>C2125042791</t>
        </is>
      </c>
      <c r="E645" s="9" t="n">
        <v>0</v>
      </c>
      <c r="F645" s="9" t="n">
        <v>0</v>
      </c>
      <c r="G645" s="8" t="inlineStr">
        <is>
          <t>C936746486</t>
        </is>
      </c>
      <c r="H645" s="9" t="n">
        <v>540526.73</v>
      </c>
      <c r="I645" s="9" t="n">
        <v>617214.08</v>
      </c>
      <c r="J645" s="10" t="n">
        <v>0</v>
      </c>
      <c r="K645" s="8" t="n">
        <v>0</v>
      </c>
      <c r="L645" s="8" t="n">
        <v>1</v>
      </c>
      <c r="M645" s="9" t="n">
        <v>540526.73</v>
      </c>
      <c r="N645" s="9" t="n">
        <v>76687.35000000001</v>
      </c>
      <c r="O645" s="9" t="n">
        <v>0</v>
      </c>
      <c r="P645" s="8" t="n">
        <v>1</v>
      </c>
      <c r="Q645" s="8" t="n">
        <v>0</v>
      </c>
    </row>
    <row r="646">
      <c r="A646" s="8" t="n">
        <v>12</v>
      </c>
      <c r="B646" s="8" t="inlineStr">
        <is>
          <t>PAYMENT</t>
        </is>
      </c>
      <c r="C646" s="9" t="n">
        <v>9440.860000000001</v>
      </c>
      <c r="D646" s="8" t="inlineStr">
        <is>
          <t>C751074134</t>
        </is>
      </c>
      <c r="E646" s="9" t="n">
        <v>9839</v>
      </c>
      <c r="F646" s="9" t="n">
        <v>398.14</v>
      </c>
      <c r="G646" s="8" t="inlineStr">
        <is>
          <t>M79044564</t>
        </is>
      </c>
      <c r="H646" s="9" t="n">
        <v>0</v>
      </c>
      <c r="I646" s="9" t="n">
        <v>0</v>
      </c>
      <c r="J646" s="10" t="n">
        <v>0</v>
      </c>
      <c r="K646" s="8" t="n">
        <v>1</v>
      </c>
      <c r="L646" s="8" t="n">
        <v>0</v>
      </c>
      <c r="M646" s="9" t="n">
        <v>9839</v>
      </c>
      <c r="N646" s="9" t="n">
        <v>0</v>
      </c>
      <c r="O646" s="9" t="n">
        <v>9440.860000000001</v>
      </c>
      <c r="P646" s="8" t="n">
        <v>0</v>
      </c>
      <c r="Q646" s="8" t="n">
        <v>1</v>
      </c>
    </row>
    <row r="647">
      <c r="A647" s="8" t="n">
        <v>399</v>
      </c>
      <c r="B647" s="8" t="inlineStr">
        <is>
          <t>CASH_OUT</t>
        </is>
      </c>
      <c r="C647" s="9" t="n">
        <v>402040.12</v>
      </c>
      <c r="D647" s="8" t="inlineStr">
        <is>
          <t>C1254058863</t>
        </is>
      </c>
      <c r="E647" s="9" t="n">
        <v>201420.71</v>
      </c>
      <c r="F647" s="9" t="n">
        <v>0</v>
      </c>
      <c r="G647" s="8" t="inlineStr">
        <is>
          <t>C1643348757</t>
        </is>
      </c>
      <c r="H647" s="9" t="n">
        <v>5231902.2</v>
      </c>
      <c r="I647" s="9" t="n">
        <v>5633942.33</v>
      </c>
      <c r="J647" s="10" t="n">
        <v>0</v>
      </c>
      <c r="K647" s="8" t="n">
        <v>0</v>
      </c>
      <c r="L647" s="8" t="n">
        <v>1</v>
      </c>
      <c r="M647" s="9" t="n">
        <v>5030481.49</v>
      </c>
      <c r="N647" s="9" t="n">
        <v>200619.41</v>
      </c>
      <c r="O647" s="9" t="n">
        <v>-0.01</v>
      </c>
      <c r="P647" s="8" t="n">
        <v>1</v>
      </c>
      <c r="Q647" s="8" t="n">
        <v>0</v>
      </c>
    </row>
    <row r="648">
      <c r="A648" s="8" t="n">
        <v>213</v>
      </c>
      <c r="B648" s="8" t="inlineStr">
        <is>
          <t>CASH_IN</t>
        </is>
      </c>
      <c r="C648" s="9" t="n">
        <v>138792.51</v>
      </c>
      <c r="D648" s="8" t="inlineStr">
        <is>
          <t>C509815874</t>
        </is>
      </c>
      <c r="E648" s="9" t="n">
        <v>38891.6</v>
      </c>
      <c r="F648" s="9" t="n">
        <v>177684.11</v>
      </c>
      <c r="G648" s="8" t="inlineStr">
        <is>
          <t>C1966710193</t>
        </is>
      </c>
      <c r="H648" s="9" t="n">
        <v>951586.3</v>
      </c>
      <c r="I648" s="9" t="n">
        <v>812793.79</v>
      </c>
      <c r="J648" s="10" t="n">
        <v>0</v>
      </c>
      <c r="K648" s="8" t="n">
        <v>0</v>
      </c>
      <c r="L648" s="8" t="n">
        <v>0</v>
      </c>
      <c r="M648" s="9" t="n">
        <v>912694.7</v>
      </c>
      <c r="N648" s="9" t="n">
        <v>277585.02</v>
      </c>
      <c r="O648" s="9" t="n">
        <v>277585.02</v>
      </c>
      <c r="P648" s="8" t="n">
        <v>1</v>
      </c>
      <c r="Q648" s="8" t="n">
        <v>0</v>
      </c>
    </row>
    <row r="649">
      <c r="A649" s="8" t="n">
        <v>205</v>
      </c>
      <c r="B649" s="8" t="inlineStr">
        <is>
          <t>CASH_OUT</t>
        </is>
      </c>
      <c r="C649" s="9" t="n">
        <v>128572.96</v>
      </c>
      <c r="D649" s="8" t="inlineStr">
        <is>
          <t>C1976399024</t>
        </is>
      </c>
      <c r="E649" s="9" t="n">
        <v>128572.96</v>
      </c>
      <c r="F649" s="9" t="n">
        <v>0</v>
      </c>
      <c r="G649" s="8" t="inlineStr">
        <is>
          <t>C1192180200</t>
        </is>
      </c>
      <c r="H649" s="9" t="n">
        <v>196488.42</v>
      </c>
      <c r="I649" s="9" t="n">
        <v>325061.38</v>
      </c>
      <c r="J649" s="11" t="n">
        <v>1</v>
      </c>
      <c r="K649" s="8" t="n">
        <v>0</v>
      </c>
      <c r="L649" s="8" t="n">
        <v>1</v>
      </c>
      <c r="M649" s="9" t="n">
        <v>67915.46000000001</v>
      </c>
      <c r="N649" s="9" t="n">
        <v>0</v>
      </c>
      <c r="O649" s="9" t="n">
        <v>0</v>
      </c>
      <c r="P649" s="8" t="n">
        <v>1</v>
      </c>
      <c r="Q649" s="8" t="n">
        <v>1</v>
      </c>
    </row>
    <row r="650">
      <c r="A650" s="8" t="n">
        <v>209</v>
      </c>
      <c r="B650" s="8" t="inlineStr">
        <is>
          <t>PAYMENT</t>
        </is>
      </c>
      <c r="C650" s="9" t="n">
        <v>52678.26</v>
      </c>
      <c r="D650" s="8" t="inlineStr">
        <is>
          <t>C1070537823</t>
        </is>
      </c>
      <c r="E650" s="9" t="n">
        <v>166350.01</v>
      </c>
      <c r="F650" s="9" t="n">
        <v>113671.75</v>
      </c>
      <c r="G650" s="8" t="inlineStr">
        <is>
          <t>M413035860</t>
        </is>
      </c>
      <c r="H650" s="9" t="n">
        <v>0</v>
      </c>
      <c r="I650" s="9" t="n">
        <v>0</v>
      </c>
      <c r="J650" s="10" t="n">
        <v>0</v>
      </c>
      <c r="K650" s="8" t="n">
        <v>1</v>
      </c>
      <c r="L650" s="8" t="n">
        <v>0</v>
      </c>
      <c r="M650" s="9" t="n">
        <v>166350.01</v>
      </c>
      <c r="N650" s="9" t="n">
        <v>0</v>
      </c>
      <c r="O650" s="9" t="n">
        <v>52678.26</v>
      </c>
      <c r="P650" s="8" t="n">
        <v>0</v>
      </c>
      <c r="Q650" s="8" t="n">
        <v>1</v>
      </c>
    </row>
    <row r="651">
      <c r="A651" s="8" t="n">
        <v>722</v>
      </c>
      <c r="B651" s="8" t="inlineStr">
        <is>
          <t>TRANSFER</t>
        </is>
      </c>
      <c r="C651" s="9" t="n">
        <v>59263.88</v>
      </c>
      <c r="D651" s="8" t="inlineStr">
        <is>
          <t>C2141452552</t>
        </is>
      </c>
      <c r="E651" s="9" t="n">
        <v>59263.88</v>
      </c>
      <c r="F651" s="9" t="n">
        <v>0</v>
      </c>
      <c r="G651" s="8" t="inlineStr">
        <is>
          <t>C1620015007</t>
        </is>
      </c>
      <c r="H651" s="9" t="n">
        <v>0</v>
      </c>
      <c r="I651" s="9" t="n">
        <v>0</v>
      </c>
      <c r="J651" s="11" t="n">
        <v>1</v>
      </c>
      <c r="K651" s="8" t="n">
        <v>0</v>
      </c>
      <c r="L651" s="8" t="n">
        <v>1</v>
      </c>
      <c r="M651" s="9" t="n">
        <v>59263.88</v>
      </c>
      <c r="N651" s="9" t="n">
        <v>0</v>
      </c>
      <c r="O651" s="9" t="n">
        <v>59263.88</v>
      </c>
      <c r="P651" s="8" t="n">
        <v>1</v>
      </c>
      <c r="Q651" s="8" t="n">
        <v>1</v>
      </c>
    </row>
    <row r="652">
      <c r="A652" s="8" t="n">
        <v>235</v>
      </c>
      <c r="B652" s="8" t="inlineStr">
        <is>
          <t>CASH_OUT</t>
        </is>
      </c>
      <c r="C652" s="9" t="n">
        <v>161507.71</v>
      </c>
      <c r="D652" s="8" t="inlineStr">
        <is>
          <t>C737426775</t>
        </is>
      </c>
      <c r="E652" s="9" t="n">
        <v>0</v>
      </c>
      <c r="F652" s="9" t="n">
        <v>0</v>
      </c>
      <c r="G652" s="8" t="inlineStr">
        <is>
          <t>C1882682792</t>
        </is>
      </c>
      <c r="H652" s="9" t="n">
        <v>192496.97</v>
      </c>
      <c r="I652" s="9" t="n">
        <v>354004.67</v>
      </c>
      <c r="J652" s="10" t="n">
        <v>0</v>
      </c>
      <c r="K652" s="8" t="n">
        <v>0</v>
      </c>
      <c r="L652" s="8" t="n">
        <v>1</v>
      </c>
      <c r="M652" s="9" t="n">
        <v>192496.97</v>
      </c>
      <c r="N652" s="9" t="n">
        <v>161507.71</v>
      </c>
      <c r="O652" s="9" t="n">
        <v>0.01</v>
      </c>
      <c r="P652" s="8" t="n">
        <v>1</v>
      </c>
      <c r="Q652" s="8" t="n">
        <v>0</v>
      </c>
    </row>
    <row r="653">
      <c r="A653" s="8" t="n">
        <v>37</v>
      </c>
      <c r="B653" s="8" t="inlineStr">
        <is>
          <t>CASH_IN</t>
        </is>
      </c>
      <c r="C653" s="9" t="n">
        <v>184338.32</v>
      </c>
      <c r="D653" s="8" t="inlineStr">
        <is>
          <t>C2080024511</t>
        </is>
      </c>
      <c r="E653" s="9" t="n">
        <v>275</v>
      </c>
      <c r="F653" s="9" t="n">
        <v>184613.32</v>
      </c>
      <c r="G653" s="8" t="inlineStr">
        <is>
          <t>C1680525470</t>
        </is>
      </c>
      <c r="H653" s="9" t="n">
        <v>0</v>
      </c>
      <c r="I653" s="9" t="n">
        <v>0</v>
      </c>
      <c r="J653" s="10" t="n">
        <v>0</v>
      </c>
      <c r="K653" s="8" t="n">
        <v>0</v>
      </c>
      <c r="L653" s="8" t="n">
        <v>0</v>
      </c>
      <c r="M653" s="9" t="n">
        <v>275</v>
      </c>
      <c r="N653" s="9" t="n">
        <v>368676.64</v>
      </c>
      <c r="O653" s="9" t="n">
        <v>184338.32</v>
      </c>
      <c r="P653" s="8" t="n">
        <v>1</v>
      </c>
      <c r="Q653" s="8" t="n">
        <v>0</v>
      </c>
    </row>
    <row r="654">
      <c r="A654" s="8" t="n">
        <v>162</v>
      </c>
      <c r="B654" s="8" t="inlineStr">
        <is>
          <t>CASH_OUT</t>
        </is>
      </c>
      <c r="C654" s="9" t="n">
        <v>377424.3</v>
      </c>
      <c r="D654" s="8" t="inlineStr">
        <is>
          <t>C382185519</t>
        </is>
      </c>
      <c r="E654" s="9" t="n">
        <v>0</v>
      </c>
      <c r="F654" s="9" t="n">
        <v>0</v>
      </c>
      <c r="G654" s="8" t="inlineStr">
        <is>
          <t>C502692732</t>
        </is>
      </c>
      <c r="H654" s="9" t="n">
        <v>589719.91</v>
      </c>
      <c r="I654" s="9" t="n">
        <v>967144.21</v>
      </c>
      <c r="J654" s="10" t="n">
        <v>0</v>
      </c>
      <c r="K654" s="8" t="n">
        <v>0</v>
      </c>
      <c r="L654" s="8" t="n">
        <v>1</v>
      </c>
      <c r="M654" s="9" t="n">
        <v>589719.91</v>
      </c>
      <c r="N654" s="9" t="n">
        <v>377424.3</v>
      </c>
      <c r="O654" s="9" t="n">
        <v>0</v>
      </c>
      <c r="P654" s="8" t="n">
        <v>1</v>
      </c>
      <c r="Q654" s="8" t="n">
        <v>0</v>
      </c>
    </row>
    <row r="655">
      <c r="A655" s="8" t="n">
        <v>400</v>
      </c>
      <c r="B655" s="8" t="inlineStr">
        <is>
          <t>CASH_OUT</t>
        </is>
      </c>
      <c r="C655" s="9" t="n">
        <v>54996.26</v>
      </c>
      <c r="D655" s="8" t="inlineStr">
        <is>
          <t>C631795663</t>
        </is>
      </c>
      <c r="E655" s="9" t="n">
        <v>0</v>
      </c>
      <c r="F655" s="9" t="n">
        <v>0</v>
      </c>
      <c r="G655" s="8" t="inlineStr">
        <is>
          <t>C1998142792</t>
        </is>
      </c>
      <c r="H655" s="9" t="n">
        <v>82238.5</v>
      </c>
      <c r="I655" s="9" t="n">
        <v>137234.76</v>
      </c>
      <c r="J655" s="10" t="n">
        <v>0</v>
      </c>
      <c r="K655" s="8" t="n">
        <v>0</v>
      </c>
      <c r="L655" s="8" t="n">
        <v>1</v>
      </c>
      <c r="M655" s="9" t="n">
        <v>82238.5</v>
      </c>
      <c r="N655" s="9" t="n">
        <v>54996.26</v>
      </c>
      <c r="O655" s="9" t="n">
        <v>0</v>
      </c>
      <c r="P655" s="8" t="n">
        <v>1</v>
      </c>
      <c r="Q655" s="8" t="n">
        <v>0</v>
      </c>
    </row>
    <row r="656">
      <c r="A656" s="8" t="n">
        <v>140</v>
      </c>
      <c r="B656" s="8" t="inlineStr">
        <is>
          <t>CASH_OUT</t>
        </is>
      </c>
      <c r="C656" s="9" t="n">
        <v>98918.12</v>
      </c>
      <c r="D656" s="8" t="inlineStr">
        <is>
          <t>C1472915289</t>
        </is>
      </c>
      <c r="E656" s="9" t="n">
        <v>98918.12</v>
      </c>
      <c r="F656" s="9" t="n">
        <v>0</v>
      </c>
      <c r="G656" s="8" t="inlineStr">
        <is>
          <t>C311901651</t>
        </is>
      </c>
      <c r="H656" s="9" t="n">
        <v>7257771.83</v>
      </c>
      <c r="I656" s="9" t="n">
        <v>7356689.94</v>
      </c>
      <c r="J656" s="11" t="n">
        <v>1</v>
      </c>
      <c r="K656" s="8" t="n">
        <v>0</v>
      </c>
      <c r="L656" s="8" t="n">
        <v>1</v>
      </c>
      <c r="M656" s="9" t="n">
        <v>7158853.71</v>
      </c>
      <c r="N656" s="9" t="n">
        <v>0</v>
      </c>
      <c r="O656" s="9" t="n">
        <v>0.01</v>
      </c>
      <c r="P656" s="8" t="n">
        <v>1</v>
      </c>
      <c r="Q656" s="8" t="n">
        <v>1</v>
      </c>
    </row>
    <row r="657">
      <c r="A657" s="8" t="n">
        <v>209</v>
      </c>
      <c r="B657" s="8" t="inlineStr">
        <is>
          <t>CASH_IN</t>
        </is>
      </c>
      <c r="C657" s="9" t="n">
        <v>131052.57</v>
      </c>
      <c r="D657" s="8" t="inlineStr">
        <is>
          <t>C1810704184</t>
        </is>
      </c>
      <c r="E657" s="9" t="n">
        <v>6309359.57</v>
      </c>
      <c r="F657" s="9" t="n">
        <v>6440412.14</v>
      </c>
      <c r="G657" s="8" t="inlineStr">
        <is>
          <t>C1949982384</t>
        </is>
      </c>
      <c r="H657" s="9" t="n">
        <v>248571.53</v>
      </c>
      <c r="I657" s="9" t="n">
        <v>117518.96</v>
      </c>
      <c r="J657" s="10" t="n">
        <v>0</v>
      </c>
      <c r="K657" s="8" t="n">
        <v>0</v>
      </c>
      <c r="L657" s="8" t="n">
        <v>0</v>
      </c>
      <c r="M657" s="9" t="n">
        <v>6060788.04</v>
      </c>
      <c r="N657" s="9" t="n">
        <v>262105.14</v>
      </c>
      <c r="O657" s="9" t="n">
        <v>262105.14</v>
      </c>
      <c r="P657" s="8" t="n">
        <v>1</v>
      </c>
      <c r="Q657" s="8" t="n">
        <v>0</v>
      </c>
    </row>
    <row r="658">
      <c r="A658" s="8" t="n">
        <v>206</v>
      </c>
      <c r="B658" s="8" t="inlineStr">
        <is>
          <t>CASH_OUT</t>
        </is>
      </c>
      <c r="C658" s="9" t="n">
        <v>328519.64</v>
      </c>
      <c r="D658" s="8" t="inlineStr">
        <is>
          <t>C229585011</t>
        </is>
      </c>
      <c r="E658" s="9" t="n">
        <v>106851</v>
      </c>
      <c r="F658" s="9" t="n">
        <v>0</v>
      </c>
      <c r="G658" s="8" t="inlineStr">
        <is>
          <t>C1535001139</t>
        </is>
      </c>
      <c r="H658" s="9" t="n">
        <v>153879.33</v>
      </c>
      <c r="I658" s="9" t="n">
        <v>482398.98</v>
      </c>
      <c r="J658" s="10" t="n">
        <v>0</v>
      </c>
      <c r="K658" s="8" t="n">
        <v>0</v>
      </c>
      <c r="L658" s="8" t="n">
        <v>1</v>
      </c>
      <c r="M658" s="9" t="n">
        <v>47028.32999999999</v>
      </c>
      <c r="N658" s="9" t="n">
        <v>221668.64</v>
      </c>
      <c r="O658" s="9" t="n">
        <v>-0.01</v>
      </c>
      <c r="P658" s="8" t="n">
        <v>1</v>
      </c>
      <c r="Q658" s="8" t="n">
        <v>0</v>
      </c>
    </row>
    <row r="659">
      <c r="A659" s="8" t="n">
        <v>459</v>
      </c>
      <c r="B659" s="8" t="inlineStr">
        <is>
          <t>CASH_OUT</t>
        </is>
      </c>
      <c r="C659" s="9" t="n">
        <v>1153156</v>
      </c>
      <c r="D659" s="8" t="inlineStr">
        <is>
          <t>C165575041</t>
        </is>
      </c>
      <c r="E659" s="9" t="n">
        <v>1153156</v>
      </c>
      <c r="F659" s="9" t="n">
        <v>0</v>
      </c>
      <c r="G659" s="8" t="inlineStr">
        <is>
          <t>C1041543827</t>
        </is>
      </c>
      <c r="H659" s="9" t="n">
        <v>0</v>
      </c>
      <c r="I659" s="9" t="n">
        <v>1153156</v>
      </c>
      <c r="J659" s="11" t="n">
        <v>1</v>
      </c>
      <c r="K659" s="8" t="n">
        <v>0</v>
      </c>
      <c r="L659" s="8" t="n">
        <v>1</v>
      </c>
      <c r="M659" s="9" t="n">
        <v>1153156</v>
      </c>
      <c r="N659" s="9" t="n">
        <v>0</v>
      </c>
      <c r="O659" s="9" t="n">
        <v>0</v>
      </c>
      <c r="P659" s="8" t="n">
        <v>1</v>
      </c>
      <c r="Q659" s="8" t="n">
        <v>1</v>
      </c>
    </row>
    <row r="660">
      <c r="A660" s="8" t="n">
        <v>379</v>
      </c>
      <c r="B660" s="8" t="inlineStr">
        <is>
          <t>PAYMENT</t>
        </is>
      </c>
      <c r="C660" s="9" t="n">
        <v>328.46</v>
      </c>
      <c r="D660" s="8" t="inlineStr">
        <is>
          <t>C135424163</t>
        </is>
      </c>
      <c r="E660" s="9" t="n">
        <v>20942</v>
      </c>
      <c r="F660" s="9" t="n">
        <v>20613.54</v>
      </c>
      <c r="G660" s="8" t="inlineStr">
        <is>
          <t>M1978408060</t>
        </is>
      </c>
      <c r="H660" s="9" t="n">
        <v>0</v>
      </c>
      <c r="I660" s="9" t="n">
        <v>0</v>
      </c>
      <c r="J660" s="10" t="n">
        <v>0</v>
      </c>
      <c r="K660" s="8" t="n">
        <v>1</v>
      </c>
      <c r="L660" s="8" t="n">
        <v>0</v>
      </c>
      <c r="M660" s="9" t="n">
        <v>20942</v>
      </c>
      <c r="N660" s="9" t="n">
        <v>0</v>
      </c>
      <c r="O660" s="9" t="n">
        <v>328.46</v>
      </c>
      <c r="P660" s="8" t="n">
        <v>0</v>
      </c>
      <c r="Q660" s="8" t="n">
        <v>1</v>
      </c>
    </row>
    <row r="661">
      <c r="A661" s="8" t="n">
        <v>28</v>
      </c>
      <c r="B661" s="8" t="inlineStr">
        <is>
          <t>TRANSFER</t>
        </is>
      </c>
      <c r="C661" s="9" t="n">
        <v>3832058.34</v>
      </c>
      <c r="D661" s="8" t="inlineStr">
        <is>
          <t>C1279307827</t>
        </is>
      </c>
      <c r="E661" s="9" t="n">
        <v>3832058.34</v>
      </c>
      <c r="F661" s="9" t="n">
        <v>0</v>
      </c>
      <c r="G661" s="8" t="inlineStr">
        <is>
          <t>C1124913173</t>
        </is>
      </c>
      <c r="H661" s="9" t="n">
        <v>0</v>
      </c>
      <c r="I661" s="9" t="n">
        <v>0</v>
      </c>
      <c r="J661" s="11" t="n">
        <v>1</v>
      </c>
      <c r="K661" s="8" t="n">
        <v>0</v>
      </c>
      <c r="L661" s="8" t="n">
        <v>1</v>
      </c>
      <c r="M661" s="9" t="n">
        <v>3832058.34</v>
      </c>
      <c r="N661" s="9" t="n">
        <v>0</v>
      </c>
      <c r="O661" s="9" t="n">
        <v>3832058.34</v>
      </c>
      <c r="P661" s="8" t="n">
        <v>1</v>
      </c>
      <c r="Q661" s="8" t="n">
        <v>1</v>
      </c>
    </row>
    <row r="662">
      <c r="A662" s="8" t="n">
        <v>552</v>
      </c>
      <c r="B662" s="8" t="inlineStr">
        <is>
          <t>TRANSFER</t>
        </is>
      </c>
      <c r="C662" s="9" t="n">
        <v>221077.97</v>
      </c>
      <c r="D662" s="8" t="inlineStr">
        <is>
          <t>C2136556787</t>
        </is>
      </c>
      <c r="E662" s="9" t="n">
        <v>221077.97</v>
      </c>
      <c r="F662" s="9" t="n">
        <v>0</v>
      </c>
      <c r="G662" s="8" t="inlineStr">
        <is>
          <t>C926634161</t>
        </is>
      </c>
      <c r="H662" s="9" t="n">
        <v>0</v>
      </c>
      <c r="I662" s="9" t="n">
        <v>0</v>
      </c>
      <c r="J662" s="11" t="n">
        <v>1</v>
      </c>
      <c r="K662" s="8" t="n">
        <v>0</v>
      </c>
      <c r="L662" s="8" t="n">
        <v>1</v>
      </c>
      <c r="M662" s="9" t="n">
        <v>221077.97</v>
      </c>
      <c r="N662" s="9" t="n">
        <v>0</v>
      </c>
      <c r="O662" s="9" t="n">
        <v>221077.97</v>
      </c>
      <c r="P662" s="8" t="n">
        <v>1</v>
      </c>
      <c r="Q662" s="8" t="n">
        <v>1</v>
      </c>
    </row>
    <row r="663">
      <c r="A663" s="8" t="n">
        <v>122</v>
      </c>
      <c r="B663" s="8" t="inlineStr">
        <is>
          <t>CASH_OUT</t>
        </is>
      </c>
      <c r="C663" s="9" t="n">
        <v>91637.50999999999</v>
      </c>
      <c r="D663" s="8" t="inlineStr">
        <is>
          <t>C1556025752</t>
        </is>
      </c>
      <c r="E663" s="9" t="n">
        <v>91637.50999999999</v>
      </c>
      <c r="F663" s="9" t="n">
        <v>0</v>
      </c>
      <c r="G663" s="8" t="inlineStr">
        <is>
          <t>C1407010141</t>
        </is>
      </c>
      <c r="H663" s="9" t="n">
        <v>7336697.67</v>
      </c>
      <c r="I663" s="9" t="n">
        <v>7428335.18</v>
      </c>
      <c r="J663" s="11" t="n">
        <v>1</v>
      </c>
      <c r="K663" s="8" t="n">
        <v>0</v>
      </c>
      <c r="L663" s="8" t="n">
        <v>1</v>
      </c>
      <c r="M663" s="9" t="n">
        <v>7245060.16</v>
      </c>
      <c r="N663" s="9" t="n">
        <v>0</v>
      </c>
      <c r="O663" s="9" t="n">
        <v>0</v>
      </c>
      <c r="P663" s="8" t="n">
        <v>1</v>
      </c>
      <c r="Q663" s="8" t="n">
        <v>1</v>
      </c>
    </row>
    <row r="664">
      <c r="A664" s="8" t="n">
        <v>131</v>
      </c>
      <c r="B664" s="8" t="inlineStr">
        <is>
          <t>PAYMENT</t>
        </is>
      </c>
      <c r="C664" s="9" t="n">
        <v>20862.08</v>
      </c>
      <c r="D664" s="8" t="inlineStr">
        <is>
          <t>C966241720</t>
        </is>
      </c>
      <c r="E664" s="9" t="n">
        <v>0</v>
      </c>
      <c r="F664" s="9" t="n">
        <v>0</v>
      </c>
      <c r="G664" s="8" t="inlineStr">
        <is>
          <t>M1104611459</t>
        </is>
      </c>
      <c r="H664" s="9" t="n">
        <v>0</v>
      </c>
      <c r="I664" s="9" t="n">
        <v>0</v>
      </c>
      <c r="J664" s="10" t="n">
        <v>0</v>
      </c>
      <c r="K664" s="8" t="n">
        <v>1</v>
      </c>
      <c r="L664" s="8" t="n">
        <v>0</v>
      </c>
      <c r="M664" s="9" t="n">
        <v>0</v>
      </c>
      <c r="N664" s="9" t="n">
        <v>20862.08</v>
      </c>
      <c r="O664" s="9" t="n">
        <v>20862.08</v>
      </c>
      <c r="P664" s="8" t="n">
        <v>0</v>
      </c>
      <c r="Q664" s="8" t="n">
        <v>0</v>
      </c>
    </row>
    <row r="665">
      <c r="A665" s="8" t="n">
        <v>576</v>
      </c>
      <c r="B665" s="8" t="inlineStr">
        <is>
          <t>CASH_OUT</t>
        </is>
      </c>
      <c r="C665" s="9" t="n">
        <v>28284.88</v>
      </c>
      <c r="D665" s="8" t="inlineStr">
        <is>
          <t>C1126995065</t>
        </is>
      </c>
      <c r="E665" s="9" t="n">
        <v>28284.88</v>
      </c>
      <c r="F665" s="9" t="n">
        <v>0</v>
      </c>
      <c r="G665" s="8" t="inlineStr">
        <is>
          <t>C1039822411</t>
        </is>
      </c>
      <c r="H665" s="9" t="n">
        <v>477021.43</v>
      </c>
      <c r="I665" s="9" t="n">
        <v>505306.31</v>
      </c>
      <c r="J665" s="11" t="n">
        <v>1</v>
      </c>
      <c r="K665" s="8" t="n">
        <v>0</v>
      </c>
      <c r="L665" s="8" t="n">
        <v>1</v>
      </c>
      <c r="M665" s="9" t="n">
        <v>448736.55</v>
      </c>
      <c r="N665" s="9" t="n">
        <v>0</v>
      </c>
      <c r="O665" s="9" t="n">
        <v>0</v>
      </c>
      <c r="P665" s="8" t="n">
        <v>1</v>
      </c>
      <c r="Q665" s="8" t="n">
        <v>1</v>
      </c>
    </row>
    <row r="666">
      <c r="A666" s="8" t="n">
        <v>300</v>
      </c>
      <c r="B666" s="8" t="inlineStr">
        <is>
          <t>PAYMENT</t>
        </is>
      </c>
      <c r="C666" s="9" t="n">
        <v>32993.58</v>
      </c>
      <c r="D666" s="8" t="inlineStr">
        <is>
          <t>C1045637476</t>
        </is>
      </c>
      <c r="E666" s="9" t="n">
        <v>0</v>
      </c>
      <c r="F666" s="9" t="n">
        <v>0</v>
      </c>
      <c r="G666" s="8" t="inlineStr">
        <is>
          <t>M565764136</t>
        </is>
      </c>
      <c r="H666" s="9" t="n">
        <v>0</v>
      </c>
      <c r="I666" s="9" t="n">
        <v>0</v>
      </c>
      <c r="J666" s="10" t="n">
        <v>0</v>
      </c>
      <c r="K666" s="8" t="n">
        <v>1</v>
      </c>
      <c r="L666" s="8" t="n">
        <v>0</v>
      </c>
      <c r="M666" s="9" t="n">
        <v>0</v>
      </c>
      <c r="N666" s="9" t="n">
        <v>32993.58</v>
      </c>
      <c r="O666" s="9" t="n">
        <v>32993.58</v>
      </c>
      <c r="P666" s="8" t="n">
        <v>0</v>
      </c>
      <c r="Q666" s="8" t="n">
        <v>0</v>
      </c>
    </row>
    <row r="667">
      <c r="A667" s="8" t="n">
        <v>258</v>
      </c>
      <c r="B667" s="8" t="inlineStr">
        <is>
          <t>PAYMENT</t>
        </is>
      </c>
      <c r="C667" s="9" t="n">
        <v>12699.62</v>
      </c>
      <c r="D667" s="8" t="inlineStr">
        <is>
          <t>C1353564679</t>
        </is>
      </c>
      <c r="E667" s="9" t="n">
        <v>274161</v>
      </c>
      <c r="F667" s="9" t="n">
        <v>261461.38</v>
      </c>
      <c r="G667" s="8" t="inlineStr">
        <is>
          <t>M1683087176</t>
        </is>
      </c>
      <c r="H667" s="9" t="n">
        <v>0</v>
      </c>
      <c r="I667" s="9" t="n">
        <v>0</v>
      </c>
      <c r="J667" s="10" t="n">
        <v>0</v>
      </c>
      <c r="K667" s="8" t="n">
        <v>1</v>
      </c>
      <c r="L667" s="8" t="n">
        <v>0</v>
      </c>
      <c r="M667" s="9" t="n">
        <v>274161</v>
      </c>
      <c r="N667" s="9" t="n">
        <v>0</v>
      </c>
      <c r="O667" s="9" t="n">
        <v>12699.62</v>
      </c>
      <c r="P667" s="8" t="n">
        <v>0</v>
      </c>
      <c r="Q667" s="8" t="n">
        <v>1</v>
      </c>
    </row>
    <row r="668">
      <c r="A668" s="8" t="n">
        <v>209</v>
      </c>
      <c r="B668" s="8" t="inlineStr">
        <is>
          <t>PAYMENT</t>
        </is>
      </c>
      <c r="C668" s="9" t="n">
        <v>709</v>
      </c>
      <c r="D668" s="8" t="inlineStr">
        <is>
          <t>C1781537466</t>
        </is>
      </c>
      <c r="E668" s="9" t="n">
        <v>31679</v>
      </c>
      <c r="F668" s="9" t="n">
        <v>30970</v>
      </c>
      <c r="G668" s="8" t="inlineStr">
        <is>
          <t>M145393768</t>
        </is>
      </c>
      <c r="H668" s="9" t="n">
        <v>0</v>
      </c>
      <c r="I668" s="9" t="n">
        <v>0</v>
      </c>
      <c r="J668" s="10" t="n">
        <v>0</v>
      </c>
      <c r="K668" s="8" t="n">
        <v>1</v>
      </c>
      <c r="L668" s="8" t="n">
        <v>0</v>
      </c>
      <c r="M668" s="9" t="n">
        <v>31679</v>
      </c>
      <c r="N668" s="9" t="n">
        <v>0</v>
      </c>
      <c r="O668" s="9" t="n">
        <v>709</v>
      </c>
      <c r="P668" s="8" t="n">
        <v>0</v>
      </c>
      <c r="Q668" s="8" t="n">
        <v>1</v>
      </c>
    </row>
    <row r="669">
      <c r="A669" s="8" t="n">
        <v>142</v>
      </c>
      <c r="B669" s="8" t="inlineStr">
        <is>
          <t>CASH_OUT</t>
        </is>
      </c>
      <c r="C669" s="9" t="n">
        <v>346374.54</v>
      </c>
      <c r="D669" s="8" t="inlineStr">
        <is>
          <t>C1493875505</t>
        </is>
      </c>
      <c r="E669" s="9" t="n">
        <v>346374.54</v>
      </c>
      <c r="F669" s="9" t="n">
        <v>0</v>
      </c>
      <c r="G669" s="8" t="inlineStr">
        <is>
          <t>C675229754</t>
        </is>
      </c>
      <c r="H669" s="9" t="n">
        <v>0</v>
      </c>
      <c r="I669" s="9" t="n">
        <v>346374.54</v>
      </c>
      <c r="J669" s="11" t="n">
        <v>1</v>
      </c>
      <c r="K669" s="8" t="n">
        <v>0</v>
      </c>
      <c r="L669" s="8" t="n">
        <v>1</v>
      </c>
      <c r="M669" s="9" t="n">
        <v>346374.54</v>
      </c>
      <c r="N669" s="9" t="n">
        <v>0</v>
      </c>
      <c r="O669" s="9" t="n">
        <v>0</v>
      </c>
      <c r="P669" s="8" t="n">
        <v>1</v>
      </c>
      <c r="Q669" s="8" t="n">
        <v>1</v>
      </c>
    </row>
    <row r="670">
      <c r="A670" s="8" t="n">
        <v>202</v>
      </c>
      <c r="B670" s="8" t="inlineStr">
        <is>
          <t>CASH_OUT</t>
        </is>
      </c>
      <c r="C670" s="9" t="n">
        <v>154108.4</v>
      </c>
      <c r="D670" s="8" t="inlineStr">
        <is>
          <t>C86419942</t>
        </is>
      </c>
      <c r="E670" s="9" t="n">
        <v>161219</v>
      </c>
      <c r="F670" s="9" t="n">
        <v>7110.6</v>
      </c>
      <c r="G670" s="8" t="inlineStr">
        <is>
          <t>C113886386</t>
        </is>
      </c>
      <c r="H670" s="9" t="n">
        <v>0</v>
      </c>
      <c r="I670" s="9" t="n">
        <v>154108.4</v>
      </c>
      <c r="J670" s="10" t="n">
        <v>0</v>
      </c>
      <c r="K670" s="8" t="n">
        <v>0</v>
      </c>
      <c r="L670" s="8" t="n">
        <v>1</v>
      </c>
      <c r="M670" s="9" t="n">
        <v>161219</v>
      </c>
      <c r="N670" s="9" t="n">
        <v>0</v>
      </c>
      <c r="O670" s="9" t="n">
        <v>0</v>
      </c>
      <c r="P670" s="8" t="n">
        <v>1</v>
      </c>
      <c r="Q670" s="8" t="n">
        <v>1</v>
      </c>
    </row>
    <row r="671">
      <c r="A671" s="8" t="n">
        <v>187</v>
      </c>
      <c r="B671" s="8" t="inlineStr">
        <is>
          <t>CASH_OUT</t>
        </is>
      </c>
      <c r="C671" s="9" t="n">
        <v>341381.71</v>
      </c>
      <c r="D671" s="8" t="inlineStr">
        <is>
          <t>C1624818963</t>
        </is>
      </c>
      <c r="E671" s="9" t="n">
        <v>3439</v>
      </c>
      <c r="F671" s="9" t="n">
        <v>0</v>
      </c>
      <c r="G671" s="8" t="inlineStr">
        <is>
          <t>C1616128662</t>
        </is>
      </c>
      <c r="H671" s="9" t="n">
        <v>6876829.16</v>
      </c>
      <c r="I671" s="9" t="n">
        <v>7218210.88</v>
      </c>
      <c r="J671" s="10" t="n">
        <v>0</v>
      </c>
      <c r="K671" s="8" t="n">
        <v>0</v>
      </c>
      <c r="L671" s="8" t="n">
        <v>1</v>
      </c>
      <c r="M671" s="9" t="n">
        <v>6873390.16</v>
      </c>
      <c r="N671" s="9" t="n">
        <v>337942.71</v>
      </c>
      <c r="O671" s="9" t="n">
        <v>-0.01</v>
      </c>
      <c r="P671" s="8" t="n">
        <v>1</v>
      </c>
      <c r="Q671" s="8" t="n">
        <v>0</v>
      </c>
    </row>
    <row r="672">
      <c r="A672" s="8" t="n">
        <v>393</v>
      </c>
      <c r="B672" s="8" t="inlineStr">
        <is>
          <t>CASH_OUT</t>
        </is>
      </c>
      <c r="C672" s="9" t="n">
        <v>432958.83</v>
      </c>
      <c r="D672" s="8" t="inlineStr">
        <is>
          <t>C2043309958</t>
        </is>
      </c>
      <c r="E672" s="9" t="n">
        <v>432958.83</v>
      </c>
      <c r="F672" s="9" t="n">
        <v>0</v>
      </c>
      <c r="G672" s="8" t="inlineStr">
        <is>
          <t>C1494581610</t>
        </is>
      </c>
      <c r="H672" s="9" t="n">
        <v>0</v>
      </c>
      <c r="I672" s="9" t="n">
        <v>432958.83</v>
      </c>
      <c r="J672" s="11" t="n">
        <v>1</v>
      </c>
      <c r="K672" s="8" t="n">
        <v>0</v>
      </c>
      <c r="L672" s="8" t="n">
        <v>1</v>
      </c>
      <c r="M672" s="9" t="n">
        <v>432958.83</v>
      </c>
      <c r="N672" s="9" t="n">
        <v>0</v>
      </c>
      <c r="O672" s="9" t="n">
        <v>0</v>
      </c>
      <c r="P672" s="8" t="n">
        <v>1</v>
      </c>
      <c r="Q672" s="8" t="n">
        <v>1</v>
      </c>
    </row>
    <row r="673">
      <c r="A673" s="8" t="n">
        <v>354</v>
      </c>
      <c r="B673" s="8" t="inlineStr">
        <is>
          <t>CASH_OUT</t>
        </is>
      </c>
      <c r="C673" s="9" t="n">
        <v>66550</v>
      </c>
      <c r="D673" s="8" t="inlineStr">
        <is>
          <t>C550781139</t>
        </is>
      </c>
      <c r="E673" s="9" t="n">
        <v>66550</v>
      </c>
      <c r="F673" s="9" t="n">
        <v>0</v>
      </c>
      <c r="G673" s="8" t="inlineStr">
        <is>
          <t>C335413710</t>
        </is>
      </c>
      <c r="H673" s="9" t="n">
        <v>0</v>
      </c>
      <c r="I673" s="9" t="n">
        <v>66550</v>
      </c>
      <c r="J673" s="11" t="n">
        <v>1</v>
      </c>
      <c r="K673" s="8" t="n">
        <v>0</v>
      </c>
      <c r="L673" s="8" t="n">
        <v>1</v>
      </c>
      <c r="M673" s="9" t="n">
        <v>66550</v>
      </c>
      <c r="N673" s="9" t="n">
        <v>0</v>
      </c>
      <c r="O673" s="9" t="n">
        <v>0</v>
      </c>
      <c r="P673" s="8" t="n">
        <v>1</v>
      </c>
      <c r="Q673" s="8" t="n">
        <v>1</v>
      </c>
    </row>
    <row r="674">
      <c r="A674" s="8" t="n">
        <v>228</v>
      </c>
      <c r="B674" s="8" t="inlineStr">
        <is>
          <t>CASH_OUT</t>
        </is>
      </c>
      <c r="C674" s="9" t="n">
        <v>153328.06</v>
      </c>
      <c r="D674" s="8" t="inlineStr">
        <is>
          <t>C637286117</t>
        </is>
      </c>
      <c r="E674" s="9" t="n">
        <v>0</v>
      </c>
      <c r="F674" s="9" t="n">
        <v>0</v>
      </c>
      <c r="G674" s="8" t="inlineStr">
        <is>
          <t>C414256296</t>
        </is>
      </c>
      <c r="H674" s="9" t="n">
        <v>3457224.44</v>
      </c>
      <c r="I674" s="9" t="n">
        <v>3610552.49</v>
      </c>
      <c r="J674" s="10" t="n">
        <v>0</v>
      </c>
      <c r="K674" s="8" t="n">
        <v>0</v>
      </c>
      <c r="L674" s="8" t="n">
        <v>1</v>
      </c>
      <c r="M674" s="9" t="n">
        <v>3457224.44</v>
      </c>
      <c r="N674" s="9" t="n">
        <v>153328.06</v>
      </c>
      <c r="O674" s="9" t="n">
        <v>0.01</v>
      </c>
      <c r="P674" s="8" t="n">
        <v>1</v>
      </c>
      <c r="Q674" s="8" t="n">
        <v>0</v>
      </c>
    </row>
    <row r="675">
      <c r="A675" s="8" t="n">
        <v>379</v>
      </c>
      <c r="B675" s="8" t="inlineStr">
        <is>
          <t>CASH_OUT</t>
        </is>
      </c>
      <c r="C675" s="9" t="n">
        <v>290649.48</v>
      </c>
      <c r="D675" s="8" t="inlineStr">
        <is>
          <t>C1675549673</t>
        </is>
      </c>
      <c r="E675" s="9" t="n">
        <v>10363</v>
      </c>
      <c r="F675" s="9" t="n">
        <v>0</v>
      </c>
      <c r="G675" s="8" t="inlineStr">
        <is>
          <t>C2114867935</t>
        </is>
      </c>
      <c r="H675" s="9" t="n">
        <v>0</v>
      </c>
      <c r="I675" s="9" t="n">
        <v>290649.48</v>
      </c>
      <c r="J675" s="10" t="n">
        <v>0</v>
      </c>
      <c r="K675" s="8" t="n">
        <v>0</v>
      </c>
      <c r="L675" s="8" t="n">
        <v>1</v>
      </c>
      <c r="M675" s="9" t="n">
        <v>10363</v>
      </c>
      <c r="N675" s="9" t="n">
        <v>280286.48</v>
      </c>
      <c r="O675" s="9" t="n">
        <v>0</v>
      </c>
      <c r="P675" s="8" t="n">
        <v>1</v>
      </c>
      <c r="Q675" s="8" t="n">
        <v>0</v>
      </c>
    </row>
    <row r="676">
      <c r="A676" s="8" t="n">
        <v>370</v>
      </c>
      <c r="B676" s="8" t="inlineStr">
        <is>
          <t>PAYMENT</t>
        </is>
      </c>
      <c r="C676" s="9" t="n">
        <v>9648.889999999999</v>
      </c>
      <c r="D676" s="8" t="inlineStr">
        <is>
          <t>C1204593012</t>
        </is>
      </c>
      <c r="E676" s="9" t="n">
        <v>363783.95</v>
      </c>
      <c r="F676" s="9" t="n">
        <v>354135.06</v>
      </c>
      <c r="G676" s="8" t="inlineStr">
        <is>
          <t>M660899153</t>
        </is>
      </c>
      <c r="H676" s="9" t="n">
        <v>0</v>
      </c>
      <c r="I676" s="9" t="n">
        <v>0</v>
      </c>
      <c r="J676" s="10" t="n">
        <v>0</v>
      </c>
      <c r="K676" s="8" t="n">
        <v>1</v>
      </c>
      <c r="L676" s="8" t="n">
        <v>0</v>
      </c>
      <c r="M676" s="9" t="n">
        <v>363783.95</v>
      </c>
      <c r="N676" s="9" t="n">
        <v>0</v>
      </c>
      <c r="O676" s="9" t="n">
        <v>9648.889999999999</v>
      </c>
      <c r="P676" s="8" t="n">
        <v>0</v>
      </c>
      <c r="Q676" s="8" t="n">
        <v>1</v>
      </c>
    </row>
    <row r="677">
      <c r="A677" s="8" t="n">
        <v>236</v>
      </c>
      <c r="B677" s="8" t="inlineStr">
        <is>
          <t>TRANSFER</t>
        </is>
      </c>
      <c r="C677" s="9" t="n">
        <v>968651.23</v>
      </c>
      <c r="D677" s="8" t="inlineStr">
        <is>
          <t>C1926006259</t>
        </is>
      </c>
      <c r="E677" s="9" t="n">
        <v>968651.23</v>
      </c>
      <c r="F677" s="9" t="n">
        <v>0</v>
      </c>
      <c r="G677" s="8" t="inlineStr">
        <is>
          <t>C1585189604</t>
        </is>
      </c>
      <c r="H677" s="9" t="n">
        <v>0</v>
      </c>
      <c r="I677" s="9" t="n">
        <v>0</v>
      </c>
      <c r="J677" s="11" t="n">
        <v>1</v>
      </c>
      <c r="K677" s="8" t="n">
        <v>0</v>
      </c>
      <c r="L677" s="8" t="n">
        <v>1</v>
      </c>
      <c r="M677" s="9" t="n">
        <v>968651.23</v>
      </c>
      <c r="N677" s="9" t="n">
        <v>0</v>
      </c>
      <c r="O677" s="9" t="n">
        <v>968651.23</v>
      </c>
      <c r="P677" s="8" t="n">
        <v>1</v>
      </c>
      <c r="Q677" s="8" t="n">
        <v>1</v>
      </c>
    </row>
    <row r="678">
      <c r="A678" s="8" t="n">
        <v>324</v>
      </c>
      <c r="B678" s="8" t="inlineStr">
        <is>
          <t>CASH_OUT</t>
        </is>
      </c>
      <c r="C678" s="9" t="n">
        <v>172745.08</v>
      </c>
      <c r="D678" s="8" t="inlineStr">
        <is>
          <t>C1567135800</t>
        </is>
      </c>
      <c r="E678" s="9" t="n">
        <v>0</v>
      </c>
      <c r="F678" s="9" t="n">
        <v>0</v>
      </c>
      <c r="G678" s="8" t="inlineStr">
        <is>
          <t>C773705472</t>
        </is>
      </c>
      <c r="H678" s="9" t="n">
        <v>529922.96</v>
      </c>
      <c r="I678" s="9" t="n">
        <v>702668.03</v>
      </c>
      <c r="J678" s="10" t="n">
        <v>0</v>
      </c>
      <c r="K678" s="8" t="n">
        <v>0</v>
      </c>
      <c r="L678" s="8" t="n">
        <v>1</v>
      </c>
      <c r="M678" s="9" t="n">
        <v>529922.96</v>
      </c>
      <c r="N678" s="9" t="n">
        <v>172745.08</v>
      </c>
      <c r="O678" s="9" t="n">
        <v>0.01</v>
      </c>
      <c r="P678" s="8" t="n">
        <v>1</v>
      </c>
      <c r="Q678" s="8" t="n">
        <v>0</v>
      </c>
    </row>
    <row r="679">
      <c r="A679" s="8" t="n">
        <v>380</v>
      </c>
      <c r="B679" s="8" t="inlineStr">
        <is>
          <t>CASH_OUT</t>
        </is>
      </c>
      <c r="C679" s="9" t="n">
        <v>298352.69</v>
      </c>
      <c r="D679" s="8" t="inlineStr">
        <is>
          <t>C1030867716</t>
        </is>
      </c>
      <c r="E679" s="9" t="n">
        <v>0</v>
      </c>
      <c r="F679" s="9" t="n">
        <v>0</v>
      </c>
      <c r="G679" s="8" t="inlineStr">
        <is>
          <t>C1484297893</t>
        </is>
      </c>
      <c r="H679" s="9" t="n">
        <v>2191655.98</v>
      </c>
      <c r="I679" s="9" t="n">
        <v>2490008.67</v>
      </c>
      <c r="J679" s="10" t="n">
        <v>0</v>
      </c>
      <c r="K679" s="8" t="n">
        <v>0</v>
      </c>
      <c r="L679" s="8" t="n">
        <v>1</v>
      </c>
      <c r="M679" s="9" t="n">
        <v>2191655.98</v>
      </c>
      <c r="N679" s="9" t="n">
        <v>298352.69</v>
      </c>
      <c r="O679" s="9" t="n">
        <v>0</v>
      </c>
      <c r="P679" s="8" t="n">
        <v>1</v>
      </c>
      <c r="Q679" s="8" t="n">
        <v>0</v>
      </c>
    </row>
    <row r="680">
      <c r="A680" s="8" t="n">
        <v>153</v>
      </c>
      <c r="B680" s="8" t="inlineStr">
        <is>
          <t>CASH_IN</t>
        </is>
      </c>
      <c r="C680" s="9" t="n">
        <v>257032.49</v>
      </c>
      <c r="D680" s="8" t="inlineStr">
        <is>
          <t>C1909539666</t>
        </is>
      </c>
      <c r="E680" s="9" t="n">
        <v>1467347.65</v>
      </c>
      <c r="F680" s="9" t="n">
        <v>1724380.13</v>
      </c>
      <c r="G680" s="8" t="inlineStr">
        <is>
          <t>C1605194819</t>
        </is>
      </c>
      <c r="H680" s="9" t="n">
        <v>355556.11</v>
      </c>
      <c r="I680" s="9" t="n">
        <v>98523.62</v>
      </c>
      <c r="J680" s="10" t="n">
        <v>0</v>
      </c>
      <c r="K680" s="8" t="n">
        <v>0</v>
      </c>
      <c r="L680" s="8" t="n">
        <v>0</v>
      </c>
      <c r="M680" s="9" t="n">
        <v>1111791.54</v>
      </c>
      <c r="N680" s="9" t="n">
        <v>514064.97</v>
      </c>
      <c r="O680" s="9" t="n">
        <v>514064.98</v>
      </c>
      <c r="P680" s="8" t="n">
        <v>1</v>
      </c>
      <c r="Q680" s="8" t="n">
        <v>0</v>
      </c>
    </row>
    <row r="681">
      <c r="A681" s="8" t="n">
        <v>204</v>
      </c>
      <c r="B681" s="8" t="inlineStr">
        <is>
          <t>PAYMENT</t>
        </is>
      </c>
      <c r="C681" s="9" t="n">
        <v>3425.31</v>
      </c>
      <c r="D681" s="8" t="inlineStr">
        <is>
          <t>C1541251926</t>
        </is>
      </c>
      <c r="E681" s="9" t="n">
        <v>0</v>
      </c>
      <c r="F681" s="9" t="n">
        <v>0</v>
      </c>
      <c r="G681" s="8" t="inlineStr">
        <is>
          <t>M257380</t>
        </is>
      </c>
      <c r="H681" s="9" t="n">
        <v>0</v>
      </c>
      <c r="I681" s="9" t="n">
        <v>0</v>
      </c>
      <c r="J681" s="10" t="n">
        <v>0</v>
      </c>
      <c r="K681" s="8" t="n">
        <v>1</v>
      </c>
      <c r="L681" s="8" t="n">
        <v>0</v>
      </c>
      <c r="M681" s="9" t="n">
        <v>0</v>
      </c>
      <c r="N681" s="9" t="n">
        <v>3425.31</v>
      </c>
      <c r="O681" s="9" t="n">
        <v>3425.31</v>
      </c>
      <c r="P681" s="8" t="n">
        <v>0</v>
      </c>
      <c r="Q681" s="8" t="n">
        <v>0</v>
      </c>
    </row>
    <row r="682">
      <c r="A682" s="8" t="n">
        <v>548</v>
      </c>
      <c r="B682" s="8" t="inlineStr">
        <is>
          <t>PAYMENT</t>
        </is>
      </c>
      <c r="C682" s="9" t="n">
        <v>21712.1</v>
      </c>
      <c r="D682" s="8" t="inlineStr">
        <is>
          <t>C261363131</t>
        </is>
      </c>
      <c r="E682" s="9" t="n">
        <v>0</v>
      </c>
      <c r="F682" s="9" t="n">
        <v>0</v>
      </c>
      <c r="G682" s="8" t="inlineStr">
        <is>
          <t>M2017095210</t>
        </is>
      </c>
      <c r="H682" s="9" t="n">
        <v>0</v>
      </c>
      <c r="I682" s="9" t="n">
        <v>0</v>
      </c>
      <c r="J682" s="10" t="n">
        <v>0</v>
      </c>
      <c r="K682" s="8" t="n">
        <v>1</v>
      </c>
      <c r="L682" s="8" t="n">
        <v>0</v>
      </c>
      <c r="M682" s="9" t="n">
        <v>0</v>
      </c>
      <c r="N682" s="9" t="n">
        <v>21712.1</v>
      </c>
      <c r="O682" s="9" t="n">
        <v>21712.1</v>
      </c>
      <c r="P682" s="8" t="n">
        <v>0</v>
      </c>
      <c r="Q682" s="8" t="n">
        <v>0</v>
      </c>
    </row>
    <row r="683">
      <c r="A683" s="8" t="n">
        <v>301</v>
      </c>
      <c r="B683" s="8" t="inlineStr">
        <is>
          <t>PAYMENT</t>
        </is>
      </c>
      <c r="C683" s="9" t="n">
        <v>60521.89</v>
      </c>
      <c r="D683" s="8" t="inlineStr">
        <is>
          <t>C8064670</t>
        </is>
      </c>
      <c r="E683" s="9" t="n">
        <v>132565</v>
      </c>
      <c r="F683" s="9" t="n">
        <v>72043.11</v>
      </c>
      <c r="G683" s="8" t="inlineStr">
        <is>
          <t>M1274141981</t>
        </is>
      </c>
      <c r="H683" s="9" t="n">
        <v>0</v>
      </c>
      <c r="I683" s="9" t="n">
        <v>0</v>
      </c>
      <c r="J683" s="10" t="n">
        <v>0</v>
      </c>
      <c r="K683" s="8" t="n">
        <v>1</v>
      </c>
      <c r="L683" s="8" t="n">
        <v>0</v>
      </c>
      <c r="M683" s="9" t="n">
        <v>132565</v>
      </c>
      <c r="N683" s="9" t="n">
        <v>0</v>
      </c>
      <c r="O683" s="9" t="n">
        <v>60521.89</v>
      </c>
      <c r="P683" s="8" t="n">
        <v>0</v>
      </c>
      <c r="Q683" s="8" t="n">
        <v>1</v>
      </c>
    </row>
    <row r="684">
      <c r="A684" s="8" t="n">
        <v>378</v>
      </c>
      <c r="B684" s="8" t="inlineStr">
        <is>
          <t>CASH_OUT</t>
        </is>
      </c>
      <c r="C684" s="9" t="n">
        <v>289053.27</v>
      </c>
      <c r="D684" s="8" t="inlineStr">
        <is>
          <t>C1596512280</t>
        </is>
      </c>
      <c r="E684" s="9" t="n">
        <v>351173</v>
      </c>
      <c r="F684" s="9" t="n">
        <v>62119.73</v>
      </c>
      <c r="G684" s="8" t="inlineStr">
        <is>
          <t>C810238472</t>
        </is>
      </c>
      <c r="H684" s="9" t="n">
        <v>0</v>
      </c>
      <c r="I684" s="9" t="n">
        <v>289053.27</v>
      </c>
      <c r="J684" s="10" t="n">
        <v>0</v>
      </c>
      <c r="K684" s="8" t="n">
        <v>0</v>
      </c>
      <c r="L684" s="8" t="n">
        <v>1</v>
      </c>
      <c r="M684" s="9" t="n">
        <v>351173</v>
      </c>
      <c r="N684" s="9" t="n">
        <v>0</v>
      </c>
      <c r="O684" s="9" t="n">
        <v>0</v>
      </c>
      <c r="P684" s="8" t="n">
        <v>1</v>
      </c>
      <c r="Q684" s="8" t="n">
        <v>1</v>
      </c>
    </row>
    <row r="685">
      <c r="A685" s="8" t="n">
        <v>355</v>
      </c>
      <c r="B685" s="8" t="inlineStr">
        <is>
          <t>PAYMENT</t>
        </is>
      </c>
      <c r="C685" s="9" t="n">
        <v>13136.43</v>
      </c>
      <c r="D685" s="8" t="inlineStr">
        <is>
          <t>C154720984</t>
        </is>
      </c>
      <c r="E685" s="9" t="n">
        <v>9046</v>
      </c>
      <c r="F685" s="9" t="n">
        <v>0</v>
      </c>
      <c r="G685" s="8" t="inlineStr">
        <is>
          <t>M1465882586</t>
        </is>
      </c>
      <c r="H685" s="9" t="n">
        <v>0</v>
      </c>
      <c r="I685" s="9" t="n">
        <v>0</v>
      </c>
      <c r="J685" s="10" t="n">
        <v>0</v>
      </c>
      <c r="K685" s="8" t="n">
        <v>1</v>
      </c>
      <c r="L685" s="8" t="n">
        <v>0</v>
      </c>
      <c r="M685" s="9" t="n">
        <v>9046</v>
      </c>
      <c r="N685" s="9" t="n">
        <v>4090.43</v>
      </c>
      <c r="O685" s="9" t="n">
        <v>13136.43</v>
      </c>
      <c r="P685" s="8" t="n">
        <v>0</v>
      </c>
      <c r="Q685" s="8" t="n">
        <v>0</v>
      </c>
    </row>
    <row r="686">
      <c r="A686" s="8" t="n">
        <v>177</v>
      </c>
      <c r="B686" s="8" t="inlineStr">
        <is>
          <t>CASH_OUT</t>
        </is>
      </c>
      <c r="C686" s="9" t="n">
        <v>166566.92</v>
      </c>
      <c r="D686" s="8" t="inlineStr">
        <is>
          <t>C1429674558</t>
        </is>
      </c>
      <c r="E686" s="9" t="n">
        <v>31452</v>
      </c>
      <c r="F686" s="9" t="n">
        <v>0</v>
      </c>
      <c r="G686" s="8" t="inlineStr">
        <is>
          <t>C2106331819</t>
        </is>
      </c>
      <c r="H686" s="9" t="n">
        <v>113883.65</v>
      </c>
      <c r="I686" s="9" t="n">
        <v>280450.57</v>
      </c>
      <c r="J686" s="10" t="n">
        <v>0</v>
      </c>
      <c r="K686" s="8" t="n">
        <v>0</v>
      </c>
      <c r="L686" s="8" t="n">
        <v>1</v>
      </c>
      <c r="M686" s="9" t="n">
        <v>82431.64999999999</v>
      </c>
      <c r="N686" s="9" t="n">
        <v>135114.92</v>
      </c>
      <c r="O686" s="9" t="n">
        <v>0</v>
      </c>
      <c r="P686" s="8" t="n">
        <v>1</v>
      </c>
      <c r="Q686" s="8" t="n">
        <v>0</v>
      </c>
    </row>
    <row r="687">
      <c r="A687" s="8" t="n">
        <v>160</v>
      </c>
      <c r="B687" s="8" t="inlineStr">
        <is>
          <t>CASH_IN</t>
        </is>
      </c>
      <c r="C687" s="9" t="n">
        <v>139326.29</v>
      </c>
      <c r="D687" s="8" t="inlineStr">
        <is>
          <t>C1389863888</t>
        </is>
      </c>
      <c r="E687" s="9" t="n">
        <v>1496</v>
      </c>
      <c r="F687" s="9" t="n">
        <v>140822.29</v>
      </c>
      <c r="G687" s="8" t="inlineStr">
        <is>
          <t>C110947527</t>
        </is>
      </c>
      <c r="H687" s="9" t="n">
        <v>2344488.59</v>
      </c>
      <c r="I687" s="9" t="n">
        <v>2205162.3</v>
      </c>
      <c r="J687" s="10" t="n">
        <v>0</v>
      </c>
      <c r="K687" s="8" t="n">
        <v>0</v>
      </c>
      <c r="L687" s="8" t="n">
        <v>0</v>
      </c>
      <c r="M687" s="9" t="n">
        <v>2342992.59</v>
      </c>
      <c r="N687" s="9" t="n">
        <v>278652.58</v>
      </c>
      <c r="O687" s="9" t="n">
        <v>278652.58</v>
      </c>
      <c r="P687" s="8" t="n">
        <v>1</v>
      </c>
      <c r="Q687" s="8" t="n">
        <v>0</v>
      </c>
    </row>
    <row r="688">
      <c r="A688" s="8" t="n">
        <v>446</v>
      </c>
      <c r="B688" s="8" t="inlineStr">
        <is>
          <t>CASH_OUT</t>
        </is>
      </c>
      <c r="C688" s="9" t="n">
        <v>7782452.17</v>
      </c>
      <c r="D688" s="8" t="inlineStr">
        <is>
          <t>C1601590561</t>
        </is>
      </c>
      <c r="E688" s="9" t="n">
        <v>7782452.17</v>
      </c>
      <c r="F688" s="9" t="n">
        <v>0</v>
      </c>
      <c r="G688" s="8" t="inlineStr">
        <is>
          <t>C970433237</t>
        </is>
      </c>
      <c r="H688" s="9" t="n">
        <v>0</v>
      </c>
      <c r="I688" s="9" t="n">
        <v>7782452.17</v>
      </c>
      <c r="J688" s="11" t="n">
        <v>1</v>
      </c>
      <c r="K688" s="8" t="n">
        <v>0</v>
      </c>
      <c r="L688" s="8" t="n">
        <v>1</v>
      </c>
      <c r="M688" s="9" t="n">
        <v>7782452.17</v>
      </c>
      <c r="N688" s="9" t="n">
        <v>0</v>
      </c>
      <c r="O688" s="9" t="n">
        <v>0</v>
      </c>
      <c r="P688" s="8" t="n">
        <v>1</v>
      </c>
      <c r="Q688" s="8" t="n">
        <v>1</v>
      </c>
    </row>
    <row r="689">
      <c r="A689" s="8" t="n">
        <v>275</v>
      </c>
      <c r="B689" s="8" t="inlineStr">
        <is>
          <t>TRANSFER</t>
        </is>
      </c>
      <c r="C689" s="9" t="n">
        <v>513082.74</v>
      </c>
      <c r="D689" s="8" t="inlineStr">
        <is>
          <t>C1314353010</t>
        </is>
      </c>
      <c r="E689" s="9" t="n">
        <v>513082.74</v>
      </c>
      <c r="F689" s="9" t="n">
        <v>0</v>
      </c>
      <c r="G689" s="8" t="inlineStr">
        <is>
          <t>C1426875642</t>
        </is>
      </c>
      <c r="H689" s="9" t="n">
        <v>0</v>
      </c>
      <c r="I689" s="9" t="n">
        <v>0</v>
      </c>
      <c r="J689" s="11" t="n">
        <v>1</v>
      </c>
      <c r="K689" s="8" t="n">
        <v>0</v>
      </c>
      <c r="L689" s="8" t="n">
        <v>1</v>
      </c>
      <c r="M689" s="9" t="n">
        <v>513082.74</v>
      </c>
      <c r="N689" s="9" t="n">
        <v>0</v>
      </c>
      <c r="O689" s="9" t="n">
        <v>513082.74</v>
      </c>
      <c r="P689" s="8" t="n">
        <v>1</v>
      </c>
      <c r="Q689" s="8" t="n">
        <v>1</v>
      </c>
    </row>
    <row r="690">
      <c r="A690" s="8" t="n">
        <v>350</v>
      </c>
      <c r="B690" s="8" t="inlineStr">
        <is>
          <t>TRANSFER</t>
        </is>
      </c>
      <c r="C690" s="9" t="n">
        <v>640648.0600000001</v>
      </c>
      <c r="D690" s="8" t="inlineStr">
        <is>
          <t>C1231531045</t>
        </is>
      </c>
      <c r="E690" s="9" t="n">
        <v>640648.0600000001</v>
      </c>
      <c r="F690" s="9" t="n">
        <v>0</v>
      </c>
      <c r="G690" s="8" t="inlineStr">
        <is>
          <t>C1282254449</t>
        </is>
      </c>
      <c r="H690" s="9" t="n">
        <v>0</v>
      </c>
      <c r="I690" s="9" t="n">
        <v>0</v>
      </c>
      <c r="J690" s="11" t="n">
        <v>1</v>
      </c>
      <c r="K690" s="8" t="n">
        <v>0</v>
      </c>
      <c r="L690" s="8" t="n">
        <v>1</v>
      </c>
      <c r="M690" s="9" t="n">
        <v>640648.0600000001</v>
      </c>
      <c r="N690" s="9" t="n">
        <v>0</v>
      </c>
      <c r="O690" s="9" t="n">
        <v>640648.0600000001</v>
      </c>
      <c r="P690" s="8" t="n">
        <v>1</v>
      </c>
      <c r="Q690" s="8" t="n">
        <v>1</v>
      </c>
    </row>
    <row r="691">
      <c r="A691" s="8" t="n">
        <v>134</v>
      </c>
      <c r="B691" s="8" t="inlineStr">
        <is>
          <t>CASH_IN</t>
        </is>
      </c>
      <c r="C691" s="9" t="n">
        <v>372430.61</v>
      </c>
      <c r="D691" s="8" t="inlineStr">
        <is>
          <t>C1486346883</t>
        </is>
      </c>
      <c r="E691" s="9" t="n">
        <v>10513</v>
      </c>
      <c r="F691" s="9" t="n">
        <v>382943.61</v>
      </c>
      <c r="G691" s="8" t="inlineStr">
        <is>
          <t>C987392539</t>
        </is>
      </c>
      <c r="H691" s="9" t="n">
        <v>0</v>
      </c>
      <c r="I691" s="9" t="n">
        <v>0</v>
      </c>
      <c r="J691" s="10" t="n">
        <v>0</v>
      </c>
      <c r="K691" s="8" t="n">
        <v>0</v>
      </c>
      <c r="L691" s="8" t="n">
        <v>0</v>
      </c>
      <c r="M691" s="9" t="n">
        <v>10513</v>
      </c>
      <c r="N691" s="9" t="n">
        <v>744861.22</v>
      </c>
      <c r="O691" s="9" t="n">
        <v>372430.61</v>
      </c>
      <c r="P691" s="8" t="n">
        <v>1</v>
      </c>
      <c r="Q691" s="8" t="n">
        <v>0</v>
      </c>
    </row>
    <row r="692">
      <c r="A692" s="8" t="n">
        <v>571</v>
      </c>
      <c r="B692" s="8" t="inlineStr">
        <is>
          <t>TRANSFER</t>
        </is>
      </c>
      <c r="C692" s="9" t="n">
        <v>272637.22</v>
      </c>
      <c r="D692" s="8" t="inlineStr">
        <is>
          <t>C2141717111</t>
        </is>
      </c>
      <c r="E692" s="9" t="n">
        <v>272637.22</v>
      </c>
      <c r="F692" s="9" t="n">
        <v>0</v>
      </c>
      <c r="G692" s="8" t="inlineStr">
        <is>
          <t>C765286683</t>
        </is>
      </c>
      <c r="H692" s="9" t="n">
        <v>0</v>
      </c>
      <c r="I692" s="9" t="n">
        <v>0</v>
      </c>
      <c r="J692" s="11" t="n">
        <v>1</v>
      </c>
      <c r="K692" s="8" t="n">
        <v>0</v>
      </c>
      <c r="L692" s="8" t="n">
        <v>1</v>
      </c>
      <c r="M692" s="9" t="n">
        <v>272637.22</v>
      </c>
      <c r="N692" s="9" t="n">
        <v>0</v>
      </c>
      <c r="O692" s="9" t="n">
        <v>272637.22</v>
      </c>
      <c r="P692" s="8" t="n">
        <v>1</v>
      </c>
      <c r="Q692" s="8" t="n">
        <v>1</v>
      </c>
    </row>
    <row r="693">
      <c r="A693" s="8" t="n">
        <v>136</v>
      </c>
      <c r="B693" s="8" t="inlineStr">
        <is>
          <t>CASH_OUT</t>
        </is>
      </c>
      <c r="C693" s="9" t="n">
        <v>79032.62</v>
      </c>
      <c r="D693" s="8" t="inlineStr">
        <is>
          <t>C611700722</t>
        </is>
      </c>
      <c r="E693" s="9" t="n">
        <v>0</v>
      </c>
      <c r="F693" s="9" t="n">
        <v>0</v>
      </c>
      <c r="G693" s="8" t="inlineStr">
        <is>
          <t>C419399167</t>
        </is>
      </c>
      <c r="H693" s="9" t="n">
        <v>4817234.02</v>
      </c>
      <c r="I693" s="9" t="n">
        <v>4896266.64</v>
      </c>
      <c r="J693" s="10" t="n">
        <v>0</v>
      </c>
      <c r="K693" s="8" t="n">
        <v>0</v>
      </c>
      <c r="L693" s="8" t="n">
        <v>1</v>
      </c>
      <c r="M693" s="9" t="n">
        <v>4817234.02</v>
      </c>
      <c r="N693" s="9" t="n">
        <v>79032.62</v>
      </c>
      <c r="O693" s="9" t="n">
        <v>0</v>
      </c>
      <c r="P693" s="8" t="n">
        <v>1</v>
      </c>
      <c r="Q693" s="8" t="n">
        <v>0</v>
      </c>
    </row>
    <row r="694">
      <c r="A694" s="8" t="n">
        <v>350</v>
      </c>
      <c r="B694" s="8" t="inlineStr">
        <is>
          <t>CASH_OUT</t>
        </is>
      </c>
      <c r="C694" s="9" t="n">
        <v>129199.07</v>
      </c>
      <c r="D694" s="8" t="inlineStr">
        <is>
          <t>C1298276418</t>
        </is>
      </c>
      <c r="E694" s="9" t="n">
        <v>20912</v>
      </c>
      <c r="F694" s="9" t="n">
        <v>0</v>
      </c>
      <c r="G694" s="8" t="inlineStr">
        <is>
          <t>C1504427013</t>
        </is>
      </c>
      <c r="H694" s="9" t="n">
        <v>8280605.33</v>
      </c>
      <c r="I694" s="9" t="n">
        <v>8409804.4</v>
      </c>
      <c r="J694" s="10" t="n">
        <v>0</v>
      </c>
      <c r="K694" s="8" t="n">
        <v>0</v>
      </c>
      <c r="L694" s="8" t="n">
        <v>1</v>
      </c>
      <c r="M694" s="9" t="n">
        <v>8259693.33</v>
      </c>
      <c r="N694" s="9" t="n">
        <v>108287.07</v>
      </c>
      <c r="O694" s="9" t="n">
        <v>0</v>
      </c>
      <c r="P694" s="8" t="n">
        <v>1</v>
      </c>
      <c r="Q694" s="8" t="n">
        <v>0</v>
      </c>
    </row>
    <row r="695">
      <c r="A695" s="8" t="n">
        <v>182</v>
      </c>
      <c r="B695" s="8" t="inlineStr">
        <is>
          <t>TRANSFER</t>
        </is>
      </c>
      <c r="C695" s="9" t="n">
        <v>294989.71</v>
      </c>
      <c r="D695" s="8" t="inlineStr">
        <is>
          <t>C1641162834</t>
        </is>
      </c>
      <c r="E695" s="9" t="n">
        <v>294989.71</v>
      </c>
      <c r="F695" s="9" t="n">
        <v>0</v>
      </c>
      <c r="G695" s="8" t="inlineStr">
        <is>
          <t>C298906210</t>
        </is>
      </c>
      <c r="H695" s="9" t="n">
        <v>0</v>
      </c>
      <c r="I695" s="9" t="n">
        <v>0</v>
      </c>
      <c r="J695" s="11" t="n">
        <v>1</v>
      </c>
      <c r="K695" s="8" t="n">
        <v>0</v>
      </c>
      <c r="L695" s="8" t="n">
        <v>1</v>
      </c>
      <c r="M695" s="9" t="n">
        <v>294989.71</v>
      </c>
      <c r="N695" s="9" t="n">
        <v>0</v>
      </c>
      <c r="O695" s="9" t="n">
        <v>294989.71</v>
      </c>
      <c r="P695" s="8" t="n">
        <v>1</v>
      </c>
      <c r="Q695" s="8" t="n">
        <v>1</v>
      </c>
    </row>
    <row r="696">
      <c r="A696" s="8" t="n">
        <v>536</v>
      </c>
      <c r="B696" s="8" t="inlineStr">
        <is>
          <t>CASH_OUT</t>
        </is>
      </c>
      <c r="C696" s="9" t="n">
        <v>285382.07</v>
      </c>
      <c r="D696" s="8" t="inlineStr">
        <is>
          <t>C2026773227</t>
        </is>
      </c>
      <c r="E696" s="9" t="n">
        <v>285382.07</v>
      </c>
      <c r="F696" s="9" t="n">
        <v>0</v>
      </c>
      <c r="G696" s="8" t="inlineStr">
        <is>
          <t>C1098688796</t>
        </is>
      </c>
      <c r="H696" s="9" t="n">
        <v>0</v>
      </c>
      <c r="I696" s="9" t="n">
        <v>285382.07</v>
      </c>
      <c r="J696" s="11" t="n">
        <v>1</v>
      </c>
      <c r="K696" s="8" t="n">
        <v>0</v>
      </c>
      <c r="L696" s="8" t="n">
        <v>1</v>
      </c>
      <c r="M696" s="9" t="n">
        <v>285382.07</v>
      </c>
      <c r="N696" s="9" t="n">
        <v>0</v>
      </c>
      <c r="O696" s="9" t="n">
        <v>0</v>
      </c>
      <c r="P696" s="8" t="n">
        <v>1</v>
      </c>
      <c r="Q696" s="8" t="n">
        <v>1</v>
      </c>
    </row>
    <row r="697">
      <c r="A697" s="8" t="n">
        <v>215</v>
      </c>
      <c r="B697" s="8" t="inlineStr">
        <is>
          <t>PAYMENT</t>
        </is>
      </c>
      <c r="C697" s="9" t="n">
        <v>4161.82</v>
      </c>
      <c r="D697" s="8" t="inlineStr">
        <is>
          <t>C475509877</t>
        </is>
      </c>
      <c r="E697" s="9" t="n">
        <v>7283</v>
      </c>
      <c r="F697" s="9" t="n">
        <v>3121.18</v>
      </c>
      <c r="G697" s="8" t="inlineStr">
        <is>
          <t>M1822106749</t>
        </is>
      </c>
      <c r="H697" s="9" t="n">
        <v>0</v>
      </c>
      <c r="I697" s="9" t="n">
        <v>0</v>
      </c>
      <c r="J697" s="10" t="n">
        <v>0</v>
      </c>
      <c r="K697" s="8" t="n">
        <v>1</v>
      </c>
      <c r="L697" s="8" t="n">
        <v>0</v>
      </c>
      <c r="M697" s="9" t="n">
        <v>7283</v>
      </c>
      <c r="N697" s="9" t="n">
        <v>0</v>
      </c>
      <c r="O697" s="9" t="n">
        <v>4161.82</v>
      </c>
      <c r="P697" s="8" t="n">
        <v>0</v>
      </c>
      <c r="Q697" s="8" t="n">
        <v>1</v>
      </c>
    </row>
    <row r="698">
      <c r="A698" s="8" t="n">
        <v>36</v>
      </c>
      <c r="B698" s="8" t="inlineStr">
        <is>
          <t>PAYMENT</t>
        </is>
      </c>
      <c r="C698" s="9" t="n">
        <v>37985.92</v>
      </c>
      <c r="D698" s="8" t="inlineStr">
        <is>
          <t>C433367349</t>
        </is>
      </c>
      <c r="E698" s="9" t="n">
        <v>0</v>
      </c>
      <c r="F698" s="9" t="n">
        <v>0</v>
      </c>
      <c r="G698" s="8" t="inlineStr">
        <is>
          <t>M2046700373</t>
        </is>
      </c>
      <c r="H698" s="9" t="n">
        <v>0</v>
      </c>
      <c r="I698" s="9" t="n">
        <v>0</v>
      </c>
      <c r="J698" s="10" t="n">
        <v>0</v>
      </c>
      <c r="K698" s="8" t="n">
        <v>1</v>
      </c>
      <c r="L698" s="8" t="n">
        <v>0</v>
      </c>
      <c r="M698" s="9" t="n">
        <v>0</v>
      </c>
      <c r="N698" s="9" t="n">
        <v>37985.92</v>
      </c>
      <c r="O698" s="9" t="n">
        <v>37985.92</v>
      </c>
      <c r="P698" s="8" t="n">
        <v>0</v>
      </c>
      <c r="Q698" s="8" t="n">
        <v>0</v>
      </c>
    </row>
    <row r="699">
      <c r="A699" s="8" t="n">
        <v>350</v>
      </c>
      <c r="B699" s="8" t="inlineStr">
        <is>
          <t>PAYMENT</t>
        </is>
      </c>
      <c r="C699" s="9" t="n">
        <v>36193.3</v>
      </c>
      <c r="D699" s="8" t="inlineStr">
        <is>
          <t>C144952367</t>
        </is>
      </c>
      <c r="E699" s="9" t="n">
        <v>38203.61</v>
      </c>
      <c r="F699" s="9" t="n">
        <v>2010.31</v>
      </c>
      <c r="G699" s="8" t="inlineStr">
        <is>
          <t>M1666589002</t>
        </is>
      </c>
      <c r="H699" s="9" t="n">
        <v>0</v>
      </c>
      <c r="I699" s="9" t="n">
        <v>0</v>
      </c>
      <c r="J699" s="10" t="n">
        <v>0</v>
      </c>
      <c r="K699" s="8" t="n">
        <v>1</v>
      </c>
      <c r="L699" s="8" t="n">
        <v>0</v>
      </c>
      <c r="M699" s="9" t="n">
        <v>38203.61</v>
      </c>
      <c r="N699" s="9" t="n">
        <v>0</v>
      </c>
      <c r="O699" s="9" t="n">
        <v>36193.3</v>
      </c>
      <c r="P699" s="8" t="n">
        <v>0</v>
      </c>
      <c r="Q699" s="8" t="n">
        <v>1</v>
      </c>
    </row>
    <row r="700">
      <c r="A700" s="8" t="n">
        <v>352</v>
      </c>
      <c r="B700" s="8" t="inlineStr">
        <is>
          <t>CASH_OUT</t>
        </is>
      </c>
      <c r="C700" s="9" t="n">
        <v>89533.10000000001</v>
      </c>
      <c r="D700" s="8" t="inlineStr">
        <is>
          <t>C760695987</t>
        </is>
      </c>
      <c r="E700" s="9" t="n">
        <v>6338</v>
      </c>
      <c r="F700" s="9" t="n">
        <v>0</v>
      </c>
      <c r="G700" s="8" t="inlineStr">
        <is>
          <t>C716646337</t>
        </is>
      </c>
      <c r="H700" s="9" t="n">
        <v>135248.83</v>
      </c>
      <c r="I700" s="9" t="n">
        <v>224781.93</v>
      </c>
      <c r="J700" s="10" t="n">
        <v>0</v>
      </c>
      <c r="K700" s="8" t="n">
        <v>0</v>
      </c>
      <c r="L700" s="8" t="n">
        <v>1</v>
      </c>
      <c r="M700" s="9" t="n">
        <v>128910.83</v>
      </c>
      <c r="N700" s="9" t="n">
        <v>83195.10000000001</v>
      </c>
      <c r="O700" s="9" t="n">
        <v>0</v>
      </c>
      <c r="P700" s="8" t="n">
        <v>1</v>
      </c>
      <c r="Q700" s="8" t="n">
        <v>0</v>
      </c>
    </row>
    <row r="701">
      <c r="A701" s="8" t="n">
        <v>45</v>
      </c>
      <c r="B701" s="8" t="inlineStr">
        <is>
          <t>CASH_IN</t>
        </is>
      </c>
      <c r="C701" s="9" t="n">
        <v>88159.62</v>
      </c>
      <c r="D701" s="8" t="inlineStr">
        <is>
          <t>C2137042699</t>
        </is>
      </c>
      <c r="E701" s="9" t="n">
        <v>31978</v>
      </c>
      <c r="F701" s="9" t="n">
        <v>120137.62</v>
      </c>
      <c r="G701" s="8" t="inlineStr">
        <is>
          <t>C1857346532</t>
        </is>
      </c>
      <c r="H701" s="9" t="n">
        <v>33417.39</v>
      </c>
      <c r="I701" s="9" t="n">
        <v>0</v>
      </c>
      <c r="J701" s="10" t="n">
        <v>0</v>
      </c>
      <c r="K701" s="8" t="n">
        <v>0</v>
      </c>
      <c r="L701" s="8" t="n">
        <v>0</v>
      </c>
      <c r="M701" s="9" t="n">
        <v>1439.389999999999</v>
      </c>
      <c r="N701" s="9" t="n">
        <v>176319.24</v>
      </c>
      <c r="O701" s="9" t="n">
        <v>121577.01</v>
      </c>
      <c r="P701" s="8" t="n">
        <v>1</v>
      </c>
      <c r="Q701" s="8" t="n">
        <v>0</v>
      </c>
    </row>
    <row r="702">
      <c r="A702" s="8" t="n">
        <v>15</v>
      </c>
      <c r="B702" s="8" t="inlineStr">
        <is>
          <t>CASH_OUT</t>
        </is>
      </c>
      <c r="C702" s="9" t="n">
        <v>441175.71</v>
      </c>
      <c r="D702" s="8" t="inlineStr">
        <is>
          <t>C1392874634</t>
        </is>
      </c>
      <c r="E702" s="9" t="n">
        <v>311861.24</v>
      </c>
      <c r="F702" s="9" t="n">
        <v>0</v>
      </c>
      <c r="G702" s="8" t="inlineStr">
        <is>
          <t>C1601366159</t>
        </is>
      </c>
      <c r="H702" s="9" t="n">
        <v>150482.72</v>
      </c>
      <c r="I702" s="9" t="n">
        <v>591658.4300000001</v>
      </c>
      <c r="J702" s="10" t="n">
        <v>0</v>
      </c>
      <c r="K702" s="8" t="n">
        <v>0</v>
      </c>
      <c r="L702" s="8" t="n">
        <v>1</v>
      </c>
      <c r="M702" s="9" t="n">
        <v>161378.52</v>
      </c>
      <c r="N702" s="9" t="n">
        <v>129314.47</v>
      </c>
      <c r="O702" s="9" t="n">
        <v>0</v>
      </c>
      <c r="P702" s="8" t="n">
        <v>1</v>
      </c>
      <c r="Q702" s="8" t="n">
        <v>0</v>
      </c>
    </row>
    <row r="703">
      <c r="A703" s="8" t="n">
        <v>523</v>
      </c>
      <c r="B703" s="8" t="inlineStr">
        <is>
          <t>TRANSFER</t>
        </is>
      </c>
      <c r="C703" s="9" t="n">
        <v>121543.83</v>
      </c>
      <c r="D703" s="8" t="inlineStr">
        <is>
          <t>C2080970760</t>
        </is>
      </c>
      <c r="E703" s="9" t="n">
        <v>121543.83</v>
      </c>
      <c r="F703" s="9" t="n">
        <v>0</v>
      </c>
      <c r="G703" s="8" t="inlineStr">
        <is>
          <t>C723423255</t>
        </is>
      </c>
      <c r="H703" s="9" t="n">
        <v>0</v>
      </c>
      <c r="I703" s="9" t="n">
        <v>0</v>
      </c>
      <c r="J703" s="11" t="n">
        <v>1</v>
      </c>
      <c r="K703" s="8" t="n">
        <v>0</v>
      </c>
      <c r="L703" s="8" t="n">
        <v>1</v>
      </c>
      <c r="M703" s="9" t="n">
        <v>121543.83</v>
      </c>
      <c r="N703" s="9" t="n">
        <v>0</v>
      </c>
      <c r="O703" s="9" t="n">
        <v>121543.83</v>
      </c>
      <c r="P703" s="8" t="n">
        <v>1</v>
      </c>
      <c r="Q703" s="8" t="n">
        <v>1</v>
      </c>
    </row>
    <row r="704">
      <c r="A704" s="8" t="n">
        <v>379</v>
      </c>
      <c r="B704" s="8" t="inlineStr">
        <is>
          <t>TRANSFER</t>
        </is>
      </c>
      <c r="C704" s="9" t="n">
        <v>8317724.27</v>
      </c>
      <c r="D704" s="8" t="inlineStr">
        <is>
          <t>C2084166173</t>
        </is>
      </c>
      <c r="E704" s="9" t="n">
        <v>8317724.27</v>
      </c>
      <c r="F704" s="9" t="n">
        <v>0</v>
      </c>
      <c r="G704" s="8" t="inlineStr">
        <is>
          <t>C1399946131</t>
        </is>
      </c>
      <c r="H704" s="9" t="n">
        <v>0</v>
      </c>
      <c r="I704" s="9" t="n">
        <v>0</v>
      </c>
      <c r="J704" s="11" t="n">
        <v>1</v>
      </c>
      <c r="K704" s="8" t="n">
        <v>0</v>
      </c>
      <c r="L704" s="8" t="n">
        <v>1</v>
      </c>
      <c r="M704" s="9" t="n">
        <v>8317724.27</v>
      </c>
      <c r="N704" s="9" t="n">
        <v>0</v>
      </c>
      <c r="O704" s="9" t="n">
        <v>8317724.27</v>
      </c>
      <c r="P704" s="8" t="n">
        <v>1</v>
      </c>
      <c r="Q704" s="8" t="n">
        <v>1</v>
      </c>
    </row>
    <row r="705">
      <c r="A705" s="8" t="n">
        <v>348</v>
      </c>
      <c r="B705" s="8" t="inlineStr">
        <is>
          <t>PAYMENT</t>
        </is>
      </c>
      <c r="C705" s="9" t="n">
        <v>5970.41</v>
      </c>
      <c r="D705" s="8" t="inlineStr">
        <is>
          <t>C1903712537</t>
        </is>
      </c>
      <c r="E705" s="9" t="n">
        <v>0</v>
      </c>
      <c r="F705" s="9" t="n">
        <v>0</v>
      </c>
      <c r="G705" s="8" t="inlineStr">
        <is>
          <t>M140138040</t>
        </is>
      </c>
      <c r="H705" s="9" t="n">
        <v>0</v>
      </c>
      <c r="I705" s="9" t="n">
        <v>0</v>
      </c>
      <c r="J705" s="10" t="n">
        <v>0</v>
      </c>
      <c r="K705" s="8" t="n">
        <v>1</v>
      </c>
      <c r="L705" s="8" t="n">
        <v>0</v>
      </c>
      <c r="M705" s="9" t="n">
        <v>0</v>
      </c>
      <c r="N705" s="9" t="n">
        <v>5970.41</v>
      </c>
      <c r="O705" s="9" t="n">
        <v>5970.41</v>
      </c>
      <c r="P705" s="8" t="n">
        <v>0</v>
      </c>
      <c r="Q705" s="8" t="n">
        <v>0</v>
      </c>
    </row>
    <row r="706">
      <c r="A706" s="8" t="n">
        <v>185</v>
      </c>
      <c r="B706" s="8" t="inlineStr">
        <is>
          <t>CASH_IN</t>
        </is>
      </c>
      <c r="C706" s="9" t="n">
        <v>344461.13</v>
      </c>
      <c r="D706" s="8" t="inlineStr">
        <is>
          <t>C1667135569</t>
        </is>
      </c>
      <c r="E706" s="9" t="n">
        <v>4546</v>
      </c>
      <c r="F706" s="9" t="n">
        <v>349007.13</v>
      </c>
      <c r="G706" s="8" t="inlineStr">
        <is>
          <t>C1427990645</t>
        </is>
      </c>
      <c r="H706" s="9" t="n">
        <v>2244668.43</v>
      </c>
      <c r="I706" s="9" t="n">
        <v>1900207.31</v>
      </c>
      <c r="J706" s="10" t="n">
        <v>0</v>
      </c>
      <c r="K706" s="8" t="n">
        <v>0</v>
      </c>
      <c r="L706" s="8" t="n">
        <v>0</v>
      </c>
      <c r="M706" s="9" t="n">
        <v>2240122.43</v>
      </c>
      <c r="N706" s="9" t="n">
        <v>688922.26</v>
      </c>
      <c r="O706" s="9" t="n">
        <v>688922.25</v>
      </c>
      <c r="P706" s="8" t="n">
        <v>1</v>
      </c>
      <c r="Q706" s="8" t="n">
        <v>0</v>
      </c>
    </row>
    <row r="707">
      <c r="A707" s="8" t="n">
        <v>206</v>
      </c>
      <c r="B707" s="8" t="inlineStr">
        <is>
          <t>CASH_OUT</t>
        </is>
      </c>
      <c r="C707" s="9" t="n">
        <v>154196.49</v>
      </c>
      <c r="D707" s="8" t="inlineStr">
        <is>
          <t>C1013101723</t>
        </is>
      </c>
      <c r="E707" s="9" t="n">
        <v>154196.49</v>
      </c>
      <c r="F707" s="9" t="n">
        <v>0</v>
      </c>
      <c r="G707" s="8" t="inlineStr">
        <is>
          <t>C1068088118</t>
        </is>
      </c>
      <c r="H707" s="9" t="n">
        <v>325765.34</v>
      </c>
      <c r="I707" s="9" t="n">
        <v>479961.83</v>
      </c>
      <c r="J707" s="11" t="n">
        <v>1</v>
      </c>
      <c r="K707" s="8" t="n">
        <v>0</v>
      </c>
      <c r="L707" s="8" t="n">
        <v>1</v>
      </c>
      <c r="M707" s="9" t="n">
        <v>171568.85</v>
      </c>
      <c r="N707" s="9" t="n">
        <v>0</v>
      </c>
      <c r="O707" s="9" t="n">
        <v>0</v>
      </c>
      <c r="P707" s="8" t="n">
        <v>1</v>
      </c>
      <c r="Q707" s="8" t="n">
        <v>1</v>
      </c>
    </row>
    <row r="708">
      <c r="A708" s="8" t="n">
        <v>328</v>
      </c>
      <c r="B708" s="8" t="inlineStr">
        <is>
          <t>CASH_OUT</t>
        </is>
      </c>
      <c r="C708" s="9" t="n">
        <v>197648.92</v>
      </c>
      <c r="D708" s="8" t="inlineStr">
        <is>
          <t>C592667867</t>
        </is>
      </c>
      <c r="E708" s="9" t="n">
        <v>10239</v>
      </c>
      <c r="F708" s="9" t="n">
        <v>0</v>
      </c>
      <c r="G708" s="8" t="inlineStr">
        <is>
          <t>C290920701</t>
        </is>
      </c>
      <c r="H708" s="9" t="n">
        <v>99399.87</v>
      </c>
      <c r="I708" s="9" t="n">
        <v>297048.79</v>
      </c>
      <c r="J708" s="10" t="n">
        <v>0</v>
      </c>
      <c r="K708" s="8" t="n">
        <v>0</v>
      </c>
      <c r="L708" s="8" t="n">
        <v>1</v>
      </c>
      <c r="M708" s="9" t="n">
        <v>89160.87</v>
      </c>
      <c r="N708" s="9" t="n">
        <v>187409.92</v>
      </c>
      <c r="O708" s="9" t="n">
        <v>0</v>
      </c>
      <c r="P708" s="8" t="n">
        <v>1</v>
      </c>
      <c r="Q708" s="8" t="n">
        <v>0</v>
      </c>
    </row>
    <row r="709">
      <c r="A709" s="8" t="n">
        <v>186</v>
      </c>
      <c r="B709" s="8" t="inlineStr">
        <is>
          <t>CASH_IN</t>
        </is>
      </c>
      <c r="C709" s="9" t="n">
        <v>141127.39</v>
      </c>
      <c r="D709" s="8" t="inlineStr">
        <is>
          <t>C635549395</t>
        </is>
      </c>
      <c r="E709" s="9" t="n">
        <v>99113.35000000001</v>
      </c>
      <c r="F709" s="9" t="n">
        <v>240240.73</v>
      </c>
      <c r="G709" s="8" t="inlineStr">
        <is>
          <t>C887944099</t>
        </is>
      </c>
      <c r="H709" s="9" t="n">
        <v>340273.75</v>
      </c>
      <c r="I709" s="9" t="n">
        <v>199146.37</v>
      </c>
      <c r="J709" s="10" t="n">
        <v>0</v>
      </c>
      <c r="K709" s="8" t="n">
        <v>0</v>
      </c>
      <c r="L709" s="8" t="n">
        <v>0</v>
      </c>
      <c r="M709" s="9" t="n">
        <v>241160.4</v>
      </c>
      <c r="N709" s="9" t="n">
        <v>282254.77</v>
      </c>
      <c r="O709" s="9" t="n">
        <v>282254.77</v>
      </c>
      <c r="P709" s="8" t="n">
        <v>1</v>
      </c>
      <c r="Q709" s="8" t="n">
        <v>0</v>
      </c>
    </row>
    <row r="710">
      <c r="A710" s="8" t="n">
        <v>350</v>
      </c>
      <c r="B710" s="8" t="inlineStr">
        <is>
          <t>CASH_OUT</t>
        </is>
      </c>
      <c r="C710" s="9" t="n">
        <v>270880.88</v>
      </c>
      <c r="D710" s="8" t="inlineStr">
        <is>
          <t>C733940175</t>
        </is>
      </c>
      <c r="E710" s="9" t="n">
        <v>0</v>
      </c>
      <c r="F710" s="9" t="n">
        <v>0</v>
      </c>
      <c r="G710" s="8" t="inlineStr">
        <is>
          <t>C1534053679</t>
        </is>
      </c>
      <c r="H710" s="9" t="n">
        <v>494353.49</v>
      </c>
      <c r="I710" s="9" t="n">
        <v>765234.37</v>
      </c>
      <c r="J710" s="10" t="n">
        <v>0</v>
      </c>
      <c r="K710" s="8" t="n">
        <v>0</v>
      </c>
      <c r="L710" s="8" t="n">
        <v>1</v>
      </c>
      <c r="M710" s="9" t="n">
        <v>494353.49</v>
      </c>
      <c r="N710" s="9" t="n">
        <v>270880.88</v>
      </c>
      <c r="O710" s="9" t="n">
        <v>0</v>
      </c>
      <c r="P710" s="8" t="n">
        <v>1</v>
      </c>
      <c r="Q710" s="8" t="n">
        <v>0</v>
      </c>
    </row>
    <row r="711">
      <c r="A711" s="8" t="n">
        <v>132</v>
      </c>
      <c r="B711" s="8" t="inlineStr">
        <is>
          <t>TRANSFER</t>
        </is>
      </c>
      <c r="C711" s="9" t="n">
        <v>300554.65</v>
      </c>
      <c r="D711" s="8" t="inlineStr">
        <is>
          <t>C206029927</t>
        </is>
      </c>
      <c r="E711" s="9" t="n">
        <v>46552</v>
      </c>
      <c r="F711" s="9" t="n">
        <v>0</v>
      </c>
      <c r="G711" s="8" t="inlineStr">
        <is>
          <t>C426505175</t>
        </is>
      </c>
      <c r="H711" s="9" t="n">
        <v>885150</v>
      </c>
      <c r="I711" s="9" t="n">
        <v>1185704.65</v>
      </c>
      <c r="J711" s="10" t="n">
        <v>0</v>
      </c>
      <c r="K711" s="8" t="n">
        <v>0</v>
      </c>
      <c r="L711" s="8" t="n">
        <v>1</v>
      </c>
      <c r="M711" s="9" t="n">
        <v>838598</v>
      </c>
      <c r="N711" s="9" t="n">
        <v>254002.65</v>
      </c>
      <c r="O711" s="9" t="n">
        <v>0</v>
      </c>
      <c r="P711" s="8" t="n">
        <v>1</v>
      </c>
      <c r="Q711" s="8" t="n">
        <v>0</v>
      </c>
    </row>
    <row r="712">
      <c r="A712" s="8" t="n">
        <v>514</v>
      </c>
      <c r="B712" s="8" t="inlineStr">
        <is>
          <t>CASH_OUT</t>
        </is>
      </c>
      <c r="C712" s="9" t="n">
        <v>137605.04</v>
      </c>
      <c r="D712" s="8" t="inlineStr">
        <is>
          <t>C1580498026</t>
        </is>
      </c>
      <c r="E712" s="9" t="n">
        <v>137605.04</v>
      </c>
      <c r="F712" s="9" t="n">
        <v>0</v>
      </c>
      <c r="G712" s="8" t="inlineStr">
        <is>
          <t>C191934228</t>
        </is>
      </c>
      <c r="H712" s="9" t="n">
        <v>0</v>
      </c>
      <c r="I712" s="9" t="n">
        <v>137605.04</v>
      </c>
      <c r="J712" s="11" t="n">
        <v>1</v>
      </c>
      <c r="K712" s="8" t="n">
        <v>0</v>
      </c>
      <c r="L712" s="8" t="n">
        <v>1</v>
      </c>
      <c r="M712" s="9" t="n">
        <v>137605.04</v>
      </c>
      <c r="N712" s="9" t="n">
        <v>0</v>
      </c>
      <c r="O712" s="9" t="n">
        <v>0</v>
      </c>
      <c r="P712" s="8" t="n">
        <v>1</v>
      </c>
      <c r="Q712" s="8" t="n">
        <v>1</v>
      </c>
    </row>
    <row r="713">
      <c r="A713" s="8" t="n">
        <v>217</v>
      </c>
      <c r="B713" s="8" t="inlineStr">
        <is>
          <t>TRANSFER</t>
        </is>
      </c>
      <c r="C713" s="9" t="n">
        <v>13266.93</v>
      </c>
      <c r="D713" s="8" t="inlineStr">
        <is>
          <t>C652385555</t>
        </is>
      </c>
      <c r="E713" s="9" t="n">
        <v>13266.93</v>
      </c>
      <c r="F713" s="9" t="n">
        <v>0</v>
      </c>
      <c r="G713" s="8" t="inlineStr">
        <is>
          <t>C1385664788</t>
        </is>
      </c>
      <c r="H713" s="9" t="n">
        <v>0</v>
      </c>
      <c r="I713" s="9" t="n">
        <v>0</v>
      </c>
      <c r="J713" s="11" t="n">
        <v>1</v>
      </c>
      <c r="K713" s="8" t="n">
        <v>0</v>
      </c>
      <c r="L713" s="8" t="n">
        <v>1</v>
      </c>
      <c r="M713" s="9" t="n">
        <v>13266.93</v>
      </c>
      <c r="N713" s="9" t="n">
        <v>0</v>
      </c>
      <c r="O713" s="9" t="n">
        <v>13266.93</v>
      </c>
      <c r="P713" s="8" t="n">
        <v>1</v>
      </c>
      <c r="Q713" s="8" t="n">
        <v>1</v>
      </c>
    </row>
    <row r="714">
      <c r="A714" s="8" t="n">
        <v>72</v>
      </c>
      <c r="B714" s="8" t="inlineStr">
        <is>
          <t>CASH_OUT</t>
        </is>
      </c>
      <c r="C714" s="9" t="n">
        <v>10000000</v>
      </c>
      <c r="D714" s="8" t="inlineStr">
        <is>
          <t>C1438388258</t>
        </is>
      </c>
      <c r="E714" s="9" t="n">
        <v>10000000</v>
      </c>
      <c r="F714" s="9" t="n">
        <v>0</v>
      </c>
      <c r="G714" s="8" t="inlineStr">
        <is>
          <t>C1089455271</t>
        </is>
      </c>
      <c r="H714" s="9" t="n">
        <v>81810.42</v>
      </c>
      <c r="I714" s="9" t="n">
        <v>10081810.42</v>
      </c>
      <c r="J714" s="11" t="n">
        <v>1</v>
      </c>
      <c r="K714" s="8" t="n">
        <v>0</v>
      </c>
      <c r="L714" s="8" t="n">
        <v>1</v>
      </c>
      <c r="M714" s="9" t="n">
        <v>9918189.58</v>
      </c>
      <c r="N714" s="9" t="n">
        <v>0</v>
      </c>
      <c r="O714" s="9" t="n">
        <v>0</v>
      </c>
      <c r="P714" s="8" t="n">
        <v>1</v>
      </c>
      <c r="Q714" s="8" t="n">
        <v>1</v>
      </c>
    </row>
    <row r="715">
      <c r="A715" s="8" t="n">
        <v>362</v>
      </c>
      <c r="B715" s="8" t="inlineStr">
        <is>
          <t>CASH_OUT</t>
        </is>
      </c>
      <c r="C715" s="9" t="n">
        <v>174.92</v>
      </c>
      <c r="D715" s="8" t="inlineStr">
        <is>
          <t>C722054736</t>
        </is>
      </c>
      <c r="E715" s="9" t="n">
        <v>174.92</v>
      </c>
      <c r="F715" s="9" t="n">
        <v>0</v>
      </c>
      <c r="G715" s="8" t="inlineStr">
        <is>
          <t>C1009545186</t>
        </is>
      </c>
      <c r="H715" s="9" t="n">
        <v>29134.25</v>
      </c>
      <c r="I715" s="9" t="n">
        <v>29309.17</v>
      </c>
      <c r="J715" s="11" t="n">
        <v>1</v>
      </c>
      <c r="K715" s="8" t="n">
        <v>0</v>
      </c>
      <c r="L715" s="8" t="n">
        <v>1</v>
      </c>
      <c r="M715" s="9" t="n">
        <v>28959.33</v>
      </c>
      <c r="N715" s="9" t="n">
        <v>0</v>
      </c>
      <c r="O715" s="9" t="n">
        <v>0</v>
      </c>
      <c r="P715" s="8" t="n">
        <v>1</v>
      </c>
      <c r="Q715" s="8" t="n">
        <v>1</v>
      </c>
    </row>
    <row r="716">
      <c r="A716" s="8" t="n">
        <v>256</v>
      </c>
      <c r="B716" s="8" t="inlineStr">
        <is>
          <t>CASH_OUT</t>
        </is>
      </c>
      <c r="C716" s="9" t="n">
        <v>255028.93</v>
      </c>
      <c r="D716" s="8" t="inlineStr">
        <is>
          <t>C891040808</t>
        </is>
      </c>
      <c r="E716" s="9" t="n">
        <v>255028.93</v>
      </c>
      <c r="F716" s="9" t="n">
        <v>0</v>
      </c>
      <c r="G716" s="8" t="inlineStr">
        <is>
          <t>C1410026148</t>
        </is>
      </c>
      <c r="H716" s="9" t="n">
        <v>2684616.74</v>
      </c>
      <c r="I716" s="9" t="n">
        <v>2939645.67</v>
      </c>
      <c r="J716" s="11" t="n">
        <v>1</v>
      </c>
      <c r="K716" s="8" t="n">
        <v>0</v>
      </c>
      <c r="L716" s="8" t="n">
        <v>1</v>
      </c>
      <c r="M716" s="9" t="n">
        <v>2429587.81</v>
      </c>
      <c r="N716" s="9" t="n">
        <v>0</v>
      </c>
      <c r="O716" s="9" t="n">
        <v>0</v>
      </c>
      <c r="P716" s="8" t="n">
        <v>1</v>
      </c>
      <c r="Q716" s="8" t="n">
        <v>1</v>
      </c>
    </row>
    <row r="717">
      <c r="A717" s="8" t="n">
        <v>331</v>
      </c>
      <c r="B717" s="8" t="inlineStr">
        <is>
          <t>PAYMENT</t>
        </is>
      </c>
      <c r="C717" s="9" t="n">
        <v>27436.35</v>
      </c>
      <c r="D717" s="8" t="inlineStr">
        <is>
          <t>C231433413</t>
        </is>
      </c>
      <c r="E717" s="9" t="n">
        <v>50624</v>
      </c>
      <c r="F717" s="9" t="n">
        <v>23187.65</v>
      </c>
      <c r="G717" s="8" t="inlineStr">
        <is>
          <t>M342300555</t>
        </is>
      </c>
      <c r="H717" s="9" t="n">
        <v>0</v>
      </c>
      <c r="I717" s="9" t="n">
        <v>0</v>
      </c>
      <c r="J717" s="10" t="n">
        <v>0</v>
      </c>
      <c r="K717" s="8" t="n">
        <v>1</v>
      </c>
      <c r="L717" s="8" t="n">
        <v>0</v>
      </c>
      <c r="M717" s="9" t="n">
        <v>50624</v>
      </c>
      <c r="N717" s="9" t="n">
        <v>0</v>
      </c>
      <c r="O717" s="9" t="n">
        <v>27436.35</v>
      </c>
      <c r="P717" s="8" t="n">
        <v>0</v>
      </c>
      <c r="Q717" s="8" t="n">
        <v>1</v>
      </c>
    </row>
    <row r="718">
      <c r="A718" s="8" t="n">
        <v>130</v>
      </c>
      <c r="B718" s="8" t="inlineStr">
        <is>
          <t>CASH_OUT</t>
        </is>
      </c>
      <c r="C718" s="9" t="n">
        <v>125497.01</v>
      </c>
      <c r="D718" s="8" t="inlineStr">
        <is>
          <t>C1091123393</t>
        </is>
      </c>
      <c r="E718" s="9" t="n">
        <v>0</v>
      </c>
      <c r="F718" s="9" t="n">
        <v>0</v>
      </c>
      <c r="G718" s="8" t="inlineStr">
        <is>
          <t>C2043925587</t>
        </is>
      </c>
      <c r="H718" s="9" t="n">
        <v>659756.67</v>
      </c>
      <c r="I718" s="9" t="n">
        <v>785253.6800000001</v>
      </c>
      <c r="J718" s="10" t="n">
        <v>0</v>
      </c>
      <c r="K718" s="8" t="n">
        <v>0</v>
      </c>
      <c r="L718" s="8" t="n">
        <v>1</v>
      </c>
      <c r="M718" s="9" t="n">
        <v>659756.67</v>
      </c>
      <c r="N718" s="9" t="n">
        <v>125497.01</v>
      </c>
      <c r="O718" s="9" t="n">
        <v>0</v>
      </c>
      <c r="P718" s="8" t="n">
        <v>1</v>
      </c>
      <c r="Q718" s="8" t="n">
        <v>0</v>
      </c>
    </row>
    <row r="719">
      <c r="A719" s="8" t="n">
        <v>185</v>
      </c>
      <c r="B719" s="8" t="inlineStr">
        <is>
          <t>PAYMENT</t>
        </is>
      </c>
      <c r="C719" s="9" t="n">
        <v>36151.18</v>
      </c>
      <c r="D719" s="8" t="inlineStr">
        <is>
          <t>C357203225</t>
        </is>
      </c>
      <c r="E719" s="9" t="n">
        <v>102550</v>
      </c>
      <c r="F719" s="9" t="n">
        <v>66398.82000000001</v>
      </c>
      <c r="G719" s="8" t="inlineStr">
        <is>
          <t>M547256356</t>
        </is>
      </c>
      <c r="H719" s="9" t="n">
        <v>0</v>
      </c>
      <c r="I719" s="9" t="n">
        <v>0</v>
      </c>
      <c r="J719" s="10" t="n">
        <v>0</v>
      </c>
      <c r="K719" s="8" t="n">
        <v>1</v>
      </c>
      <c r="L719" s="8" t="n">
        <v>0</v>
      </c>
      <c r="M719" s="9" t="n">
        <v>102550</v>
      </c>
      <c r="N719" s="9" t="n">
        <v>0</v>
      </c>
      <c r="O719" s="9" t="n">
        <v>36151.18</v>
      </c>
      <c r="P719" s="8" t="n">
        <v>0</v>
      </c>
      <c r="Q719" s="8" t="n">
        <v>1</v>
      </c>
    </row>
    <row r="720">
      <c r="A720" s="8" t="n">
        <v>372</v>
      </c>
      <c r="B720" s="8" t="inlineStr">
        <is>
          <t>PAYMENT</t>
        </is>
      </c>
      <c r="C720" s="9" t="n">
        <v>1087.1</v>
      </c>
      <c r="D720" s="8" t="inlineStr">
        <is>
          <t>C2015697769</t>
        </is>
      </c>
      <c r="E720" s="9" t="n">
        <v>52836.23</v>
      </c>
      <c r="F720" s="9" t="n">
        <v>51749.14</v>
      </c>
      <c r="G720" s="8" t="inlineStr">
        <is>
          <t>M1872069497</t>
        </is>
      </c>
      <c r="H720" s="9" t="n">
        <v>0</v>
      </c>
      <c r="I720" s="9" t="n">
        <v>0</v>
      </c>
      <c r="J720" s="10" t="n">
        <v>0</v>
      </c>
      <c r="K720" s="8" t="n">
        <v>1</v>
      </c>
      <c r="L720" s="8" t="n">
        <v>0</v>
      </c>
      <c r="M720" s="9" t="n">
        <v>52836.23</v>
      </c>
      <c r="N720" s="9" t="n">
        <v>0.01</v>
      </c>
      <c r="O720" s="9" t="n">
        <v>1087.1</v>
      </c>
      <c r="P720" s="8" t="n">
        <v>0</v>
      </c>
      <c r="Q720" s="8" t="n">
        <v>1</v>
      </c>
    </row>
    <row r="721">
      <c r="A721" s="8" t="n">
        <v>35</v>
      </c>
      <c r="B721" s="8" t="inlineStr">
        <is>
          <t>PAYMENT</t>
        </is>
      </c>
      <c r="C721" s="9" t="n">
        <v>21847.19</v>
      </c>
      <c r="D721" s="8" t="inlineStr">
        <is>
          <t>C2108508882</t>
        </is>
      </c>
      <c r="E721" s="9" t="n">
        <v>156753.96</v>
      </c>
      <c r="F721" s="9" t="n">
        <v>134906.78</v>
      </c>
      <c r="G721" s="8" t="inlineStr">
        <is>
          <t>M249036406</t>
        </is>
      </c>
      <c r="H721" s="9" t="n">
        <v>0</v>
      </c>
      <c r="I721" s="9" t="n">
        <v>0</v>
      </c>
      <c r="J721" s="10" t="n">
        <v>0</v>
      </c>
      <c r="K721" s="8" t="n">
        <v>1</v>
      </c>
      <c r="L721" s="8" t="n">
        <v>0</v>
      </c>
      <c r="M721" s="9" t="n">
        <v>156753.96</v>
      </c>
      <c r="N721" s="9" t="n">
        <v>0.01</v>
      </c>
      <c r="O721" s="9" t="n">
        <v>21847.19</v>
      </c>
      <c r="P721" s="8" t="n">
        <v>0</v>
      </c>
      <c r="Q721" s="8" t="n">
        <v>1</v>
      </c>
    </row>
    <row r="722">
      <c r="A722" s="8" t="n">
        <v>133</v>
      </c>
      <c r="B722" s="8" t="inlineStr">
        <is>
          <t>CASH_IN</t>
        </is>
      </c>
      <c r="C722" s="9" t="n">
        <v>205204.78</v>
      </c>
      <c r="D722" s="8" t="inlineStr">
        <is>
          <t>C1881833005</t>
        </is>
      </c>
      <c r="E722" s="9" t="n">
        <v>243</v>
      </c>
      <c r="F722" s="9" t="n">
        <v>205447.78</v>
      </c>
      <c r="G722" s="8" t="inlineStr">
        <is>
          <t>C683724759</t>
        </is>
      </c>
      <c r="H722" s="9" t="n">
        <v>1811243.68</v>
      </c>
      <c r="I722" s="9" t="n">
        <v>1606038.89</v>
      </c>
      <c r="J722" s="10" t="n">
        <v>0</v>
      </c>
      <c r="K722" s="8" t="n">
        <v>0</v>
      </c>
      <c r="L722" s="8" t="n">
        <v>0</v>
      </c>
      <c r="M722" s="9" t="n">
        <v>1811000.68</v>
      </c>
      <c r="N722" s="9" t="n">
        <v>410409.56</v>
      </c>
      <c r="O722" s="9" t="n">
        <v>410409.57</v>
      </c>
      <c r="P722" s="8" t="n">
        <v>1</v>
      </c>
      <c r="Q722" s="8" t="n">
        <v>0</v>
      </c>
    </row>
    <row r="723">
      <c r="A723" s="8" t="n">
        <v>16</v>
      </c>
      <c r="B723" s="8" t="inlineStr">
        <is>
          <t>TRANSFER</t>
        </is>
      </c>
      <c r="C723" s="9" t="n">
        <v>31074</v>
      </c>
      <c r="D723" s="8" t="inlineStr">
        <is>
          <t>C457962127</t>
        </is>
      </c>
      <c r="E723" s="9" t="n">
        <v>31074</v>
      </c>
      <c r="F723" s="9" t="n">
        <v>0</v>
      </c>
      <c r="G723" s="8" t="inlineStr">
        <is>
          <t>C614104997</t>
        </is>
      </c>
      <c r="H723" s="9" t="n">
        <v>0</v>
      </c>
      <c r="I723" s="9" t="n">
        <v>0</v>
      </c>
      <c r="J723" s="11" t="n">
        <v>1</v>
      </c>
      <c r="K723" s="8" t="n">
        <v>0</v>
      </c>
      <c r="L723" s="8" t="n">
        <v>1</v>
      </c>
      <c r="M723" s="9" t="n">
        <v>31074</v>
      </c>
      <c r="N723" s="9" t="n">
        <v>0</v>
      </c>
      <c r="O723" s="9" t="n">
        <v>31074</v>
      </c>
      <c r="P723" s="8" t="n">
        <v>1</v>
      </c>
      <c r="Q723" s="8" t="n">
        <v>1</v>
      </c>
    </row>
    <row r="724">
      <c r="A724" s="8" t="n">
        <v>251</v>
      </c>
      <c r="B724" s="8" t="inlineStr">
        <is>
          <t>PAYMENT</t>
        </is>
      </c>
      <c r="C724" s="9" t="n">
        <v>16594.51</v>
      </c>
      <c r="D724" s="8" t="inlineStr">
        <is>
          <t>C1792497441</t>
        </is>
      </c>
      <c r="E724" s="9" t="n">
        <v>0</v>
      </c>
      <c r="F724" s="9" t="n">
        <v>0</v>
      </c>
      <c r="G724" s="8" t="inlineStr">
        <is>
          <t>M1685561752</t>
        </is>
      </c>
      <c r="H724" s="9" t="n">
        <v>0</v>
      </c>
      <c r="I724" s="9" t="n">
        <v>0</v>
      </c>
      <c r="J724" s="10" t="n">
        <v>0</v>
      </c>
      <c r="K724" s="8" t="n">
        <v>1</v>
      </c>
      <c r="L724" s="8" t="n">
        <v>0</v>
      </c>
      <c r="M724" s="9" t="n">
        <v>0</v>
      </c>
      <c r="N724" s="9" t="n">
        <v>16594.51</v>
      </c>
      <c r="O724" s="9" t="n">
        <v>16594.51</v>
      </c>
      <c r="P724" s="8" t="n">
        <v>0</v>
      </c>
      <c r="Q724" s="8" t="n">
        <v>0</v>
      </c>
    </row>
    <row r="725">
      <c r="A725" s="8" t="n">
        <v>304</v>
      </c>
      <c r="B725" s="8" t="inlineStr">
        <is>
          <t>PAYMENT</t>
        </is>
      </c>
      <c r="C725" s="9" t="n">
        <v>24502.08</v>
      </c>
      <c r="D725" s="8" t="inlineStr">
        <is>
          <t>C1907205506</t>
        </is>
      </c>
      <c r="E725" s="9" t="n">
        <v>0</v>
      </c>
      <c r="F725" s="9" t="n">
        <v>0</v>
      </c>
      <c r="G725" s="8" t="inlineStr">
        <is>
          <t>M1930724784</t>
        </is>
      </c>
      <c r="H725" s="9" t="n">
        <v>0</v>
      </c>
      <c r="I725" s="9" t="n">
        <v>0</v>
      </c>
      <c r="J725" s="10" t="n">
        <v>0</v>
      </c>
      <c r="K725" s="8" t="n">
        <v>1</v>
      </c>
      <c r="L725" s="8" t="n">
        <v>0</v>
      </c>
      <c r="M725" s="9" t="n">
        <v>0</v>
      </c>
      <c r="N725" s="9" t="n">
        <v>24502.08</v>
      </c>
      <c r="O725" s="9" t="n">
        <v>24502.08</v>
      </c>
      <c r="P725" s="8" t="n">
        <v>0</v>
      </c>
      <c r="Q725" s="8" t="n">
        <v>0</v>
      </c>
    </row>
    <row r="726">
      <c r="A726" s="8" t="n">
        <v>231</v>
      </c>
      <c r="B726" s="8" t="inlineStr">
        <is>
          <t>CASH_IN</t>
        </is>
      </c>
      <c r="C726" s="9" t="n">
        <v>135203.61</v>
      </c>
      <c r="D726" s="8" t="inlineStr">
        <is>
          <t>C2026515461</t>
        </is>
      </c>
      <c r="E726" s="9" t="n">
        <v>28907</v>
      </c>
      <c r="F726" s="9" t="n">
        <v>164110.61</v>
      </c>
      <c r="G726" s="8" t="inlineStr">
        <is>
          <t>C1928984366</t>
        </is>
      </c>
      <c r="H726" s="9" t="n">
        <v>275364.26</v>
      </c>
      <c r="I726" s="9" t="n">
        <v>140160.65</v>
      </c>
      <c r="J726" s="10" t="n">
        <v>0</v>
      </c>
      <c r="K726" s="8" t="n">
        <v>0</v>
      </c>
      <c r="L726" s="8" t="n">
        <v>0</v>
      </c>
      <c r="M726" s="9" t="n">
        <v>246457.26</v>
      </c>
      <c r="N726" s="9" t="n">
        <v>270407.22</v>
      </c>
      <c r="O726" s="9" t="n">
        <v>270407.22</v>
      </c>
      <c r="P726" s="8" t="n">
        <v>1</v>
      </c>
      <c r="Q726" s="8" t="n">
        <v>0</v>
      </c>
    </row>
    <row r="727">
      <c r="A727" s="8" t="n">
        <v>399</v>
      </c>
      <c r="B727" s="8" t="inlineStr">
        <is>
          <t>TRANSFER</t>
        </is>
      </c>
      <c r="C727" s="9" t="n">
        <v>2196687.64</v>
      </c>
      <c r="D727" s="8" t="inlineStr">
        <is>
          <t>C912717299</t>
        </is>
      </c>
      <c r="E727" s="9" t="n">
        <v>0</v>
      </c>
      <c r="F727" s="9" t="n">
        <v>0</v>
      </c>
      <c r="G727" s="8" t="inlineStr">
        <is>
          <t>C1034030587</t>
        </is>
      </c>
      <c r="H727" s="9" t="n">
        <v>11827578.08</v>
      </c>
      <c r="I727" s="9" t="n">
        <v>14024265.72</v>
      </c>
      <c r="J727" s="10" t="n">
        <v>0</v>
      </c>
      <c r="K727" s="8" t="n">
        <v>0</v>
      </c>
      <c r="L727" s="8" t="n">
        <v>1</v>
      </c>
      <c r="M727" s="9" t="n">
        <v>11827578.08</v>
      </c>
      <c r="N727" s="9" t="n">
        <v>2196687.64</v>
      </c>
      <c r="O727" s="9" t="n">
        <v>0</v>
      </c>
      <c r="P727" s="8" t="n">
        <v>1</v>
      </c>
      <c r="Q727" s="8" t="n">
        <v>0</v>
      </c>
    </row>
    <row r="728">
      <c r="A728" s="8" t="n">
        <v>253</v>
      </c>
      <c r="B728" s="8" t="inlineStr">
        <is>
          <t>CASH_IN</t>
        </is>
      </c>
      <c r="C728" s="9" t="n">
        <v>438132.21</v>
      </c>
      <c r="D728" s="8" t="inlineStr">
        <is>
          <t>C583867751</t>
        </is>
      </c>
      <c r="E728" s="9" t="n">
        <v>82772</v>
      </c>
      <c r="F728" s="9" t="n">
        <v>520904.21</v>
      </c>
      <c r="G728" s="8" t="inlineStr">
        <is>
          <t>C2121671655</t>
        </is>
      </c>
      <c r="H728" s="9" t="n">
        <v>361865.29</v>
      </c>
      <c r="I728" s="9" t="n">
        <v>0</v>
      </c>
      <c r="J728" s="10" t="n">
        <v>0</v>
      </c>
      <c r="K728" s="8" t="n">
        <v>0</v>
      </c>
      <c r="L728" s="8" t="n">
        <v>0</v>
      </c>
      <c r="M728" s="9" t="n">
        <v>279093.29</v>
      </c>
      <c r="N728" s="9" t="n">
        <v>876264.42</v>
      </c>
      <c r="O728" s="9" t="n">
        <v>799997.5</v>
      </c>
      <c r="P728" s="8" t="n">
        <v>1</v>
      </c>
      <c r="Q728" s="8" t="n">
        <v>0</v>
      </c>
    </row>
    <row r="729">
      <c r="A729" s="8" t="n">
        <v>120</v>
      </c>
      <c r="B729" s="8" t="inlineStr">
        <is>
          <t>CASH_OUT</t>
        </is>
      </c>
      <c r="C729" s="9" t="n">
        <v>377919.58</v>
      </c>
      <c r="D729" s="8" t="inlineStr">
        <is>
          <t>C1005458940</t>
        </is>
      </c>
      <c r="E729" s="9" t="n">
        <v>377919.58</v>
      </c>
      <c r="F729" s="9" t="n">
        <v>0</v>
      </c>
      <c r="G729" s="8" t="inlineStr">
        <is>
          <t>C1404789740</t>
        </is>
      </c>
      <c r="H729" s="9" t="n">
        <v>617276.1</v>
      </c>
      <c r="I729" s="9" t="n">
        <v>995195.6800000001</v>
      </c>
      <c r="J729" s="11" t="n">
        <v>1</v>
      </c>
      <c r="K729" s="8" t="n">
        <v>0</v>
      </c>
      <c r="L729" s="8" t="n">
        <v>1</v>
      </c>
      <c r="M729" s="9" t="n">
        <v>239356.52</v>
      </c>
      <c r="N729" s="9" t="n">
        <v>0</v>
      </c>
      <c r="O729" s="9" t="n">
        <v>-0</v>
      </c>
      <c r="P729" s="8" t="n">
        <v>1</v>
      </c>
      <c r="Q729" s="8" t="n">
        <v>1</v>
      </c>
    </row>
    <row r="730">
      <c r="A730" s="8" t="n">
        <v>336</v>
      </c>
      <c r="B730" s="8" t="inlineStr">
        <is>
          <t>TRANSFER</t>
        </is>
      </c>
      <c r="C730" s="9" t="n">
        <v>170038.31</v>
      </c>
      <c r="D730" s="8" t="inlineStr">
        <is>
          <t>C498550702</t>
        </is>
      </c>
      <c r="E730" s="9" t="n">
        <v>170038.31</v>
      </c>
      <c r="F730" s="9" t="n">
        <v>0</v>
      </c>
      <c r="G730" s="8" t="inlineStr">
        <is>
          <t>C982724683</t>
        </is>
      </c>
      <c r="H730" s="9" t="n">
        <v>0</v>
      </c>
      <c r="I730" s="9" t="n">
        <v>0</v>
      </c>
      <c r="J730" s="11" t="n">
        <v>1</v>
      </c>
      <c r="K730" s="8" t="n">
        <v>0</v>
      </c>
      <c r="L730" s="8" t="n">
        <v>1</v>
      </c>
      <c r="M730" s="9" t="n">
        <v>170038.31</v>
      </c>
      <c r="N730" s="9" t="n">
        <v>0</v>
      </c>
      <c r="O730" s="9" t="n">
        <v>170038.31</v>
      </c>
      <c r="P730" s="8" t="n">
        <v>1</v>
      </c>
      <c r="Q730" s="8" t="n">
        <v>1</v>
      </c>
    </row>
    <row r="731">
      <c r="A731" s="8" t="n">
        <v>373</v>
      </c>
      <c r="B731" s="8" t="inlineStr">
        <is>
          <t>CASH_OUT</t>
        </is>
      </c>
      <c r="C731" s="9" t="n">
        <v>285008.47</v>
      </c>
      <c r="D731" s="8" t="inlineStr">
        <is>
          <t>C524947225</t>
        </is>
      </c>
      <c r="E731" s="9" t="n">
        <v>50215</v>
      </c>
      <c r="F731" s="9" t="n">
        <v>0</v>
      </c>
      <c r="G731" s="8" t="inlineStr">
        <is>
          <t>C1941590817</t>
        </is>
      </c>
      <c r="H731" s="9" t="n">
        <v>4118572.27</v>
      </c>
      <c r="I731" s="9" t="n">
        <v>4403580.75</v>
      </c>
      <c r="J731" s="10" t="n">
        <v>0</v>
      </c>
      <c r="K731" s="8" t="n">
        <v>0</v>
      </c>
      <c r="L731" s="8" t="n">
        <v>1</v>
      </c>
      <c r="M731" s="9" t="n">
        <v>4068357.27</v>
      </c>
      <c r="N731" s="9" t="n">
        <v>234793.47</v>
      </c>
      <c r="O731" s="9" t="n">
        <v>-0.01</v>
      </c>
      <c r="P731" s="8" t="n">
        <v>1</v>
      </c>
      <c r="Q731" s="8" t="n">
        <v>0</v>
      </c>
    </row>
    <row r="732">
      <c r="A732" s="8" t="n">
        <v>440</v>
      </c>
      <c r="B732" s="8" t="inlineStr">
        <is>
          <t>CASH_OUT</t>
        </is>
      </c>
      <c r="C732" s="9" t="n">
        <v>1912961.16</v>
      </c>
      <c r="D732" s="8" t="inlineStr">
        <is>
          <t>C1229304317</t>
        </is>
      </c>
      <c r="E732" s="9" t="n">
        <v>1912961.16</v>
      </c>
      <c r="F732" s="9" t="n">
        <v>0</v>
      </c>
      <c r="G732" s="8" t="inlineStr">
        <is>
          <t>C1540888387</t>
        </is>
      </c>
      <c r="H732" s="9" t="n">
        <v>225745.59</v>
      </c>
      <c r="I732" s="9" t="n">
        <v>2138706.75</v>
      </c>
      <c r="J732" s="11" t="n">
        <v>1</v>
      </c>
      <c r="K732" s="8" t="n">
        <v>0</v>
      </c>
      <c r="L732" s="8" t="n">
        <v>1</v>
      </c>
      <c r="M732" s="9" t="n">
        <v>1687215.57</v>
      </c>
      <c r="N732" s="9" t="n">
        <v>0</v>
      </c>
      <c r="O732" s="9" t="n">
        <v>0</v>
      </c>
      <c r="P732" s="8" t="n">
        <v>1</v>
      </c>
      <c r="Q732" s="8" t="n">
        <v>1</v>
      </c>
    </row>
    <row r="733">
      <c r="A733" s="8" t="n">
        <v>313</v>
      </c>
      <c r="B733" s="8" t="inlineStr">
        <is>
          <t>TRANSFER</t>
        </is>
      </c>
      <c r="C733" s="9" t="n">
        <v>1467324.96</v>
      </c>
      <c r="D733" s="8" t="inlineStr">
        <is>
          <t>C348342265</t>
        </is>
      </c>
      <c r="E733" s="9" t="n">
        <v>1467324.96</v>
      </c>
      <c r="F733" s="9" t="n">
        <v>0</v>
      </c>
      <c r="G733" s="8" t="inlineStr">
        <is>
          <t>C2039650387</t>
        </is>
      </c>
      <c r="H733" s="9" t="n">
        <v>0</v>
      </c>
      <c r="I733" s="9" t="n">
        <v>0</v>
      </c>
      <c r="J733" s="11" t="n">
        <v>1</v>
      </c>
      <c r="K733" s="8" t="n">
        <v>0</v>
      </c>
      <c r="L733" s="8" t="n">
        <v>1</v>
      </c>
      <c r="M733" s="9" t="n">
        <v>1467324.96</v>
      </c>
      <c r="N733" s="9" t="n">
        <v>0</v>
      </c>
      <c r="O733" s="9" t="n">
        <v>1467324.96</v>
      </c>
      <c r="P733" s="8" t="n">
        <v>1</v>
      </c>
      <c r="Q733" s="8" t="n">
        <v>1</v>
      </c>
    </row>
    <row r="734">
      <c r="A734" s="8" t="n">
        <v>686</v>
      </c>
      <c r="B734" s="8" t="inlineStr">
        <is>
          <t>CASH_OUT</t>
        </is>
      </c>
      <c r="C734" s="9" t="n">
        <v>282241.13</v>
      </c>
      <c r="D734" s="8" t="inlineStr">
        <is>
          <t>C693529214</t>
        </is>
      </c>
      <c r="E734" s="9" t="n">
        <v>11278</v>
      </c>
      <c r="F734" s="9" t="n">
        <v>0</v>
      </c>
      <c r="G734" s="8" t="inlineStr">
        <is>
          <t>C1129680608</t>
        </is>
      </c>
      <c r="H734" s="9" t="n">
        <v>35061.63</v>
      </c>
      <c r="I734" s="9" t="n">
        <v>317302.77</v>
      </c>
      <c r="J734" s="10" t="n">
        <v>0</v>
      </c>
      <c r="K734" s="8" t="n">
        <v>0</v>
      </c>
      <c r="L734" s="8" t="n">
        <v>1</v>
      </c>
      <c r="M734" s="9" t="n">
        <v>23783.63</v>
      </c>
      <c r="N734" s="9" t="n">
        <v>270963.13</v>
      </c>
      <c r="O734" s="9" t="n">
        <v>-0.01</v>
      </c>
      <c r="P734" s="8" t="n">
        <v>1</v>
      </c>
      <c r="Q734" s="8" t="n">
        <v>0</v>
      </c>
    </row>
    <row r="735">
      <c r="A735" s="8" t="n">
        <v>19</v>
      </c>
      <c r="B735" s="8" t="inlineStr">
        <is>
          <t>CASH_OUT</t>
        </is>
      </c>
      <c r="C735" s="9" t="n">
        <v>44398.27</v>
      </c>
      <c r="D735" s="8" t="inlineStr">
        <is>
          <t>C1834900209</t>
        </is>
      </c>
      <c r="E735" s="9" t="n">
        <v>41911</v>
      </c>
      <c r="F735" s="9" t="n">
        <v>0</v>
      </c>
      <c r="G735" s="8" t="inlineStr">
        <is>
          <t>C691387667</t>
        </is>
      </c>
      <c r="H735" s="9" t="n">
        <v>0</v>
      </c>
      <c r="I735" s="9" t="n">
        <v>44398.27</v>
      </c>
      <c r="J735" s="10" t="n">
        <v>0</v>
      </c>
      <c r="K735" s="8" t="n">
        <v>0</v>
      </c>
      <c r="L735" s="8" t="n">
        <v>1</v>
      </c>
      <c r="M735" s="9" t="n">
        <v>41911</v>
      </c>
      <c r="N735" s="9" t="n">
        <v>2487.27</v>
      </c>
      <c r="O735" s="9" t="n">
        <v>0</v>
      </c>
      <c r="P735" s="8" t="n">
        <v>1</v>
      </c>
      <c r="Q735" s="8" t="n">
        <v>0</v>
      </c>
    </row>
    <row r="736">
      <c r="A736" s="8" t="n">
        <v>326</v>
      </c>
      <c r="B736" s="8" t="inlineStr">
        <is>
          <t>PAYMENT</t>
        </is>
      </c>
      <c r="C736" s="9" t="n">
        <v>12712.08</v>
      </c>
      <c r="D736" s="8" t="inlineStr">
        <is>
          <t>C571605830</t>
        </is>
      </c>
      <c r="E736" s="9" t="n">
        <v>111592</v>
      </c>
      <c r="F736" s="9" t="n">
        <v>98879.92</v>
      </c>
      <c r="G736" s="8" t="inlineStr">
        <is>
          <t>M827166456</t>
        </is>
      </c>
      <c r="H736" s="9" t="n">
        <v>0</v>
      </c>
      <c r="I736" s="9" t="n">
        <v>0</v>
      </c>
      <c r="J736" s="10" t="n">
        <v>0</v>
      </c>
      <c r="K736" s="8" t="n">
        <v>1</v>
      </c>
      <c r="L736" s="8" t="n">
        <v>0</v>
      </c>
      <c r="M736" s="9" t="n">
        <v>111592</v>
      </c>
      <c r="N736" s="9" t="n">
        <v>0</v>
      </c>
      <c r="O736" s="9" t="n">
        <v>12712.08</v>
      </c>
      <c r="P736" s="8" t="n">
        <v>0</v>
      </c>
      <c r="Q736" s="8" t="n">
        <v>1</v>
      </c>
    </row>
    <row r="737">
      <c r="A737" s="8" t="n">
        <v>396</v>
      </c>
      <c r="B737" s="8" t="inlineStr">
        <is>
          <t>CASH_IN</t>
        </is>
      </c>
      <c r="C737" s="9" t="n">
        <v>123567.22</v>
      </c>
      <c r="D737" s="8" t="inlineStr">
        <is>
          <t>C1962015662</t>
        </is>
      </c>
      <c r="E737" s="9" t="n">
        <v>31151</v>
      </c>
      <c r="F737" s="9" t="n">
        <v>154718.22</v>
      </c>
      <c r="G737" s="8" t="inlineStr">
        <is>
          <t>C457016204</t>
        </is>
      </c>
      <c r="H737" s="9" t="n">
        <v>0</v>
      </c>
      <c r="I737" s="9" t="n">
        <v>0</v>
      </c>
      <c r="J737" s="10" t="n">
        <v>0</v>
      </c>
      <c r="K737" s="8" t="n">
        <v>0</v>
      </c>
      <c r="L737" s="8" t="n">
        <v>0</v>
      </c>
      <c r="M737" s="9" t="n">
        <v>31151</v>
      </c>
      <c r="N737" s="9" t="n">
        <v>247134.44</v>
      </c>
      <c r="O737" s="9" t="n">
        <v>123567.22</v>
      </c>
      <c r="P737" s="8" t="n">
        <v>1</v>
      </c>
      <c r="Q737" s="8" t="n">
        <v>0</v>
      </c>
    </row>
    <row r="738">
      <c r="A738" s="8" t="n">
        <v>208</v>
      </c>
      <c r="B738" s="8" t="inlineStr">
        <is>
          <t>CASH_OUT</t>
        </is>
      </c>
      <c r="C738" s="9" t="n">
        <v>65029.23</v>
      </c>
      <c r="D738" s="8" t="inlineStr">
        <is>
          <t>C1887578442</t>
        </is>
      </c>
      <c r="E738" s="9" t="n">
        <v>40624</v>
      </c>
      <c r="F738" s="9" t="n">
        <v>0</v>
      </c>
      <c r="G738" s="8" t="inlineStr">
        <is>
          <t>C400811276</t>
        </is>
      </c>
      <c r="H738" s="9" t="n">
        <v>0</v>
      </c>
      <c r="I738" s="9" t="n">
        <v>65029.23</v>
      </c>
      <c r="J738" s="10" t="n">
        <v>0</v>
      </c>
      <c r="K738" s="8" t="n">
        <v>0</v>
      </c>
      <c r="L738" s="8" t="n">
        <v>1</v>
      </c>
      <c r="M738" s="9" t="n">
        <v>40624</v>
      </c>
      <c r="N738" s="9" t="n">
        <v>24405.23</v>
      </c>
      <c r="O738" s="9" t="n">
        <v>0</v>
      </c>
      <c r="P738" s="8" t="n">
        <v>1</v>
      </c>
      <c r="Q738" s="8" t="n">
        <v>0</v>
      </c>
    </row>
    <row r="739">
      <c r="A739" s="8" t="n">
        <v>167</v>
      </c>
      <c r="B739" s="8" t="inlineStr">
        <is>
          <t>PAYMENT</t>
        </is>
      </c>
      <c r="C739" s="9" t="n">
        <v>4819.7</v>
      </c>
      <c r="D739" s="8" t="inlineStr">
        <is>
          <t>C377760392</t>
        </is>
      </c>
      <c r="E739" s="9" t="n">
        <v>0</v>
      </c>
      <c r="F739" s="9" t="n">
        <v>0</v>
      </c>
      <c r="G739" s="8" t="inlineStr">
        <is>
          <t>M735870961</t>
        </is>
      </c>
      <c r="H739" s="9" t="n">
        <v>0</v>
      </c>
      <c r="I739" s="9" t="n">
        <v>0</v>
      </c>
      <c r="J739" s="10" t="n">
        <v>0</v>
      </c>
      <c r="K739" s="8" t="n">
        <v>1</v>
      </c>
      <c r="L739" s="8" t="n">
        <v>0</v>
      </c>
      <c r="M739" s="9" t="n">
        <v>0</v>
      </c>
      <c r="N739" s="9" t="n">
        <v>4819.7</v>
      </c>
      <c r="O739" s="9" t="n">
        <v>4819.7</v>
      </c>
      <c r="P739" s="8" t="n">
        <v>0</v>
      </c>
      <c r="Q739" s="8" t="n">
        <v>0</v>
      </c>
    </row>
    <row r="740">
      <c r="A740" s="8" t="n">
        <v>138</v>
      </c>
      <c r="B740" s="8" t="inlineStr">
        <is>
          <t>CASH_OUT</t>
        </is>
      </c>
      <c r="C740" s="9" t="n">
        <v>9876.35</v>
      </c>
      <c r="D740" s="8" t="inlineStr">
        <is>
          <t>C1411052547</t>
        </is>
      </c>
      <c r="E740" s="9" t="n">
        <v>0</v>
      </c>
      <c r="F740" s="9" t="n">
        <v>0</v>
      </c>
      <c r="G740" s="8" t="inlineStr">
        <is>
          <t>C1539958048</t>
        </is>
      </c>
      <c r="H740" s="9" t="n">
        <v>36695.45</v>
      </c>
      <c r="I740" s="9" t="n">
        <v>46571.8</v>
      </c>
      <c r="J740" s="10" t="n">
        <v>0</v>
      </c>
      <c r="K740" s="8" t="n">
        <v>0</v>
      </c>
      <c r="L740" s="8" t="n">
        <v>1</v>
      </c>
      <c r="M740" s="9" t="n">
        <v>36695.45</v>
      </c>
      <c r="N740" s="9" t="n">
        <v>9876.35</v>
      </c>
      <c r="O740" s="9" t="n">
        <v>-0</v>
      </c>
      <c r="P740" s="8" t="n">
        <v>1</v>
      </c>
      <c r="Q740" s="8" t="n">
        <v>0</v>
      </c>
    </row>
    <row r="741">
      <c r="A741" s="8" t="n">
        <v>178</v>
      </c>
      <c r="B741" s="8" t="inlineStr">
        <is>
          <t>PAYMENT</t>
        </is>
      </c>
      <c r="C741" s="9" t="n">
        <v>7217.99</v>
      </c>
      <c r="D741" s="8" t="inlineStr">
        <is>
          <t>C72785671</t>
        </is>
      </c>
      <c r="E741" s="9" t="n">
        <v>248376.89</v>
      </c>
      <c r="F741" s="9" t="n">
        <v>241158.9</v>
      </c>
      <c r="G741" s="8" t="inlineStr">
        <is>
          <t>M1463337499</t>
        </is>
      </c>
      <c r="H741" s="9" t="n">
        <v>0</v>
      </c>
      <c r="I741" s="9" t="n">
        <v>0</v>
      </c>
      <c r="J741" s="10" t="n">
        <v>0</v>
      </c>
      <c r="K741" s="8" t="n">
        <v>1</v>
      </c>
      <c r="L741" s="8" t="n">
        <v>0</v>
      </c>
      <c r="M741" s="9" t="n">
        <v>248376.89</v>
      </c>
      <c r="N741" s="9" t="n">
        <v>-0</v>
      </c>
      <c r="O741" s="9" t="n">
        <v>7217.99</v>
      </c>
      <c r="P741" s="8" t="n">
        <v>0</v>
      </c>
      <c r="Q741" s="8" t="n">
        <v>1</v>
      </c>
    </row>
    <row r="742">
      <c r="A742" s="8" t="n">
        <v>241</v>
      </c>
      <c r="B742" s="8" t="inlineStr">
        <is>
          <t>TRANSFER</t>
        </is>
      </c>
      <c r="C742" s="9" t="n">
        <v>657417.64</v>
      </c>
      <c r="D742" s="8" t="inlineStr">
        <is>
          <t>C1148562150</t>
        </is>
      </c>
      <c r="E742" s="9" t="n">
        <v>657417.64</v>
      </c>
      <c r="F742" s="9" t="n">
        <v>0</v>
      </c>
      <c r="G742" s="8" t="inlineStr">
        <is>
          <t>C1745091361</t>
        </is>
      </c>
      <c r="H742" s="9" t="n">
        <v>0</v>
      </c>
      <c r="I742" s="9" t="n">
        <v>0</v>
      </c>
      <c r="J742" s="11" t="n">
        <v>1</v>
      </c>
      <c r="K742" s="8" t="n">
        <v>0</v>
      </c>
      <c r="L742" s="8" t="n">
        <v>1</v>
      </c>
      <c r="M742" s="9" t="n">
        <v>657417.64</v>
      </c>
      <c r="N742" s="9" t="n">
        <v>0</v>
      </c>
      <c r="O742" s="9" t="n">
        <v>657417.64</v>
      </c>
      <c r="P742" s="8" t="n">
        <v>1</v>
      </c>
      <c r="Q742" s="8" t="n">
        <v>1</v>
      </c>
    </row>
    <row r="743">
      <c r="A743" s="8" t="n">
        <v>399</v>
      </c>
      <c r="B743" s="8" t="inlineStr">
        <is>
          <t>CASH_OUT</t>
        </is>
      </c>
      <c r="C743" s="9" t="n">
        <v>265797.28</v>
      </c>
      <c r="D743" s="8" t="inlineStr">
        <is>
          <t>C514442845</t>
        </is>
      </c>
      <c r="E743" s="9" t="n">
        <v>13193</v>
      </c>
      <c r="F743" s="9" t="n">
        <v>0</v>
      </c>
      <c r="G743" s="8" t="inlineStr">
        <is>
          <t>C1623275464</t>
        </is>
      </c>
      <c r="H743" s="9" t="n">
        <v>8467.549999999999</v>
      </c>
      <c r="I743" s="9" t="n">
        <v>274264.83</v>
      </c>
      <c r="J743" s="10" t="n">
        <v>0</v>
      </c>
      <c r="K743" s="8" t="n">
        <v>0</v>
      </c>
      <c r="L743" s="8" t="n">
        <v>1</v>
      </c>
      <c r="M743" s="9" t="n">
        <v>4725.450000000001</v>
      </c>
      <c r="N743" s="9" t="n">
        <v>252604.28</v>
      </c>
      <c r="O743" s="9" t="n">
        <v>0</v>
      </c>
      <c r="P743" s="8" t="n">
        <v>1</v>
      </c>
      <c r="Q743" s="8" t="n">
        <v>0</v>
      </c>
    </row>
    <row r="744">
      <c r="A744" s="8" t="n">
        <v>353</v>
      </c>
      <c r="B744" s="8" t="inlineStr">
        <is>
          <t>CASH_IN</t>
        </is>
      </c>
      <c r="C744" s="9" t="n">
        <v>168676.9</v>
      </c>
      <c r="D744" s="8" t="inlineStr">
        <is>
          <t>C375276621</t>
        </is>
      </c>
      <c r="E744" s="9" t="n">
        <v>3713095.61</v>
      </c>
      <c r="F744" s="9" t="n">
        <v>3881772.51</v>
      </c>
      <c r="G744" s="8" t="inlineStr">
        <is>
          <t>C1154592510</t>
        </is>
      </c>
      <c r="H744" s="9" t="n">
        <v>18288583.05</v>
      </c>
      <c r="I744" s="9" t="n">
        <v>18119906.14</v>
      </c>
      <c r="J744" s="10" t="n">
        <v>0</v>
      </c>
      <c r="K744" s="8" t="n">
        <v>0</v>
      </c>
      <c r="L744" s="8" t="n">
        <v>0</v>
      </c>
      <c r="M744" s="9" t="n">
        <v>14575487.44</v>
      </c>
      <c r="N744" s="9" t="n">
        <v>337353.8</v>
      </c>
      <c r="O744" s="9" t="n">
        <v>337353.81</v>
      </c>
      <c r="P744" s="8" t="n">
        <v>1</v>
      </c>
      <c r="Q744" s="8" t="n">
        <v>0</v>
      </c>
    </row>
    <row r="745">
      <c r="A745" s="8" t="n">
        <v>255</v>
      </c>
      <c r="B745" s="8" t="inlineStr">
        <is>
          <t>CASH_IN</t>
        </is>
      </c>
      <c r="C745" s="9" t="n">
        <v>45526.25</v>
      </c>
      <c r="D745" s="8" t="inlineStr">
        <is>
          <t>C1979589193</t>
        </is>
      </c>
      <c r="E745" s="9" t="n">
        <v>3509</v>
      </c>
      <c r="F745" s="9" t="n">
        <v>49035.25</v>
      </c>
      <c r="G745" s="8" t="inlineStr">
        <is>
          <t>C639916530</t>
        </is>
      </c>
      <c r="H745" s="9" t="n">
        <v>2409483.71</v>
      </c>
      <c r="I745" s="9" t="n">
        <v>2363957.46</v>
      </c>
      <c r="J745" s="10" t="n">
        <v>0</v>
      </c>
      <c r="K745" s="8" t="n">
        <v>0</v>
      </c>
      <c r="L745" s="8" t="n">
        <v>0</v>
      </c>
      <c r="M745" s="9" t="n">
        <v>2405974.71</v>
      </c>
      <c r="N745" s="9" t="n">
        <v>91052.5</v>
      </c>
      <c r="O745" s="9" t="n">
        <v>91052.5</v>
      </c>
      <c r="P745" s="8" t="n">
        <v>1</v>
      </c>
      <c r="Q745" s="8" t="n">
        <v>0</v>
      </c>
    </row>
    <row r="746">
      <c r="A746" s="8" t="n">
        <v>330</v>
      </c>
      <c r="B746" s="8" t="inlineStr">
        <is>
          <t>PAYMENT</t>
        </is>
      </c>
      <c r="C746" s="9" t="n">
        <v>13147.83</v>
      </c>
      <c r="D746" s="8" t="inlineStr">
        <is>
          <t>C1852561707</t>
        </is>
      </c>
      <c r="E746" s="9" t="n">
        <v>20147</v>
      </c>
      <c r="F746" s="9" t="n">
        <v>6999.17</v>
      </c>
      <c r="G746" s="8" t="inlineStr">
        <is>
          <t>M1227993151</t>
        </is>
      </c>
      <c r="H746" s="9" t="n">
        <v>0</v>
      </c>
      <c r="I746" s="9" t="n">
        <v>0</v>
      </c>
      <c r="J746" s="10" t="n">
        <v>0</v>
      </c>
      <c r="K746" s="8" t="n">
        <v>1</v>
      </c>
      <c r="L746" s="8" t="n">
        <v>0</v>
      </c>
      <c r="M746" s="9" t="n">
        <v>20147</v>
      </c>
      <c r="N746" s="9" t="n">
        <v>0</v>
      </c>
      <c r="O746" s="9" t="n">
        <v>13147.83</v>
      </c>
      <c r="P746" s="8" t="n">
        <v>0</v>
      </c>
      <c r="Q746" s="8" t="n">
        <v>1</v>
      </c>
    </row>
    <row r="747">
      <c r="A747" s="8" t="n">
        <v>278</v>
      </c>
      <c r="B747" s="8" t="inlineStr">
        <is>
          <t>CASH_OUT</t>
        </is>
      </c>
      <c r="C747" s="9" t="n">
        <v>30118.06</v>
      </c>
      <c r="D747" s="8" t="inlineStr">
        <is>
          <t>C438958690</t>
        </is>
      </c>
      <c r="E747" s="9" t="n">
        <v>20843</v>
      </c>
      <c r="F747" s="9" t="n">
        <v>0</v>
      </c>
      <c r="G747" s="8" t="inlineStr">
        <is>
          <t>C786530370</t>
        </is>
      </c>
      <c r="H747" s="9" t="n">
        <v>18309.85</v>
      </c>
      <c r="I747" s="9" t="n">
        <v>48427.9</v>
      </c>
      <c r="J747" s="10" t="n">
        <v>0</v>
      </c>
      <c r="K747" s="8" t="n">
        <v>0</v>
      </c>
      <c r="L747" s="8" t="n">
        <v>1</v>
      </c>
      <c r="M747" s="9" t="n">
        <v>2533.150000000001</v>
      </c>
      <c r="N747" s="9" t="n">
        <v>9275.059999999999</v>
      </c>
      <c r="O747" s="9" t="n">
        <v>0.01</v>
      </c>
      <c r="P747" s="8" t="n">
        <v>1</v>
      </c>
      <c r="Q747" s="8" t="n">
        <v>0</v>
      </c>
    </row>
    <row r="748">
      <c r="A748" s="8" t="n">
        <v>132</v>
      </c>
      <c r="B748" s="8" t="inlineStr">
        <is>
          <t>CASH_OUT</t>
        </is>
      </c>
      <c r="C748" s="9" t="n">
        <v>15364.22</v>
      </c>
      <c r="D748" s="8" t="inlineStr">
        <is>
          <t>C1716161144</t>
        </is>
      </c>
      <c r="E748" s="9" t="n">
        <v>0</v>
      </c>
      <c r="F748" s="9" t="n">
        <v>0</v>
      </c>
      <c r="G748" s="8" t="inlineStr">
        <is>
          <t>C546541217</t>
        </is>
      </c>
      <c r="H748" s="9" t="n">
        <v>8732481.18</v>
      </c>
      <c r="I748" s="9" t="n">
        <v>8747845.4</v>
      </c>
      <c r="J748" s="10" t="n">
        <v>0</v>
      </c>
      <c r="K748" s="8" t="n">
        <v>0</v>
      </c>
      <c r="L748" s="8" t="n">
        <v>1</v>
      </c>
      <c r="M748" s="9" t="n">
        <v>8732481.18</v>
      </c>
      <c r="N748" s="9" t="n">
        <v>15364.22</v>
      </c>
      <c r="O748" s="9" t="n">
        <v>0</v>
      </c>
      <c r="P748" s="8" t="n">
        <v>1</v>
      </c>
      <c r="Q748" s="8" t="n">
        <v>0</v>
      </c>
    </row>
    <row r="749">
      <c r="A749" s="8" t="n">
        <v>146</v>
      </c>
      <c r="B749" s="8" t="inlineStr">
        <is>
          <t>CASH_OUT</t>
        </is>
      </c>
      <c r="C749" s="9" t="n">
        <v>60516.53</v>
      </c>
      <c r="D749" s="8" t="inlineStr">
        <is>
          <t>C1241672000</t>
        </is>
      </c>
      <c r="E749" s="9" t="n">
        <v>60516.53</v>
      </c>
      <c r="F749" s="9" t="n">
        <v>0</v>
      </c>
      <c r="G749" s="8" t="inlineStr">
        <is>
          <t>C271238521</t>
        </is>
      </c>
      <c r="H749" s="9" t="n">
        <v>0</v>
      </c>
      <c r="I749" s="9" t="n">
        <v>60516.53</v>
      </c>
      <c r="J749" s="11" t="n">
        <v>1</v>
      </c>
      <c r="K749" s="8" t="n">
        <v>0</v>
      </c>
      <c r="L749" s="8" t="n">
        <v>1</v>
      </c>
      <c r="M749" s="9" t="n">
        <v>60516.53</v>
      </c>
      <c r="N749" s="9" t="n">
        <v>0</v>
      </c>
      <c r="O749" s="9" t="n">
        <v>0</v>
      </c>
      <c r="P749" s="8" t="n">
        <v>1</v>
      </c>
      <c r="Q749" s="8" t="n">
        <v>1</v>
      </c>
    </row>
    <row r="750">
      <c r="A750" s="8" t="n">
        <v>397</v>
      </c>
      <c r="B750" s="8" t="inlineStr">
        <is>
          <t>CASH_OUT</t>
        </is>
      </c>
      <c r="C750" s="9" t="n">
        <v>291047.29</v>
      </c>
      <c r="D750" s="8" t="inlineStr">
        <is>
          <t>C879373317</t>
        </is>
      </c>
      <c r="E750" s="9" t="n">
        <v>0</v>
      </c>
      <c r="F750" s="9" t="n">
        <v>0</v>
      </c>
      <c r="G750" s="8" t="inlineStr">
        <is>
          <t>C790637968</t>
        </is>
      </c>
      <c r="H750" s="9" t="n">
        <v>2596723.45</v>
      </c>
      <c r="I750" s="9" t="n">
        <v>2887770.74</v>
      </c>
      <c r="J750" s="10" t="n">
        <v>0</v>
      </c>
      <c r="K750" s="8" t="n">
        <v>0</v>
      </c>
      <c r="L750" s="8" t="n">
        <v>1</v>
      </c>
      <c r="M750" s="9" t="n">
        <v>2596723.45</v>
      </c>
      <c r="N750" s="9" t="n">
        <v>291047.29</v>
      </c>
      <c r="O750" s="9" t="n">
        <v>0</v>
      </c>
      <c r="P750" s="8" t="n">
        <v>1</v>
      </c>
      <c r="Q750" s="8" t="n">
        <v>0</v>
      </c>
    </row>
    <row r="751">
      <c r="A751" s="8" t="n">
        <v>281</v>
      </c>
      <c r="B751" s="8" t="inlineStr">
        <is>
          <t>PAYMENT</t>
        </is>
      </c>
      <c r="C751" s="9" t="n">
        <v>5689.03</v>
      </c>
      <c r="D751" s="8" t="inlineStr">
        <is>
          <t>C1552943345</t>
        </is>
      </c>
      <c r="E751" s="9" t="n">
        <v>0</v>
      </c>
      <c r="F751" s="9" t="n">
        <v>0</v>
      </c>
      <c r="G751" s="8" t="inlineStr">
        <is>
          <t>M1606663058</t>
        </is>
      </c>
      <c r="H751" s="9" t="n">
        <v>0</v>
      </c>
      <c r="I751" s="9" t="n">
        <v>0</v>
      </c>
      <c r="J751" s="10" t="n">
        <v>0</v>
      </c>
      <c r="K751" s="8" t="n">
        <v>1</v>
      </c>
      <c r="L751" s="8" t="n">
        <v>0</v>
      </c>
      <c r="M751" s="9" t="n">
        <v>0</v>
      </c>
      <c r="N751" s="9" t="n">
        <v>5689.03</v>
      </c>
      <c r="O751" s="9" t="n">
        <v>5689.03</v>
      </c>
      <c r="P751" s="8" t="n">
        <v>0</v>
      </c>
      <c r="Q751" s="8" t="n">
        <v>0</v>
      </c>
    </row>
    <row r="752">
      <c r="A752" s="8" t="n">
        <v>596</v>
      </c>
      <c r="B752" s="8" t="inlineStr">
        <is>
          <t>PAYMENT</t>
        </is>
      </c>
      <c r="C752" s="9" t="n">
        <v>11871.08</v>
      </c>
      <c r="D752" s="8" t="inlineStr">
        <is>
          <t>C588515776</t>
        </is>
      </c>
      <c r="E752" s="9" t="n">
        <v>128689.88</v>
      </c>
      <c r="F752" s="9" t="n">
        <v>116818.81</v>
      </c>
      <c r="G752" s="8" t="inlineStr">
        <is>
          <t>M668476885</t>
        </is>
      </c>
      <c r="H752" s="9" t="n">
        <v>0</v>
      </c>
      <c r="I752" s="9" t="n">
        <v>0</v>
      </c>
      <c r="J752" s="10" t="n">
        <v>0</v>
      </c>
      <c r="K752" s="8" t="n">
        <v>1</v>
      </c>
      <c r="L752" s="8" t="n">
        <v>0</v>
      </c>
      <c r="M752" s="9" t="n">
        <v>128689.88</v>
      </c>
      <c r="N752" s="9" t="n">
        <v>0.01</v>
      </c>
      <c r="O752" s="9" t="n">
        <v>11871.08</v>
      </c>
      <c r="P752" s="8" t="n">
        <v>0</v>
      </c>
      <c r="Q752" s="8" t="n">
        <v>1</v>
      </c>
    </row>
    <row r="753">
      <c r="A753" s="8" t="n">
        <v>408</v>
      </c>
      <c r="B753" s="8" t="inlineStr">
        <is>
          <t>PAYMENT</t>
        </is>
      </c>
      <c r="C753" s="9" t="n">
        <v>4056.4</v>
      </c>
      <c r="D753" s="8" t="inlineStr">
        <is>
          <t>C1767552902</t>
        </is>
      </c>
      <c r="E753" s="9" t="n">
        <v>0</v>
      </c>
      <c r="F753" s="9" t="n">
        <v>0</v>
      </c>
      <c r="G753" s="8" t="inlineStr">
        <is>
          <t>M687943880</t>
        </is>
      </c>
      <c r="H753" s="9" t="n">
        <v>0</v>
      </c>
      <c r="I753" s="9" t="n">
        <v>0</v>
      </c>
      <c r="J753" s="10" t="n">
        <v>0</v>
      </c>
      <c r="K753" s="8" t="n">
        <v>1</v>
      </c>
      <c r="L753" s="8" t="n">
        <v>0</v>
      </c>
      <c r="M753" s="9" t="n">
        <v>0</v>
      </c>
      <c r="N753" s="9" t="n">
        <v>4056.4</v>
      </c>
      <c r="O753" s="9" t="n">
        <v>4056.4</v>
      </c>
      <c r="P753" s="8" t="n">
        <v>0</v>
      </c>
      <c r="Q753" s="8" t="n">
        <v>0</v>
      </c>
    </row>
    <row r="754">
      <c r="A754" s="8" t="n">
        <v>310</v>
      </c>
      <c r="B754" s="8" t="inlineStr">
        <is>
          <t>CASH_OUT</t>
        </is>
      </c>
      <c r="C754" s="9" t="n">
        <v>390524.72</v>
      </c>
      <c r="D754" s="8" t="inlineStr">
        <is>
          <t>C1810485511</t>
        </is>
      </c>
      <c r="E754" s="9" t="n">
        <v>0</v>
      </c>
      <c r="F754" s="9" t="n">
        <v>0</v>
      </c>
      <c r="G754" s="8" t="inlineStr">
        <is>
          <t>C656501490</t>
        </is>
      </c>
      <c r="H754" s="9" t="n">
        <v>5622223.64</v>
      </c>
      <c r="I754" s="9" t="n">
        <v>6012748.37</v>
      </c>
      <c r="J754" s="10" t="n">
        <v>0</v>
      </c>
      <c r="K754" s="8" t="n">
        <v>0</v>
      </c>
      <c r="L754" s="8" t="n">
        <v>1</v>
      </c>
      <c r="M754" s="9" t="n">
        <v>5622223.64</v>
      </c>
      <c r="N754" s="9" t="n">
        <v>390524.72</v>
      </c>
      <c r="O754" s="9" t="n">
        <v>-0.01</v>
      </c>
      <c r="P754" s="8" t="n">
        <v>1</v>
      </c>
      <c r="Q754" s="8" t="n">
        <v>0</v>
      </c>
    </row>
    <row r="755">
      <c r="A755" s="8" t="n">
        <v>17</v>
      </c>
      <c r="B755" s="8" t="inlineStr">
        <is>
          <t>CASH_OUT</t>
        </is>
      </c>
      <c r="C755" s="9" t="n">
        <v>110113.66</v>
      </c>
      <c r="D755" s="8" t="inlineStr">
        <is>
          <t>C820703104</t>
        </is>
      </c>
      <c r="E755" s="9" t="n">
        <v>0</v>
      </c>
      <c r="F755" s="9" t="n">
        <v>0</v>
      </c>
      <c r="G755" s="8" t="inlineStr">
        <is>
          <t>C19191939</t>
        </is>
      </c>
      <c r="H755" s="9" t="n">
        <v>487341.97</v>
      </c>
      <c r="I755" s="9" t="n">
        <v>719631.05</v>
      </c>
      <c r="J755" s="10" t="n">
        <v>0</v>
      </c>
      <c r="K755" s="8" t="n">
        <v>0</v>
      </c>
      <c r="L755" s="8" t="n">
        <v>1</v>
      </c>
      <c r="M755" s="9" t="n">
        <v>487341.97</v>
      </c>
      <c r="N755" s="9" t="n">
        <v>110113.66</v>
      </c>
      <c r="O755" s="9" t="n">
        <v>-122175.42</v>
      </c>
      <c r="P755" s="8" t="n">
        <v>1</v>
      </c>
      <c r="Q755" s="8" t="n">
        <v>0</v>
      </c>
    </row>
    <row r="756">
      <c r="A756" s="8" t="n">
        <v>71</v>
      </c>
      <c r="B756" s="8" t="inlineStr">
        <is>
          <t>TRANSFER</t>
        </is>
      </c>
      <c r="C756" s="9" t="n">
        <v>62091.44</v>
      </c>
      <c r="D756" s="8" t="inlineStr">
        <is>
          <t>C1985338048</t>
        </is>
      </c>
      <c r="E756" s="9" t="n">
        <v>62091.44</v>
      </c>
      <c r="F756" s="9" t="n">
        <v>0</v>
      </c>
      <c r="G756" s="8" t="inlineStr">
        <is>
          <t>C1366367431</t>
        </is>
      </c>
      <c r="H756" s="9" t="n">
        <v>0</v>
      </c>
      <c r="I756" s="9" t="n">
        <v>0</v>
      </c>
      <c r="J756" s="11" t="n">
        <v>1</v>
      </c>
      <c r="K756" s="8" t="n">
        <v>0</v>
      </c>
      <c r="L756" s="8" t="n">
        <v>1</v>
      </c>
      <c r="M756" s="9" t="n">
        <v>62091.44</v>
      </c>
      <c r="N756" s="9" t="n">
        <v>0</v>
      </c>
      <c r="O756" s="9" t="n">
        <v>62091.44</v>
      </c>
      <c r="P756" s="8" t="n">
        <v>1</v>
      </c>
      <c r="Q756" s="8" t="n">
        <v>1</v>
      </c>
    </row>
    <row r="757">
      <c r="A757" s="8" t="n">
        <v>355</v>
      </c>
      <c r="B757" s="8" t="inlineStr">
        <is>
          <t>CASH_OUT</t>
        </is>
      </c>
      <c r="C757" s="9" t="n">
        <v>98373.75999999999</v>
      </c>
      <c r="D757" s="8" t="inlineStr">
        <is>
          <t>C1380577307</t>
        </is>
      </c>
      <c r="E757" s="9" t="n">
        <v>14861</v>
      </c>
      <c r="F757" s="9" t="n">
        <v>0</v>
      </c>
      <c r="G757" s="8" t="inlineStr">
        <is>
          <t>C657920951</t>
        </is>
      </c>
      <c r="H757" s="9" t="n">
        <v>337841.65</v>
      </c>
      <c r="I757" s="9" t="n">
        <v>436215.41</v>
      </c>
      <c r="J757" s="10" t="n">
        <v>0</v>
      </c>
      <c r="K757" s="8" t="n">
        <v>0</v>
      </c>
      <c r="L757" s="8" t="n">
        <v>1</v>
      </c>
      <c r="M757" s="9" t="n">
        <v>322980.65</v>
      </c>
      <c r="N757" s="9" t="n">
        <v>83512.75999999999</v>
      </c>
      <c r="O757" s="9" t="n">
        <v>0</v>
      </c>
      <c r="P757" s="8" t="n">
        <v>1</v>
      </c>
      <c r="Q757" s="8" t="n">
        <v>0</v>
      </c>
    </row>
    <row r="758">
      <c r="A758" s="8" t="n">
        <v>348</v>
      </c>
      <c r="B758" s="8" t="inlineStr">
        <is>
          <t>CASH_OUT</t>
        </is>
      </c>
      <c r="C758" s="9" t="n">
        <v>242160.64</v>
      </c>
      <c r="D758" s="8" t="inlineStr">
        <is>
          <t>C1657144731</t>
        </is>
      </c>
      <c r="E758" s="9" t="n">
        <v>168</v>
      </c>
      <c r="F758" s="9" t="n">
        <v>0</v>
      </c>
      <c r="G758" s="8" t="inlineStr">
        <is>
          <t>C516119531</t>
        </is>
      </c>
      <c r="H758" s="9" t="n">
        <v>330915.51</v>
      </c>
      <c r="I758" s="9" t="n">
        <v>573076.15</v>
      </c>
      <c r="J758" s="10" t="n">
        <v>0</v>
      </c>
      <c r="K758" s="8" t="n">
        <v>0</v>
      </c>
      <c r="L758" s="8" t="n">
        <v>1</v>
      </c>
      <c r="M758" s="9" t="n">
        <v>330747.51</v>
      </c>
      <c r="N758" s="9" t="n">
        <v>241992.64</v>
      </c>
      <c r="O758" s="9" t="n">
        <v>0</v>
      </c>
      <c r="P758" s="8" t="n">
        <v>1</v>
      </c>
      <c r="Q758" s="8" t="n">
        <v>0</v>
      </c>
    </row>
    <row r="759">
      <c r="A759" s="8" t="n">
        <v>307</v>
      </c>
      <c r="B759" s="8" t="inlineStr">
        <is>
          <t>PAYMENT</t>
        </is>
      </c>
      <c r="C759" s="9" t="n">
        <v>15726.42</v>
      </c>
      <c r="D759" s="8" t="inlineStr">
        <is>
          <t>C200058155</t>
        </is>
      </c>
      <c r="E759" s="9" t="n">
        <v>39745.3</v>
      </c>
      <c r="F759" s="9" t="n">
        <v>24018.88</v>
      </c>
      <c r="G759" s="8" t="inlineStr">
        <is>
          <t>M1972894950</t>
        </is>
      </c>
      <c r="H759" s="9" t="n">
        <v>0</v>
      </c>
      <c r="I759" s="9" t="n">
        <v>0</v>
      </c>
      <c r="J759" s="10" t="n">
        <v>0</v>
      </c>
      <c r="K759" s="8" t="n">
        <v>1</v>
      </c>
      <c r="L759" s="8" t="n">
        <v>0</v>
      </c>
      <c r="M759" s="9" t="n">
        <v>39745.3</v>
      </c>
      <c r="N759" s="9" t="n">
        <v>0</v>
      </c>
      <c r="O759" s="9" t="n">
        <v>15726.42</v>
      </c>
      <c r="P759" s="8" t="n">
        <v>0</v>
      </c>
      <c r="Q759" s="8" t="n">
        <v>1</v>
      </c>
    </row>
    <row r="760">
      <c r="A760" s="8" t="n">
        <v>162</v>
      </c>
      <c r="B760" s="8" t="inlineStr">
        <is>
          <t>CASH_OUT</t>
        </is>
      </c>
      <c r="C760" s="9" t="n">
        <v>141647.81</v>
      </c>
      <c r="D760" s="8" t="inlineStr">
        <is>
          <t>C706331311</t>
        </is>
      </c>
      <c r="E760" s="9" t="n">
        <v>24923</v>
      </c>
      <c r="F760" s="9" t="n">
        <v>0</v>
      </c>
      <c r="G760" s="8" t="inlineStr">
        <is>
          <t>C575853652</t>
        </is>
      </c>
      <c r="H760" s="9" t="n">
        <v>13025126.37</v>
      </c>
      <c r="I760" s="9" t="n">
        <v>13166774.18</v>
      </c>
      <c r="J760" s="10" t="n">
        <v>0</v>
      </c>
      <c r="K760" s="8" t="n">
        <v>0</v>
      </c>
      <c r="L760" s="8" t="n">
        <v>1</v>
      </c>
      <c r="M760" s="9" t="n">
        <v>13000203.37</v>
      </c>
      <c r="N760" s="9" t="n">
        <v>116724.81</v>
      </c>
      <c r="O760" s="9" t="n">
        <v>0</v>
      </c>
      <c r="P760" s="8" t="n">
        <v>1</v>
      </c>
      <c r="Q760" s="8" t="n">
        <v>0</v>
      </c>
    </row>
    <row r="761">
      <c r="A761" s="8" t="n">
        <v>138</v>
      </c>
      <c r="B761" s="8" t="inlineStr">
        <is>
          <t>PAYMENT</t>
        </is>
      </c>
      <c r="C761" s="9" t="n">
        <v>22254.16</v>
      </c>
      <c r="D761" s="8" t="inlineStr">
        <is>
          <t>C651356145</t>
        </is>
      </c>
      <c r="E761" s="9" t="n">
        <v>79515</v>
      </c>
      <c r="F761" s="9" t="n">
        <v>57260.84</v>
      </c>
      <c r="G761" s="8" t="inlineStr">
        <is>
          <t>M1928122403</t>
        </is>
      </c>
      <c r="H761" s="9" t="n">
        <v>0</v>
      </c>
      <c r="I761" s="9" t="n">
        <v>0</v>
      </c>
      <c r="J761" s="10" t="n">
        <v>0</v>
      </c>
      <c r="K761" s="8" t="n">
        <v>1</v>
      </c>
      <c r="L761" s="8" t="n">
        <v>0</v>
      </c>
      <c r="M761" s="9" t="n">
        <v>79515</v>
      </c>
      <c r="N761" s="9" t="n">
        <v>0</v>
      </c>
      <c r="O761" s="9" t="n">
        <v>22254.16</v>
      </c>
      <c r="P761" s="8" t="n">
        <v>0</v>
      </c>
      <c r="Q761" s="8" t="n">
        <v>1</v>
      </c>
    </row>
    <row r="762">
      <c r="A762" s="8" t="n">
        <v>461</v>
      </c>
      <c r="B762" s="8" t="inlineStr">
        <is>
          <t>TRANSFER</t>
        </is>
      </c>
      <c r="C762" s="9" t="n">
        <v>227955.85</v>
      </c>
      <c r="D762" s="8" t="inlineStr">
        <is>
          <t>C32167725</t>
        </is>
      </c>
      <c r="E762" s="9" t="n">
        <v>227955.85</v>
      </c>
      <c r="F762" s="9" t="n">
        <v>0</v>
      </c>
      <c r="G762" s="8" t="inlineStr">
        <is>
          <t>C1980945664</t>
        </is>
      </c>
      <c r="H762" s="9" t="n">
        <v>0</v>
      </c>
      <c r="I762" s="9" t="n">
        <v>0</v>
      </c>
      <c r="J762" s="11" t="n">
        <v>1</v>
      </c>
      <c r="K762" s="8" t="n">
        <v>0</v>
      </c>
      <c r="L762" s="8" t="n">
        <v>1</v>
      </c>
      <c r="M762" s="9" t="n">
        <v>227955.85</v>
      </c>
      <c r="N762" s="9" t="n">
        <v>0</v>
      </c>
      <c r="O762" s="9" t="n">
        <v>227955.85</v>
      </c>
      <c r="P762" s="8" t="n">
        <v>1</v>
      </c>
      <c r="Q762" s="8" t="n">
        <v>1</v>
      </c>
    </row>
    <row r="763">
      <c r="A763" s="8" t="n">
        <v>15</v>
      </c>
      <c r="B763" s="8" t="inlineStr">
        <is>
          <t>CASH_OUT</t>
        </is>
      </c>
      <c r="C763" s="9" t="n">
        <v>146869.32</v>
      </c>
      <c r="D763" s="8" t="inlineStr">
        <is>
          <t>C634079384</t>
        </is>
      </c>
      <c r="E763" s="9" t="n">
        <v>0</v>
      </c>
      <c r="F763" s="9" t="n">
        <v>0</v>
      </c>
      <c r="G763" s="8" t="inlineStr">
        <is>
          <t>C1719751259</t>
        </is>
      </c>
      <c r="H763" s="9" t="n">
        <v>5643167.24</v>
      </c>
      <c r="I763" s="9" t="n">
        <v>5790036.56</v>
      </c>
      <c r="J763" s="10" t="n">
        <v>0</v>
      </c>
      <c r="K763" s="8" t="n">
        <v>0</v>
      </c>
      <c r="L763" s="8" t="n">
        <v>1</v>
      </c>
      <c r="M763" s="9" t="n">
        <v>5643167.24</v>
      </c>
      <c r="N763" s="9" t="n">
        <v>146869.32</v>
      </c>
      <c r="O763" s="9" t="n">
        <v>0</v>
      </c>
      <c r="P763" s="8" t="n">
        <v>1</v>
      </c>
      <c r="Q763" s="8" t="n">
        <v>0</v>
      </c>
    </row>
    <row r="764">
      <c r="A764" s="8" t="n">
        <v>16</v>
      </c>
      <c r="B764" s="8" t="inlineStr">
        <is>
          <t>CASH_IN</t>
        </is>
      </c>
      <c r="C764" s="9" t="n">
        <v>34174.63</v>
      </c>
      <c r="D764" s="8" t="inlineStr">
        <is>
          <t>C1886483288</t>
        </is>
      </c>
      <c r="E764" s="9" t="n">
        <v>19991</v>
      </c>
      <c r="F764" s="9" t="n">
        <v>54165.63</v>
      </c>
      <c r="G764" s="8" t="inlineStr">
        <is>
          <t>C1904154741</t>
        </is>
      </c>
      <c r="H764" s="9" t="n">
        <v>0</v>
      </c>
      <c r="I764" s="9" t="n">
        <v>0</v>
      </c>
      <c r="J764" s="10" t="n">
        <v>0</v>
      </c>
      <c r="K764" s="8" t="n">
        <v>0</v>
      </c>
      <c r="L764" s="8" t="n">
        <v>0</v>
      </c>
      <c r="M764" s="9" t="n">
        <v>19991</v>
      </c>
      <c r="N764" s="9" t="n">
        <v>68349.25999999999</v>
      </c>
      <c r="O764" s="9" t="n">
        <v>34174.63</v>
      </c>
      <c r="P764" s="8" t="n">
        <v>1</v>
      </c>
      <c r="Q764" s="8" t="n">
        <v>0</v>
      </c>
    </row>
    <row r="765">
      <c r="A765" s="8" t="n">
        <v>41</v>
      </c>
      <c r="B765" s="8" t="inlineStr">
        <is>
          <t>CASH_OUT</t>
        </is>
      </c>
      <c r="C765" s="9" t="n">
        <v>356597.06</v>
      </c>
      <c r="D765" s="8" t="inlineStr">
        <is>
          <t>C1545777449</t>
        </is>
      </c>
      <c r="E765" s="9" t="n">
        <v>310</v>
      </c>
      <c r="F765" s="9" t="n">
        <v>0</v>
      </c>
      <c r="G765" s="8" t="inlineStr">
        <is>
          <t>C895882992</t>
        </is>
      </c>
      <c r="H765" s="9" t="n">
        <v>448505.8</v>
      </c>
      <c r="I765" s="9" t="n">
        <v>805102.86</v>
      </c>
      <c r="J765" s="10" t="n">
        <v>0</v>
      </c>
      <c r="K765" s="8" t="n">
        <v>0</v>
      </c>
      <c r="L765" s="8" t="n">
        <v>1</v>
      </c>
      <c r="M765" s="9" t="n">
        <v>448195.8</v>
      </c>
      <c r="N765" s="9" t="n">
        <v>356287.06</v>
      </c>
      <c r="O765" s="9" t="n">
        <v>0</v>
      </c>
      <c r="P765" s="8" t="n">
        <v>1</v>
      </c>
      <c r="Q765" s="8" t="n">
        <v>0</v>
      </c>
    </row>
    <row r="766">
      <c r="A766" s="8" t="n">
        <v>162</v>
      </c>
      <c r="B766" s="8" t="inlineStr">
        <is>
          <t>TRANSFER</t>
        </is>
      </c>
      <c r="C766" s="9" t="n">
        <v>351589.3</v>
      </c>
      <c r="D766" s="8" t="inlineStr">
        <is>
          <t>C1681691866</t>
        </is>
      </c>
      <c r="E766" s="9" t="n">
        <v>0</v>
      </c>
      <c r="F766" s="9" t="n">
        <v>0</v>
      </c>
      <c r="G766" s="8" t="inlineStr">
        <is>
          <t>C628537825</t>
        </is>
      </c>
      <c r="H766" s="9" t="n">
        <v>764562.12</v>
      </c>
      <c r="I766" s="9" t="n">
        <v>1116151.42</v>
      </c>
      <c r="J766" s="10" t="n">
        <v>0</v>
      </c>
      <c r="K766" s="8" t="n">
        <v>0</v>
      </c>
      <c r="L766" s="8" t="n">
        <v>1</v>
      </c>
      <c r="M766" s="9" t="n">
        <v>764562.12</v>
      </c>
      <c r="N766" s="9" t="n">
        <v>351589.3</v>
      </c>
      <c r="O766" s="9" t="n">
        <v>0</v>
      </c>
      <c r="P766" s="8" t="n">
        <v>1</v>
      </c>
      <c r="Q766" s="8" t="n">
        <v>0</v>
      </c>
    </row>
    <row r="767">
      <c r="A767" s="8" t="n">
        <v>168</v>
      </c>
      <c r="B767" s="8" t="inlineStr">
        <is>
          <t>TRANSFER</t>
        </is>
      </c>
      <c r="C767" s="9" t="n">
        <v>370540.03</v>
      </c>
      <c r="D767" s="8" t="inlineStr">
        <is>
          <t>C310977517</t>
        </is>
      </c>
      <c r="E767" s="9" t="n">
        <v>0</v>
      </c>
      <c r="F767" s="9" t="n">
        <v>0</v>
      </c>
      <c r="G767" s="8" t="inlineStr">
        <is>
          <t>C730514902</t>
        </is>
      </c>
      <c r="H767" s="9" t="n">
        <v>552355.47</v>
      </c>
      <c r="I767" s="9" t="n">
        <v>922895.5</v>
      </c>
      <c r="J767" s="10" t="n">
        <v>0</v>
      </c>
      <c r="K767" s="8" t="n">
        <v>0</v>
      </c>
      <c r="L767" s="8" t="n">
        <v>1</v>
      </c>
      <c r="M767" s="9" t="n">
        <v>552355.47</v>
      </c>
      <c r="N767" s="9" t="n">
        <v>370540.03</v>
      </c>
      <c r="O767" s="9" t="n">
        <v>0</v>
      </c>
      <c r="P767" s="8" t="n">
        <v>1</v>
      </c>
      <c r="Q767" s="8" t="n">
        <v>0</v>
      </c>
    </row>
    <row r="768">
      <c r="A768" s="8" t="n">
        <v>270</v>
      </c>
      <c r="B768" s="8" t="inlineStr">
        <is>
          <t>TRANSFER</t>
        </is>
      </c>
      <c r="C768" s="9" t="n">
        <v>395531.72</v>
      </c>
      <c r="D768" s="8" t="inlineStr">
        <is>
          <t>C497404985</t>
        </is>
      </c>
      <c r="E768" s="9" t="n">
        <v>395531.72</v>
      </c>
      <c r="F768" s="9" t="n">
        <v>0</v>
      </c>
      <c r="G768" s="8" t="inlineStr">
        <is>
          <t>C1272345661</t>
        </is>
      </c>
      <c r="H768" s="9" t="n">
        <v>0</v>
      </c>
      <c r="I768" s="9" t="n">
        <v>0</v>
      </c>
      <c r="J768" s="11" t="n">
        <v>1</v>
      </c>
      <c r="K768" s="8" t="n">
        <v>0</v>
      </c>
      <c r="L768" s="8" t="n">
        <v>1</v>
      </c>
      <c r="M768" s="9" t="n">
        <v>395531.72</v>
      </c>
      <c r="N768" s="9" t="n">
        <v>0</v>
      </c>
      <c r="O768" s="9" t="n">
        <v>395531.72</v>
      </c>
      <c r="P768" s="8" t="n">
        <v>1</v>
      </c>
      <c r="Q768" s="8" t="n">
        <v>1</v>
      </c>
    </row>
    <row r="769">
      <c r="A769" s="8" t="n">
        <v>356</v>
      </c>
      <c r="B769" s="8" t="inlineStr">
        <is>
          <t>CASH_OUT</t>
        </is>
      </c>
      <c r="C769" s="9" t="n">
        <v>83993.10000000001</v>
      </c>
      <c r="D769" s="8" t="inlineStr">
        <is>
          <t>C2084532552</t>
        </is>
      </c>
      <c r="E769" s="9" t="n">
        <v>47243.1</v>
      </c>
      <c r="F769" s="9" t="n">
        <v>0</v>
      </c>
      <c r="G769" s="8" t="inlineStr">
        <is>
          <t>C67826765</t>
        </is>
      </c>
      <c r="H769" s="9" t="n">
        <v>1863518.45</v>
      </c>
      <c r="I769" s="9" t="n">
        <v>1947511.55</v>
      </c>
      <c r="J769" s="10" t="n">
        <v>0</v>
      </c>
      <c r="K769" s="8" t="n">
        <v>0</v>
      </c>
      <c r="L769" s="8" t="n">
        <v>1</v>
      </c>
      <c r="M769" s="9" t="n">
        <v>1816275.35</v>
      </c>
      <c r="N769" s="9" t="n">
        <v>36750</v>
      </c>
      <c r="O769" s="9" t="n">
        <v>0</v>
      </c>
      <c r="P769" s="8" t="n">
        <v>1</v>
      </c>
      <c r="Q769" s="8" t="n">
        <v>0</v>
      </c>
    </row>
    <row r="770">
      <c r="A770" s="8" t="n">
        <v>330</v>
      </c>
      <c r="B770" s="8" t="inlineStr">
        <is>
          <t>CASH_OUT</t>
        </is>
      </c>
      <c r="C770" s="9" t="n">
        <v>9198459.960000001</v>
      </c>
      <c r="D770" s="8" t="inlineStr">
        <is>
          <t>C1904629487</t>
        </is>
      </c>
      <c r="E770" s="9" t="n">
        <v>9198459.960000001</v>
      </c>
      <c r="F770" s="9" t="n">
        <v>0</v>
      </c>
      <c r="G770" s="8" t="inlineStr">
        <is>
          <t>C1741955070</t>
        </is>
      </c>
      <c r="H770" s="9" t="n">
        <v>258747.84</v>
      </c>
      <c r="I770" s="9" t="n">
        <v>15173859.31</v>
      </c>
      <c r="J770" s="11" t="n">
        <v>1</v>
      </c>
      <c r="K770" s="8" t="n">
        <v>0</v>
      </c>
      <c r="L770" s="8" t="n">
        <v>1</v>
      </c>
      <c r="M770" s="9" t="n">
        <v>8939712.120000001</v>
      </c>
      <c r="N770" s="9" t="n">
        <v>0</v>
      </c>
      <c r="O770" s="9" t="n">
        <v>-5716651.51</v>
      </c>
      <c r="P770" s="8" t="n">
        <v>1</v>
      </c>
      <c r="Q770" s="8" t="n">
        <v>1</v>
      </c>
    </row>
    <row r="771">
      <c r="A771" s="8" t="n">
        <v>187</v>
      </c>
      <c r="B771" s="8" t="inlineStr">
        <is>
          <t>PAYMENT</t>
        </is>
      </c>
      <c r="C771" s="9" t="n">
        <v>2867.04</v>
      </c>
      <c r="D771" s="8" t="inlineStr">
        <is>
          <t>C1329490001</t>
        </is>
      </c>
      <c r="E771" s="9" t="n">
        <v>0</v>
      </c>
      <c r="F771" s="9" t="n">
        <v>0</v>
      </c>
      <c r="G771" s="8" t="inlineStr">
        <is>
          <t>M381026696</t>
        </is>
      </c>
      <c r="H771" s="9" t="n">
        <v>0</v>
      </c>
      <c r="I771" s="9" t="n">
        <v>0</v>
      </c>
      <c r="J771" s="10" t="n">
        <v>0</v>
      </c>
      <c r="K771" s="8" t="n">
        <v>1</v>
      </c>
      <c r="L771" s="8" t="n">
        <v>0</v>
      </c>
      <c r="M771" s="9" t="n">
        <v>0</v>
      </c>
      <c r="N771" s="9" t="n">
        <v>2867.04</v>
      </c>
      <c r="O771" s="9" t="n">
        <v>2867.04</v>
      </c>
      <c r="P771" s="8" t="n">
        <v>0</v>
      </c>
      <c r="Q771" s="8" t="n">
        <v>0</v>
      </c>
    </row>
    <row r="772">
      <c r="A772" s="8" t="n">
        <v>149</v>
      </c>
      <c r="B772" s="8" t="inlineStr">
        <is>
          <t>TRANSFER</t>
        </is>
      </c>
      <c r="C772" s="9" t="n">
        <v>661558.27</v>
      </c>
      <c r="D772" s="8" t="inlineStr">
        <is>
          <t>C644461702</t>
        </is>
      </c>
      <c r="E772" s="9" t="n">
        <v>661558.27</v>
      </c>
      <c r="F772" s="9" t="n">
        <v>0</v>
      </c>
      <c r="G772" s="8" t="inlineStr">
        <is>
          <t>C1700734681</t>
        </is>
      </c>
      <c r="H772" s="9" t="n">
        <v>0</v>
      </c>
      <c r="I772" s="9" t="n">
        <v>0</v>
      </c>
      <c r="J772" s="11" t="n">
        <v>1</v>
      </c>
      <c r="K772" s="8" t="n">
        <v>0</v>
      </c>
      <c r="L772" s="8" t="n">
        <v>1</v>
      </c>
      <c r="M772" s="9" t="n">
        <v>661558.27</v>
      </c>
      <c r="N772" s="9" t="n">
        <v>0</v>
      </c>
      <c r="O772" s="9" t="n">
        <v>661558.27</v>
      </c>
      <c r="P772" s="8" t="n">
        <v>1</v>
      </c>
      <c r="Q772" s="8" t="n">
        <v>1</v>
      </c>
    </row>
    <row r="773">
      <c r="A773" s="8" t="n">
        <v>533</v>
      </c>
      <c r="B773" s="8" t="inlineStr">
        <is>
          <t>CASH_OUT</t>
        </is>
      </c>
      <c r="C773" s="9" t="n">
        <v>18042.11</v>
      </c>
      <c r="D773" s="8" t="inlineStr">
        <is>
          <t>C473271936</t>
        </is>
      </c>
      <c r="E773" s="9" t="n">
        <v>18042.11</v>
      </c>
      <c r="F773" s="9" t="n">
        <v>0</v>
      </c>
      <c r="G773" s="8" t="inlineStr">
        <is>
          <t>C356431385</t>
        </is>
      </c>
      <c r="H773" s="9" t="n">
        <v>135951.5</v>
      </c>
      <c r="I773" s="9" t="n">
        <v>153993.61</v>
      </c>
      <c r="J773" s="11" t="n">
        <v>1</v>
      </c>
      <c r="K773" s="8" t="n">
        <v>0</v>
      </c>
      <c r="L773" s="8" t="n">
        <v>1</v>
      </c>
      <c r="M773" s="9" t="n">
        <v>117909.39</v>
      </c>
      <c r="N773" s="9" t="n">
        <v>0</v>
      </c>
      <c r="O773" s="9" t="n">
        <v>0</v>
      </c>
      <c r="P773" s="8" t="n">
        <v>1</v>
      </c>
      <c r="Q773" s="8" t="n">
        <v>1</v>
      </c>
    </row>
    <row r="774">
      <c r="A774" s="8" t="n">
        <v>201</v>
      </c>
      <c r="B774" s="8" t="inlineStr">
        <is>
          <t>PAYMENT</t>
        </is>
      </c>
      <c r="C774" s="9" t="n">
        <v>3516.65</v>
      </c>
      <c r="D774" s="8" t="inlineStr">
        <is>
          <t>C395402014</t>
        </is>
      </c>
      <c r="E774" s="9" t="n">
        <v>10096</v>
      </c>
      <c r="F774" s="9" t="n">
        <v>6579.35</v>
      </c>
      <c r="G774" s="8" t="inlineStr">
        <is>
          <t>M1373508349</t>
        </is>
      </c>
      <c r="H774" s="9" t="n">
        <v>0</v>
      </c>
      <c r="I774" s="9" t="n">
        <v>0</v>
      </c>
      <c r="J774" s="10" t="n">
        <v>0</v>
      </c>
      <c r="K774" s="8" t="n">
        <v>1</v>
      </c>
      <c r="L774" s="8" t="n">
        <v>0</v>
      </c>
      <c r="M774" s="9" t="n">
        <v>10096</v>
      </c>
      <c r="N774" s="9" t="n">
        <v>0</v>
      </c>
      <c r="O774" s="9" t="n">
        <v>3516.65</v>
      </c>
      <c r="P774" s="8" t="n">
        <v>0</v>
      </c>
      <c r="Q774" s="8" t="n">
        <v>1</v>
      </c>
    </row>
    <row r="775">
      <c r="A775" s="8" t="n">
        <v>276</v>
      </c>
      <c r="B775" s="8" t="inlineStr">
        <is>
          <t>CASH_OUT</t>
        </is>
      </c>
      <c r="C775" s="9" t="n">
        <v>155995.61</v>
      </c>
      <c r="D775" s="8" t="inlineStr">
        <is>
          <t>C814101524</t>
        </is>
      </c>
      <c r="E775" s="9" t="n">
        <v>461150</v>
      </c>
      <c r="F775" s="9" t="n">
        <v>305154.39</v>
      </c>
      <c r="G775" s="8" t="inlineStr">
        <is>
          <t>C2070746576</t>
        </is>
      </c>
      <c r="H775" s="9" t="n">
        <v>2973228.75</v>
      </c>
      <c r="I775" s="9" t="n">
        <v>3129224.36</v>
      </c>
      <c r="J775" s="10" t="n">
        <v>0</v>
      </c>
      <c r="K775" s="8" t="n">
        <v>0</v>
      </c>
      <c r="L775" s="8" t="n">
        <v>1</v>
      </c>
      <c r="M775" s="9" t="n">
        <v>2512078.75</v>
      </c>
      <c r="N775" s="9" t="n">
        <v>0</v>
      </c>
      <c r="O775" s="9" t="n">
        <v>0</v>
      </c>
      <c r="P775" s="8" t="n">
        <v>1</v>
      </c>
      <c r="Q775" s="8" t="n">
        <v>1</v>
      </c>
    </row>
    <row r="776">
      <c r="A776" s="8" t="n">
        <v>247</v>
      </c>
      <c r="B776" s="8" t="inlineStr">
        <is>
          <t>CASH_OUT</t>
        </is>
      </c>
      <c r="C776" s="9" t="n">
        <v>2025628.87</v>
      </c>
      <c r="D776" s="8" t="inlineStr">
        <is>
          <t>C1840157167</t>
        </is>
      </c>
      <c r="E776" s="9" t="n">
        <v>2025628.87</v>
      </c>
      <c r="F776" s="9" t="n">
        <v>0</v>
      </c>
      <c r="G776" s="8" t="inlineStr">
        <is>
          <t>C760531323</t>
        </is>
      </c>
      <c r="H776" s="9" t="n">
        <v>914254.52</v>
      </c>
      <c r="I776" s="9" t="n">
        <v>2939883.39</v>
      </c>
      <c r="J776" s="11" t="n">
        <v>1</v>
      </c>
      <c r="K776" s="8" t="n">
        <v>0</v>
      </c>
      <c r="L776" s="8" t="n">
        <v>1</v>
      </c>
      <c r="M776" s="9" t="n">
        <v>1111374.35</v>
      </c>
      <c r="N776" s="9" t="n">
        <v>0</v>
      </c>
      <c r="O776" s="9" t="n">
        <v>0</v>
      </c>
      <c r="P776" s="8" t="n">
        <v>1</v>
      </c>
      <c r="Q776" s="8" t="n">
        <v>1</v>
      </c>
    </row>
    <row r="777">
      <c r="A777" s="8" t="n">
        <v>355</v>
      </c>
      <c r="B777" s="8" t="inlineStr">
        <is>
          <t>PAYMENT</t>
        </is>
      </c>
      <c r="C777" s="9" t="n">
        <v>9111.040000000001</v>
      </c>
      <c r="D777" s="8" t="inlineStr">
        <is>
          <t>C754057082</t>
        </is>
      </c>
      <c r="E777" s="9" t="n">
        <v>204486</v>
      </c>
      <c r="F777" s="9" t="n">
        <v>195374.96</v>
      </c>
      <c r="G777" s="8" t="inlineStr">
        <is>
          <t>M205759488</t>
        </is>
      </c>
      <c r="H777" s="9" t="n">
        <v>0</v>
      </c>
      <c r="I777" s="9" t="n">
        <v>0</v>
      </c>
      <c r="J777" s="10" t="n">
        <v>0</v>
      </c>
      <c r="K777" s="8" t="n">
        <v>1</v>
      </c>
      <c r="L777" s="8" t="n">
        <v>0</v>
      </c>
      <c r="M777" s="9" t="n">
        <v>204486</v>
      </c>
      <c r="N777" s="9" t="n">
        <v>0</v>
      </c>
      <c r="O777" s="9" t="n">
        <v>9111.040000000001</v>
      </c>
      <c r="P777" s="8" t="n">
        <v>0</v>
      </c>
      <c r="Q777" s="8" t="n">
        <v>1</v>
      </c>
    </row>
    <row r="778">
      <c r="A778" s="8" t="n">
        <v>305</v>
      </c>
      <c r="B778" s="8" t="inlineStr">
        <is>
          <t>CASH_OUT</t>
        </is>
      </c>
      <c r="C778" s="9" t="n">
        <v>192700.76</v>
      </c>
      <c r="D778" s="8" t="inlineStr">
        <is>
          <t>C1881808635</t>
        </is>
      </c>
      <c r="E778" s="9" t="n">
        <v>21011</v>
      </c>
      <c r="F778" s="9" t="n">
        <v>0</v>
      </c>
      <c r="G778" s="8" t="inlineStr">
        <is>
          <t>C1668535363</t>
        </is>
      </c>
      <c r="H778" s="9" t="n">
        <v>0</v>
      </c>
      <c r="I778" s="9" t="n">
        <v>192700.76</v>
      </c>
      <c r="J778" s="10" t="n">
        <v>0</v>
      </c>
      <c r="K778" s="8" t="n">
        <v>0</v>
      </c>
      <c r="L778" s="8" t="n">
        <v>1</v>
      </c>
      <c r="M778" s="9" t="n">
        <v>21011</v>
      </c>
      <c r="N778" s="9" t="n">
        <v>171689.76</v>
      </c>
      <c r="O778" s="9" t="n">
        <v>0</v>
      </c>
      <c r="P778" s="8" t="n">
        <v>1</v>
      </c>
      <c r="Q778" s="8" t="n">
        <v>0</v>
      </c>
    </row>
    <row r="779">
      <c r="A779" s="8" t="n">
        <v>18</v>
      </c>
      <c r="B779" s="8" t="inlineStr">
        <is>
          <t>CASH_IN</t>
        </is>
      </c>
      <c r="C779" s="9" t="n">
        <v>270356.27</v>
      </c>
      <c r="D779" s="8" t="inlineStr">
        <is>
          <t>C2041355639</t>
        </is>
      </c>
      <c r="E779" s="9" t="n">
        <v>383451.85</v>
      </c>
      <c r="F779" s="9" t="n">
        <v>653808.12</v>
      </c>
      <c r="G779" s="8" t="inlineStr">
        <is>
          <t>C405591429</t>
        </is>
      </c>
      <c r="H779" s="9" t="n">
        <v>454408.22</v>
      </c>
      <c r="I779" s="9" t="n">
        <v>267191.4</v>
      </c>
      <c r="J779" s="10" t="n">
        <v>0</v>
      </c>
      <c r="K779" s="8" t="n">
        <v>0</v>
      </c>
      <c r="L779" s="8" t="n">
        <v>0</v>
      </c>
      <c r="M779" s="9" t="n">
        <v>70956.37</v>
      </c>
      <c r="N779" s="9" t="n">
        <v>540712.54</v>
      </c>
      <c r="O779" s="9" t="n">
        <v>457573.09</v>
      </c>
      <c r="P779" s="8" t="n">
        <v>1</v>
      </c>
      <c r="Q779" s="8" t="n">
        <v>0</v>
      </c>
    </row>
    <row r="780">
      <c r="A780" s="8" t="n">
        <v>648</v>
      </c>
      <c r="B780" s="8" t="inlineStr">
        <is>
          <t>CASH_OUT</t>
        </is>
      </c>
      <c r="C780" s="9" t="n">
        <v>774868.1</v>
      </c>
      <c r="D780" s="8" t="inlineStr">
        <is>
          <t>C1516959235</t>
        </is>
      </c>
      <c r="E780" s="9" t="n">
        <v>774868.1</v>
      </c>
      <c r="F780" s="9" t="n">
        <v>0</v>
      </c>
      <c r="G780" s="8" t="inlineStr">
        <is>
          <t>C1812639726</t>
        </is>
      </c>
      <c r="H780" s="9" t="n">
        <v>131877.41</v>
      </c>
      <c r="I780" s="9" t="n">
        <v>906745.51</v>
      </c>
      <c r="J780" s="11" t="n">
        <v>1</v>
      </c>
      <c r="K780" s="8" t="n">
        <v>0</v>
      </c>
      <c r="L780" s="8" t="n">
        <v>1</v>
      </c>
      <c r="M780" s="9" t="n">
        <v>642990.6899999999</v>
      </c>
      <c r="N780" s="9" t="n">
        <v>0</v>
      </c>
      <c r="O780" s="9" t="n">
        <v>0</v>
      </c>
      <c r="P780" s="8" t="n">
        <v>1</v>
      </c>
      <c r="Q780" s="8" t="n">
        <v>1</v>
      </c>
    </row>
    <row r="781">
      <c r="A781" s="8" t="n">
        <v>140</v>
      </c>
      <c r="B781" s="8" t="inlineStr">
        <is>
          <t>PAYMENT</t>
        </is>
      </c>
      <c r="C781" s="9" t="n">
        <v>3311.88</v>
      </c>
      <c r="D781" s="8" t="inlineStr">
        <is>
          <t>C2129111632</t>
        </is>
      </c>
      <c r="E781" s="9" t="n">
        <v>56117</v>
      </c>
      <c r="F781" s="9" t="n">
        <v>52805.12</v>
      </c>
      <c r="G781" s="8" t="inlineStr">
        <is>
          <t>M1616056201</t>
        </is>
      </c>
      <c r="H781" s="9" t="n">
        <v>0</v>
      </c>
      <c r="I781" s="9" t="n">
        <v>0</v>
      </c>
      <c r="J781" s="10" t="n">
        <v>0</v>
      </c>
      <c r="K781" s="8" t="n">
        <v>1</v>
      </c>
      <c r="L781" s="8" t="n">
        <v>0</v>
      </c>
      <c r="M781" s="9" t="n">
        <v>56117</v>
      </c>
      <c r="N781" s="9" t="n">
        <v>0</v>
      </c>
      <c r="O781" s="9" t="n">
        <v>3311.88</v>
      </c>
      <c r="P781" s="8" t="n">
        <v>0</v>
      </c>
      <c r="Q781" s="8" t="n">
        <v>1</v>
      </c>
    </row>
    <row r="782">
      <c r="A782" s="8" t="n">
        <v>83</v>
      </c>
      <c r="B782" s="8" t="inlineStr">
        <is>
          <t>TRANSFER</t>
        </is>
      </c>
      <c r="C782" s="9" t="n">
        <v>365099.76</v>
      </c>
      <c r="D782" s="8" t="inlineStr">
        <is>
          <t>C426265650</t>
        </is>
      </c>
      <c r="E782" s="9" t="n">
        <v>365099.76</v>
      </c>
      <c r="F782" s="9" t="n">
        <v>0</v>
      </c>
      <c r="G782" s="8" t="inlineStr">
        <is>
          <t>C2019200762</t>
        </is>
      </c>
      <c r="H782" s="9" t="n">
        <v>0</v>
      </c>
      <c r="I782" s="9" t="n">
        <v>0</v>
      </c>
      <c r="J782" s="11" t="n">
        <v>1</v>
      </c>
      <c r="K782" s="8" t="n">
        <v>0</v>
      </c>
      <c r="L782" s="8" t="n">
        <v>1</v>
      </c>
      <c r="M782" s="9" t="n">
        <v>365099.76</v>
      </c>
      <c r="N782" s="9" t="n">
        <v>0</v>
      </c>
      <c r="O782" s="9" t="n">
        <v>365099.76</v>
      </c>
      <c r="P782" s="8" t="n">
        <v>1</v>
      </c>
      <c r="Q782" s="8" t="n">
        <v>1</v>
      </c>
    </row>
    <row r="783">
      <c r="A783" s="8" t="n">
        <v>235</v>
      </c>
      <c r="B783" s="8" t="inlineStr">
        <is>
          <t>CASH_OUT</t>
        </is>
      </c>
      <c r="C783" s="9" t="n">
        <v>4814.69</v>
      </c>
      <c r="D783" s="8" t="inlineStr">
        <is>
          <t>C752353094</t>
        </is>
      </c>
      <c r="E783" s="9" t="n">
        <v>4814.69</v>
      </c>
      <c r="F783" s="9" t="n">
        <v>0</v>
      </c>
      <c r="G783" s="8" t="inlineStr">
        <is>
          <t>C1794146784</t>
        </is>
      </c>
      <c r="H783" s="9" t="n">
        <v>0</v>
      </c>
      <c r="I783" s="9" t="n">
        <v>4814.69</v>
      </c>
      <c r="J783" s="11" t="n">
        <v>1</v>
      </c>
      <c r="K783" s="8" t="n">
        <v>0</v>
      </c>
      <c r="L783" s="8" t="n">
        <v>1</v>
      </c>
      <c r="M783" s="9" t="n">
        <v>4814.69</v>
      </c>
      <c r="N783" s="9" t="n">
        <v>0</v>
      </c>
      <c r="O783" s="9" t="n">
        <v>0</v>
      </c>
      <c r="P783" s="8" t="n">
        <v>1</v>
      </c>
      <c r="Q783" s="8" t="n">
        <v>1</v>
      </c>
    </row>
    <row r="784">
      <c r="A784" s="8" t="n">
        <v>571</v>
      </c>
      <c r="B784" s="8" t="inlineStr">
        <is>
          <t>CASH_OUT</t>
        </is>
      </c>
      <c r="C784" s="9" t="n">
        <v>3729.95</v>
      </c>
      <c r="D784" s="8" t="inlineStr">
        <is>
          <t>C931640243</t>
        </is>
      </c>
      <c r="E784" s="9" t="n">
        <v>20871</v>
      </c>
      <c r="F784" s="9" t="n">
        <v>17141.05</v>
      </c>
      <c r="G784" s="8" t="inlineStr">
        <is>
          <t>C338681298</t>
        </is>
      </c>
      <c r="H784" s="9" t="n">
        <v>30900.71</v>
      </c>
      <c r="I784" s="9" t="n">
        <v>34630.66</v>
      </c>
      <c r="J784" s="10" t="n">
        <v>0</v>
      </c>
      <c r="K784" s="8" t="n">
        <v>0</v>
      </c>
      <c r="L784" s="8" t="n">
        <v>1</v>
      </c>
      <c r="M784" s="9" t="n">
        <v>10029.71</v>
      </c>
      <c r="N784" s="9" t="n">
        <v>0</v>
      </c>
      <c r="O784" s="9" t="n">
        <v>-0</v>
      </c>
      <c r="P784" s="8" t="n">
        <v>1</v>
      </c>
      <c r="Q784" s="8" t="n">
        <v>1</v>
      </c>
    </row>
    <row r="785">
      <c r="A785" s="8" t="n">
        <v>37</v>
      </c>
      <c r="B785" s="8" t="inlineStr">
        <is>
          <t>CASH_OUT</t>
        </is>
      </c>
      <c r="C785" s="9" t="n">
        <v>153990.39</v>
      </c>
      <c r="D785" s="8" t="inlineStr">
        <is>
          <t>C849849448</t>
        </is>
      </c>
      <c r="E785" s="9" t="n">
        <v>0</v>
      </c>
      <c r="F785" s="9" t="n">
        <v>0</v>
      </c>
      <c r="G785" s="8" t="inlineStr">
        <is>
          <t>C1824686860</t>
        </is>
      </c>
      <c r="H785" s="9" t="n">
        <v>841785.4</v>
      </c>
      <c r="I785" s="9" t="n">
        <v>995775.79</v>
      </c>
      <c r="J785" s="10" t="n">
        <v>0</v>
      </c>
      <c r="K785" s="8" t="n">
        <v>0</v>
      </c>
      <c r="L785" s="8" t="n">
        <v>1</v>
      </c>
      <c r="M785" s="9" t="n">
        <v>841785.4</v>
      </c>
      <c r="N785" s="9" t="n">
        <v>153990.39</v>
      </c>
      <c r="O785" s="9" t="n">
        <v>0</v>
      </c>
      <c r="P785" s="8" t="n">
        <v>1</v>
      </c>
      <c r="Q785" s="8" t="n">
        <v>0</v>
      </c>
    </row>
    <row r="786">
      <c r="A786" s="8" t="n">
        <v>372</v>
      </c>
      <c r="B786" s="8" t="inlineStr">
        <is>
          <t>TRANSFER</t>
        </is>
      </c>
      <c r="C786" s="9" t="n">
        <v>2923356.25</v>
      </c>
      <c r="D786" s="8" t="inlineStr">
        <is>
          <t>C1312260902</t>
        </is>
      </c>
      <c r="E786" s="9" t="n">
        <v>2923356.25</v>
      </c>
      <c r="F786" s="9" t="n">
        <v>0</v>
      </c>
      <c r="G786" s="8" t="inlineStr">
        <is>
          <t>C1724629227</t>
        </is>
      </c>
      <c r="H786" s="9" t="n">
        <v>0</v>
      </c>
      <c r="I786" s="9" t="n">
        <v>0</v>
      </c>
      <c r="J786" s="11" t="n">
        <v>1</v>
      </c>
      <c r="K786" s="8" t="n">
        <v>0</v>
      </c>
      <c r="L786" s="8" t="n">
        <v>1</v>
      </c>
      <c r="M786" s="9" t="n">
        <v>2923356.25</v>
      </c>
      <c r="N786" s="9" t="n">
        <v>0</v>
      </c>
      <c r="O786" s="9" t="n">
        <v>2923356.25</v>
      </c>
      <c r="P786" s="8" t="n">
        <v>1</v>
      </c>
      <c r="Q786" s="8" t="n">
        <v>1</v>
      </c>
    </row>
    <row r="787">
      <c r="A787" s="8" t="n">
        <v>98</v>
      </c>
      <c r="B787" s="8" t="inlineStr">
        <is>
          <t>TRANSFER</t>
        </is>
      </c>
      <c r="C787" s="9" t="n">
        <v>63624.08</v>
      </c>
      <c r="D787" s="8" t="inlineStr">
        <is>
          <t>C1872359745</t>
        </is>
      </c>
      <c r="E787" s="9" t="n">
        <v>63624.08</v>
      </c>
      <c r="F787" s="9" t="n">
        <v>0</v>
      </c>
      <c r="G787" s="8" t="inlineStr">
        <is>
          <t>C1089130504</t>
        </is>
      </c>
      <c r="H787" s="9" t="n">
        <v>0</v>
      </c>
      <c r="I787" s="9" t="n">
        <v>0</v>
      </c>
      <c r="J787" s="11" t="n">
        <v>1</v>
      </c>
      <c r="K787" s="8" t="n">
        <v>0</v>
      </c>
      <c r="L787" s="8" t="n">
        <v>1</v>
      </c>
      <c r="M787" s="9" t="n">
        <v>63624.08</v>
      </c>
      <c r="N787" s="9" t="n">
        <v>0</v>
      </c>
      <c r="O787" s="9" t="n">
        <v>63624.08</v>
      </c>
      <c r="P787" s="8" t="n">
        <v>1</v>
      </c>
      <c r="Q787" s="8" t="n">
        <v>1</v>
      </c>
    </row>
    <row r="788">
      <c r="A788" s="8" t="n">
        <v>350</v>
      </c>
      <c r="B788" s="8" t="inlineStr">
        <is>
          <t>CASH_OUT</t>
        </is>
      </c>
      <c r="C788" s="9" t="n">
        <v>3337.18</v>
      </c>
      <c r="D788" s="8" t="inlineStr">
        <is>
          <t>C1991826821</t>
        </is>
      </c>
      <c r="E788" s="9" t="n">
        <v>0</v>
      </c>
      <c r="F788" s="9" t="n">
        <v>0</v>
      </c>
      <c r="G788" s="8" t="inlineStr">
        <is>
          <t>C1607357456</t>
        </is>
      </c>
      <c r="H788" s="9" t="n">
        <v>1318593.62</v>
      </c>
      <c r="I788" s="9" t="n">
        <v>1321930.8</v>
      </c>
      <c r="J788" s="10" t="n">
        <v>0</v>
      </c>
      <c r="K788" s="8" t="n">
        <v>0</v>
      </c>
      <c r="L788" s="8" t="n">
        <v>1</v>
      </c>
      <c r="M788" s="9" t="n">
        <v>1318593.62</v>
      </c>
      <c r="N788" s="9" t="n">
        <v>3337.18</v>
      </c>
      <c r="O788" s="9" t="n">
        <v>0</v>
      </c>
      <c r="P788" s="8" t="n">
        <v>1</v>
      </c>
      <c r="Q788" s="8" t="n">
        <v>0</v>
      </c>
    </row>
    <row r="789">
      <c r="A789" s="8" t="n">
        <v>234</v>
      </c>
      <c r="B789" s="8" t="inlineStr">
        <is>
          <t>CASH_OUT</t>
        </is>
      </c>
      <c r="C789" s="9" t="n">
        <v>254400.58</v>
      </c>
      <c r="D789" s="8" t="inlineStr">
        <is>
          <t>C399548037</t>
        </is>
      </c>
      <c r="E789" s="9" t="n">
        <v>0</v>
      </c>
      <c r="F789" s="9" t="n">
        <v>0</v>
      </c>
      <c r="G789" s="8" t="inlineStr">
        <is>
          <t>C1546656945</t>
        </is>
      </c>
      <c r="H789" s="9" t="n">
        <v>2484793.11</v>
      </c>
      <c r="I789" s="9" t="n">
        <v>2739193.69</v>
      </c>
      <c r="J789" s="10" t="n">
        <v>0</v>
      </c>
      <c r="K789" s="8" t="n">
        <v>0</v>
      </c>
      <c r="L789" s="8" t="n">
        <v>1</v>
      </c>
      <c r="M789" s="9" t="n">
        <v>2484793.11</v>
      </c>
      <c r="N789" s="9" t="n">
        <v>254400.58</v>
      </c>
      <c r="O789" s="9" t="n">
        <v>0</v>
      </c>
      <c r="P789" s="8" t="n">
        <v>1</v>
      </c>
      <c r="Q789" s="8" t="n">
        <v>0</v>
      </c>
    </row>
    <row r="790">
      <c r="A790" s="8" t="n">
        <v>205</v>
      </c>
      <c r="B790" s="8" t="inlineStr">
        <is>
          <t>CASH_OUT</t>
        </is>
      </c>
      <c r="C790" s="9" t="n">
        <v>180490.7</v>
      </c>
      <c r="D790" s="8" t="inlineStr">
        <is>
          <t>C171263977</t>
        </is>
      </c>
      <c r="E790" s="9" t="n">
        <v>20396</v>
      </c>
      <c r="F790" s="9" t="n">
        <v>0</v>
      </c>
      <c r="G790" s="8" t="inlineStr">
        <is>
          <t>C537068930</t>
        </is>
      </c>
      <c r="H790" s="9" t="n">
        <v>0</v>
      </c>
      <c r="I790" s="9" t="n">
        <v>180490.7</v>
      </c>
      <c r="J790" s="10" t="n">
        <v>0</v>
      </c>
      <c r="K790" s="8" t="n">
        <v>0</v>
      </c>
      <c r="L790" s="8" t="n">
        <v>1</v>
      </c>
      <c r="M790" s="9" t="n">
        <v>20396</v>
      </c>
      <c r="N790" s="9" t="n">
        <v>160094.7</v>
      </c>
      <c r="O790" s="9" t="n">
        <v>0</v>
      </c>
      <c r="P790" s="8" t="n">
        <v>1</v>
      </c>
      <c r="Q790" s="8" t="n">
        <v>0</v>
      </c>
    </row>
    <row r="791">
      <c r="A791" s="8" t="n">
        <v>59</v>
      </c>
      <c r="B791" s="8" t="inlineStr">
        <is>
          <t>CASH_OUT</t>
        </is>
      </c>
      <c r="C791" s="9" t="n">
        <v>394388.09</v>
      </c>
      <c r="D791" s="8" t="inlineStr">
        <is>
          <t>C1802030448</t>
        </is>
      </c>
      <c r="E791" s="9" t="n">
        <v>394388.09</v>
      </c>
      <c r="F791" s="9" t="n">
        <v>0</v>
      </c>
      <c r="G791" s="8" t="inlineStr">
        <is>
          <t>C707965723</t>
        </is>
      </c>
      <c r="H791" s="9" t="n">
        <v>1260564.49</v>
      </c>
      <c r="I791" s="9" t="n">
        <v>1654952.58</v>
      </c>
      <c r="J791" s="11" t="n">
        <v>1</v>
      </c>
      <c r="K791" s="8" t="n">
        <v>0</v>
      </c>
      <c r="L791" s="8" t="n">
        <v>1</v>
      </c>
      <c r="M791" s="9" t="n">
        <v>866176.3999999999</v>
      </c>
      <c r="N791" s="9" t="n">
        <v>0</v>
      </c>
      <c r="O791" s="9" t="n">
        <v>0</v>
      </c>
      <c r="P791" s="8" t="n">
        <v>1</v>
      </c>
      <c r="Q791" s="8" t="n">
        <v>1</v>
      </c>
    </row>
    <row r="792">
      <c r="A792" s="8" t="n">
        <v>330</v>
      </c>
      <c r="B792" s="8" t="inlineStr">
        <is>
          <t>PAYMENT</t>
        </is>
      </c>
      <c r="C792" s="9" t="n">
        <v>6567.1</v>
      </c>
      <c r="D792" s="8" t="inlineStr">
        <is>
          <t>C15401048</t>
        </is>
      </c>
      <c r="E792" s="9" t="n">
        <v>53233</v>
      </c>
      <c r="F792" s="9" t="n">
        <v>46665.9</v>
      </c>
      <c r="G792" s="8" t="inlineStr">
        <is>
          <t>M1557998278</t>
        </is>
      </c>
      <c r="H792" s="9" t="n">
        <v>0</v>
      </c>
      <c r="I792" s="9" t="n">
        <v>0</v>
      </c>
      <c r="J792" s="10" t="n">
        <v>0</v>
      </c>
      <c r="K792" s="8" t="n">
        <v>1</v>
      </c>
      <c r="L792" s="8" t="n">
        <v>0</v>
      </c>
      <c r="M792" s="9" t="n">
        <v>53233</v>
      </c>
      <c r="N792" s="9" t="n">
        <v>0</v>
      </c>
      <c r="O792" s="9" t="n">
        <v>6567.1</v>
      </c>
      <c r="P792" s="8" t="n">
        <v>0</v>
      </c>
      <c r="Q792" s="8" t="n">
        <v>1</v>
      </c>
    </row>
    <row r="793">
      <c r="A793" s="8" t="n">
        <v>232</v>
      </c>
      <c r="B793" s="8" t="inlineStr">
        <is>
          <t>CASH_IN</t>
        </is>
      </c>
      <c r="C793" s="9" t="n">
        <v>139580.1</v>
      </c>
      <c r="D793" s="8" t="inlineStr">
        <is>
          <t>C54546417</t>
        </is>
      </c>
      <c r="E793" s="9" t="n">
        <v>4523</v>
      </c>
      <c r="F793" s="9" t="n">
        <v>144103.1</v>
      </c>
      <c r="G793" s="8" t="inlineStr">
        <is>
          <t>C1526573239</t>
        </is>
      </c>
      <c r="H793" s="9" t="n">
        <v>282349.45</v>
      </c>
      <c r="I793" s="9" t="n">
        <v>133889.45</v>
      </c>
      <c r="J793" s="10" t="n">
        <v>0</v>
      </c>
      <c r="K793" s="8" t="n">
        <v>0</v>
      </c>
      <c r="L793" s="8" t="n">
        <v>0</v>
      </c>
      <c r="M793" s="9" t="n">
        <v>277826.45</v>
      </c>
      <c r="N793" s="9" t="n">
        <v>279160.2</v>
      </c>
      <c r="O793" s="9" t="n">
        <v>288040.1</v>
      </c>
      <c r="P793" s="8" t="n">
        <v>1</v>
      </c>
      <c r="Q793" s="8" t="n">
        <v>0</v>
      </c>
    </row>
    <row r="794">
      <c r="A794" s="8" t="n">
        <v>355</v>
      </c>
      <c r="B794" s="8" t="inlineStr">
        <is>
          <t>PAYMENT</t>
        </is>
      </c>
      <c r="C794" s="9" t="n">
        <v>19439.37</v>
      </c>
      <c r="D794" s="8" t="inlineStr">
        <is>
          <t>C907147321</t>
        </is>
      </c>
      <c r="E794" s="9" t="n">
        <v>0</v>
      </c>
      <c r="F794" s="9" t="n">
        <v>0</v>
      </c>
      <c r="G794" s="8" t="inlineStr">
        <is>
          <t>M1692938088</t>
        </is>
      </c>
      <c r="H794" s="9" t="n">
        <v>0</v>
      </c>
      <c r="I794" s="9" t="n">
        <v>0</v>
      </c>
      <c r="J794" s="10" t="n">
        <v>0</v>
      </c>
      <c r="K794" s="8" t="n">
        <v>1</v>
      </c>
      <c r="L794" s="8" t="n">
        <v>0</v>
      </c>
      <c r="M794" s="9" t="n">
        <v>0</v>
      </c>
      <c r="N794" s="9" t="n">
        <v>19439.37</v>
      </c>
      <c r="O794" s="9" t="n">
        <v>19439.37</v>
      </c>
      <c r="P794" s="8" t="n">
        <v>0</v>
      </c>
      <c r="Q794" s="8" t="n">
        <v>0</v>
      </c>
    </row>
    <row r="795">
      <c r="A795" s="8" t="n">
        <v>688</v>
      </c>
      <c r="B795" s="8" t="inlineStr">
        <is>
          <t>CASH_OUT</t>
        </is>
      </c>
      <c r="C795" s="9" t="n">
        <v>676913.6899999999</v>
      </c>
      <c r="D795" s="8" t="inlineStr">
        <is>
          <t>C1681616324</t>
        </is>
      </c>
      <c r="E795" s="9" t="n">
        <v>676913.6899999999</v>
      </c>
      <c r="F795" s="9" t="n">
        <v>0</v>
      </c>
      <c r="G795" s="8" t="inlineStr">
        <is>
          <t>C624338694</t>
        </is>
      </c>
      <c r="H795" s="9" t="n">
        <v>2202695.62</v>
      </c>
      <c r="I795" s="9" t="n">
        <v>2879609.32</v>
      </c>
      <c r="J795" s="11" t="n">
        <v>1</v>
      </c>
      <c r="K795" s="8" t="n">
        <v>0</v>
      </c>
      <c r="L795" s="8" t="n">
        <v>1</v>
      </c>
      <c r="M795" s="9" t="n">
        <v>1525781.93</v>
      </c>
      <c r="N795" s="9" t="n">
        <v>0</v>
      </c>
      <c r="O795" s="9" t="n">
        <v>-0.01</v>
      </c>
      <c r="P795" s="8" t="n">
        <v>1</v>
      </c>
      <c r="Q795" s="8" t="n">
        <v>1</v>
      </c>
    </row>
    <row r="796">
      <c r="A796" s="8" t="n">
        <v>264</v>
      </c>
      <c r="B796" s="8" t="inlineStr">
        <is>
          <t>CASH_OUT</t>
        </is>
      </c>
      <c r="C796" s="9" t="n">
        <v>7304.56</v>
      </c>
      <c r="D796" s="8" t="inlineStr">
        <is>
          <t>C1939262024</t>
        </is>
      </c>
      <c r="E796" s="9" t="n">
        <v>7304.56</v>
      </c>
      <c r="F796" s="9" t="n">
        <v>0</v>
      </c>
      <c r="G796" s="8" t="inlineStr">
        <is>
          <t>C239252386</t>
        </is>
      </c>
      <c r="H796" s="9" t="n">
        <v>0</v>
      </c>
      <c r="I796" s="9" t="n">
        <v>7304.56</v>
      </c>
      <c r="J796" s="11" t="n">
        <v>1</v>
      </c>
      <c r="K796" s="8" t="n">
        <v>0</v>
      </c>
      <c r="L796" s="8" t="n">
        <v>1</v>
      </c>
      <c r="M796" s="9" t="n">
        <v>7304.56</v>
      </c>
      <c r="N796" s="9" t="n">
        <v>0</v>
      </c>
      <c r="O796" s="9" t="n">
        <v>0</v>
      </c>
      <c r="P796" s="8" t="n">
        <v>1</v>
      </c>
      <c r="Q796" s="8" t="n">
        <v>1</v>
      </c>
    </row>
    <row r="797">
      <c r="A797" s="8" t="n">
        <v>372</v>
      </c>
      <c r="B797" s="8" t="inlineStr">
        <is>
          <t>PAYMENT</t>
        </is>
      </c>
      <c r="C797" s="9" t="n">
        <v>11767.5</v>
      </c>
      <c r="D797" s="8" t="inlineStr">
        <is>
          <t>C1515049342</t>
        </is>
      </c>
      <c r="E797" s="9" t="n">
        <v>32046.67</v>
      </c>
      <c r="F797" s="9" t="n">
        <v>20279.16</v>
      </c>
      <c r="G797" s="8" t="inlineStr">
        <is>
          <t>M1695469180</t>
        </is>
      </c>
      <c r="H797" s="9" t="n">
        <v>0</v>
      </c>
      <c r="I797" s="9" t="n">
        <v>0</v>
      </c>
      <c r="J797" s="10" t="n">
        <v>0</v>
      </c>
      <c r="K797" s="8" t="n">
        <v>1</v>
      </c>
      <c r="L797" s="8" t="n">
        <v>0</v>
      </c>
      <c r="M797" s="9" t="n">
        <v>32046.67</v>
      </c>
      <c r="N797" s="9" t="n">
        <v>-0.01</v>
      </c>
      <c r="O797" s="9" t="n">
        <v>11767.5</v>
      </c>
      <c r="P797" s="8" t="n">
        <v>0</v>
      </c>
      <c r="Q797" s="8" t="n">
        <v>1</v>
      </c>
    </row>
    <row r="798">
      <c r="A798" s="8" t="n">
        <v>373</v>
      </c>
      <c r="B798" s="8" t="inlineStr">
        <is>
          <t>CASH_IN</t>
        </is>
      </c>
      <c r="C798" s="9" t="n">
        <v>179826.28</v>
      </c>
      <c r="D798" s="8" t="inlineStr">
        <is>
          <t>C1674830826</t>
        </is>
      </c>
      <c r="E798" s="9" t="n">
        <v>5616198.6</v>
      </c>
      <c r="F798" s="9" t="n">
        <v>5796024.88</v>
      </c>
      <c r="G798" s="8" t="inlineStr">
        <is>
          <t>C1334798773</t>
        </is>
      </c>
      <c r="H798" s="9" t="n">
        <v>193987.38</v>
      </c>
      <c r="I798" s="9" t="n">
        <v>14161.11</v>
      </c>
      <c r="J798" s="10" t="n">
        <v>0</v>
      </c>
      <c r="K798" s="8" t="n">
        <v>0</v>
      </c>
      <c r="L798" s="8" t="n">
        <v>0</v>
      </c>
      <c r="M798" s="9" t="n">
        <v>5422211.22</v>
      </c>
      <c r="N798" s="9" t="n">
        <v>359652.56</v>
      </c>
      <c r="O798" s="9" t="n">
        <v>359652.55</v>
      </c>
      <c r="P798" s="8" t="n">
        <v>1</v>
      </c>
      <c r="Q798" s="8" t="n">
        <v>0</v>
      </c>
    </row>
    <row r="799">
      <c r="A799" s="8" t="n">
        <v>157</v>
      </c>
      <c r="B799" s="8" t="inlineStr">
        <is>
          <t>CASH_IN</t>
        </is>
      </c>
      <c r="C799" s="9" t="n">
        <v>282295.56</v>
      </c>
      <c r="D799" s="8" t="inlineStr">
        <is>
          <t>C1417953174</t>
        </is>
      </c>
      <c r="E799" s="9" t="n">
        <v>6488221.85</v>
      </c>
      <c r="F799" s="9" t="n">
        <v>6770517.41</v>
      </c>
      <c r="G799" s="8" t="inlineStr">
        <is>
          <t>C703503966</t>
        </is>
      </c>
      <c r="H799" s="9" t="n">
        <v>599602.4399999999</v>
      </c>
      <c r="I799" s="9" t="n">
        <v>330438.61</v>
      </c>
      <c r="J799" s="10" t="n">
        <v>0</v>
      </c>
      <c r="K799" s="8" t="n">
        <v>0</v>
      </c>
      <c r="L799" s="8" t="n">
        <v>0</v>
      </c>
      <c r="M799" s="9" t="n">
        <v>5888619.41</v>
      </c>
      <c r="N799" s="9" t="n">
        <v>564591.12</v>
      </c>
      <c r="O799" s="9" t="n">
        <v>551459.39</v>
      </c>
      <c r="P799" s="8" t="n">
        <v>1</v>
      </c>
      <c r="Q799" s="8" t="n">
        <v>0</v>
      </c>
    </row>
    <row r="800">
      <c r="A800" s="8" t="n">
        <v>631</v>
      </c>
      <c r="B800" s="8" t="inlineStr">
        <is>
          <t>CASH_OUT</t>
        </is>
      </c>
      <c r="C800" s="9" t="n">
        <v>3120690.98</v>
      </c>
      <c r="D800" s="8" t="inlineStr">
        <is>
          <t>C384250623</t>
        </is>
      </c>
      <c r="E800" s="9" t="n">
        <v>3120690.98</v>
      </c>
      <c r="F800" s="9" t="n">
        <v>0</v>
      </c>
      <c r="G800" s="8" t="inlineStr">
        <is>
          <t>C2002380893</t>
        </is>
      </c>
      <c r="H800" s="9" t="n">
        <v>3881444.6</v>
      </c>
      <c r="I800" s="9" t="n">
        <v>7002135.58</v>
      </c>
      <c r="J800" s="11" t="n">
        <v>1</v>
      </c>
      <c r="K800" s="8" t="n">
        <v>0</v>
      </c>
      <c r="L800" s="8" t="n">
        <v>1</v>
      </c>
      <c r="M800" s="9" t="n">
        <v>760753.6200000001</v>
      </c>
      <c r="N800" s="9" t="n">
        <v>0</v>
      </c>
      <c r="O800" s="9" t="n">
        <v>0</v>
      </c>
      <c r="P800" s="8" t="n">
        <v>1</v>
      </c>
      <c r="Q800" s="8" t="n">
        <v>1</v>
      </c>
    </row>
    <row r="801">
      <c r="A801" s="8" t="n">
        <v>587</v>
      </c>
      <c r="B801" s="8" t="inlineStr">
        <is>
          <t>TRANSFER</t>
        </is>
      </c>
      <c r="C801" s="9" t="n">
        <v>985127.95</v>
      </c>
      <c r="D801" s="8" t="inlineStr">
        <is>
          <t>C1119643786</t>
        </is>
      </c>
      <c r="E801" s="9" t="n">
        <v>985127.95</v>
      </c>
      <c r="F801" s="9" t="n">
        <v>0</v>
      </c>
      <c r="G801" s="8" t="inlineStr">
        <is>
          <t>C665763176</t>
        </is>
      </c>
      <c r="H801" s="9" t="n">
        <v>0</v>
      </c>
      <c r="I801" s="9" t="n">
        <v>0</v>
      </c>
      <c r="J801" s="11" t="n">
        <v>1</v>
      </c>
      <c r="K801" s="8" t="n">
        <v>0</v>
      </c>
      <c r="L801" s="8" t="n">
        <v>1</v>
      </c>
      <c r="M801" s="9" t="n">
        <v>985127.95</v>
      </c>
      <c r="N801" s="9" t="n">
        <v>0</v>
      </c>
      <c r="O801" s="9" t="n">
        <v>985127.95</v>
      </c>
      <c r="P801" s="8" t="n">
        <v>1</v>
      </c>
      <c r="Q801" s="8" t="n">
        <v>1</v>
      </c>
    </row>
    <row r="802">
      <c r="A802" s="8" t="n">
        <v>349</v>
      </c>
      <c r="B802" s="8" t="inlineStr">
        <is>
          <t>DEBIT</t>
        </is>
      </c>
      <c r="C802" s="9" t="n">
        <v>9098.41</v>
      </c>
      <c r="D802" s="8" t="inlineStr">
        <is>
          <t>C937836446</t>
        </is>
      </c>
      <c r="E802" s="9" t="n">
        <v>0</v>
      </c>
      <c r="F802" s="9" t="n">
        <v>0</v>
      </c>
      <c r="G802" s="8" t="inlineStr">
        <is>
          <t>C510354399</t>
        </is>
      </c>
      <c r="H802" s="9" t="n">
        <v>57661.94</v>
      </c>
      <c r="I802" s="9" t="n">
        <v>66760.35000000001</v>
      </c>
      <c r="J802" s="10" t="n">
        <v>0</v>
      </c>
      <c r="K802" s="8" t="n">
        <v>1</v>
      </c>
      <c r="L802" s="8" t="n">
        <v>0</v>
      </c>
      <c r="M802" s="9" t="n">
        <v>57661.94</v>
      </c>
      <c r="N802" s="9" t="n">
        <v>9098.41</v>
      </c>
      <c r="O802" s="9" t="n">
        <v>0</v>
      </c>
      <c r="P802" s="8" t="n">
        <v>1</v>
      </c>
      <c r="Q802" s="8" t="n">
        <v>0</v>
      </c>
    </row>
    <row r="803">
      <c r="A803" s="8" t="n">
        <v>177</v>
      </c>
      <c r="B803" s="8" t="inlineStr">
        <is>
          <t>CASH_OUT</t>
        </is>
      </c>
      <c r="C803" s="9" t="n">
        <v>26460.22</v>
      </c>
      <c r="D803" s="8" t="inlineStr">
        <is>
          <t>C816929958</t>
        </is>
      </c>
      <c r="E803" s="9" t="n">
        <v>0</v>
      </c>
      <c r="F803" s="9" t="n">
        <v>0</v>
      </c>
      <c r="G803" s="8" t="inlineStr">
        <is>
          <t>C1778835268</t>
        </is>
      </c>
      <c r="H803" s="9" t="n">
        <v>448079.84</v>
      </c>
      <c r="I803" s="9" t="n">
        <v>474540.06</v>
      </c>
      <c r="J803" s="10" t="n">
        <v>0</v>
      </c>
      <c r="K803" s="8" t="n">
        <v>0</v>
      </c>
      <c r="L803" s="8" t="n">
        <v>1</v>
      </c>
      <c r="M803" s="9" t="n">
        <v>448079.84</v>
      </c>
      <c r="N803" s="9" t="n">
        <v>26460.22</v>
      </c>
      <c r="O803" s="9" t="n">
        <v>0</v>
      </c>
      <c r="P803" s="8" t="n">
        <v>1</v>
      </c>
      <c r="Q803" s="8" t="n">
        <v>0</v>
      </c>
    </row>
    <row r="804">
      <c r="A804" s="8" t="n">
        <v>524</v>
      </c>
      <c r="B804" s="8" t="inlineStr">
        <is>
          <t>CASH_OUT</t>
        </is>
      </c>
      <c r="C804" s="9" t="n">
        <v>192748.59</v>
      </c>
      <c r="D804" s="8" t="inlineStr">
        <is>
          <t>C1545210780</t>
        </is>
      </c>
      <c r="E804" s="9" t="n">
        <v>19095</v>
      </c>
      <c r="F804" s="9" t="n">
        <v>0</v>
      </c>
      <c r="G804" s="8" t="inlineStr">
        <is>
          <t>C1580132715</t>
        </is>
      </c>
      <c r="H804" s="9" t="n">
        <v>3789687.82</v>
      </c>
      <c r="I804" s="9" t="n">
        <v>3982436.41</v>
      </c>
      <c r="J804" s="10" t="n">
        <v>0</v>
      </c>
      <c r="K804" s="8" t="n">
        <v>0</v>
      </c>
      <c r="L804" s="8" t="n">
        <v>1</v>
      </c>
      <c r="M804" s="9" t="n">
        <v>3770592.82</v>
      </c>
      <c r="N804" s="9" t="n">
        <v>173653.59</v>
      </c>
      <c r="O804" s="9" t="n">
        <v>-0</v>
      </c>
      <c r="P804" s="8" t="n">
        <v>1</v>
      </c>
      <c r="Q804" s="8" t="n">
        <v>0</v>
      </c>
    </row>
    <row r="805">
      <c r="A805" s="8" t="n">
        <v>39</v>
      </c>
      <c r="B805" s="8" t="inlineStr">
        <is>
          <t>PAYMENT</t>
        </is>
      </c>
      <c r="C805" s="9" t="n">
        <v>2180.71</v>
      </c>
      <c r="D805" s="8" t="inlineStr">
        <is>
          <t>C250205734</t>
        </is>
      </c>
      <c r="E805" s="9" t="n">
        <v>30167</v>
      </c>
      <c r="F805" s="9" t="n">
        <v>27986.29</v>
      </c>
      <c r="G805" s="8" t="inlineStr">
        <is>
          <t>M559494688</t>
        </is>
      </c>
      <c r="H805" s="9" t="n">
        <v>0</v>
      </c>
      <c r="I805" s="9" t="n">
        <v>0</v>
      </c>
      <c r="J805" s="10" t="n">
        <v>0</v>
      </c>
      <c r="K805" s="8" t="n">
        <v>1</v>
      </c>
      <c r="L805" s="8" t="n">
        <v>0</v>
      </c>
      <c r="M805" s="9" t="n">
        <v>30167</v>
      </c>
      <c r="N805" s="9" t="n">
        <v>0</v>
      </c>
      <c r="O805" s="9" t="n">
        <v>2180.71</v>
      </c>
      <c r="P805" s="8" t="n">
        <v>0</v>
      </c>
      <c r="Q805" s="8" t="n">
        <v>1</v>
      </c>
    </row>
    <row r="806">
      <c r="A806" s="8" t="n">
        <v>207</v>
      </c>
      <c r="B806" s="8" t="inlineStr">
        <is>
          <t>PAYMENT</t>
        </is>
      </c>
      <c r="C806" s="9" t="n">
        <v>1721.46</v>
      </c>
      <c r="D806" s="8" t="inlineStr">
        <is>
          <t>C1721105538</t>
        </is>
      </c>
      <c r="E806" s="9" t="n">
        <v>132177</v>
      </c>
      <c r="F806" s="9" t="n">
        <v>130455.54</v>
      </c>
      <c r="G806" s="8" t="inlineStr">
        <is>
          <t>M662411788</t>
        </is>
      </c>
      <c r="H806" s="9" t="n">
        <v>0</v>
      </c>
      <c r="I806" s="9" t="n">
        <v>0</v>
      </c>
      <c r="J806" s="10" t="n">
        <v>0</v>
      </c>
      <c r="K806" s="8" t="n">
        <v>1</v>
      </c>
      <c r="L806" s="8" t="n">
        <v>0</v>
      </c>
      <c r="M806" s="9" t="n">
        <v>132177</v>
      </c>
      <c r="N806" s="9" t="n">
        <v>0</v>
      </c>
      <c r="O806" s="9" t="n">
        <v>1721.46</v>
      </c>
      <c r="P806" s="8" t="n">
        <v>0</v>
      </c>
      <c r="Q806" s="8" t="n">
        <v>1</v>
      </c>
    </row>
    <row r="807">
      <c r="A807" s="8" t="n">
        <v>204</v>
      </c>
      <c r="B807" s="8" t="inlineStr">
        <is>
          <t>PAYMENT</t>
        </is>
      </c>
      <c r="C807" s="9" t="n">
        <v>2132.5</v>
      </c>
      <c r="D807" s="8" t="inlineStr">
        <is>
          <t>C1028945431</t>
        </is>
      </c>
      <c r="E807" s="9" t="n">
        <v>61726</v>
      </c>
      <c r="F807" s="9" t="n">
        <v>59593.5</v>
      </c>
      <c r="G807" s="8" t="inlineStr">
        <is>
          <t>M1135422059</t>
        </is>
      </c>
      <c r="H807" s="9" t="n">
        <v>0</v>
      </c>
      <c r="I807" s="9" t="n">
        <v>0</v>
      </c>
      <c r="J807" s="10" t="n">
        <v>0</v>
      </c>
      <c r="K807" s="8" t="n">
        <v>1</v>
      </c>
      <c r="L807" s="8" t="n">
        <v>0</v>
      </c>
      <c r="M807" s="9" t="n">
        <v>61726</v>
      </c>
      <c r="N807" s="9" t="n">
        <v>0</v>
      </c>
      <c r="O807" s="9" t="n">
        <v>2132.5</v>
      </c>
      <c r="P807" s="8" t="n">
        <v>0</v>
      </c>
      <c r="Q807" s="8" t="n">
        <v>1</v>
      </c>
    </row>
    <row r="808">
      <c r="A808" s="8" t="n">
        <v>273</v>
      </c>
      <c r="B808" s="8" t="inlineStr">
        <is>
          <t>CASH_OUT</t>
        </is>
      </c>
      <c r="C808" s="9" t="n">
        <v>45504.18</v>
      </c>
      <c r="D808" s="8" t="inlineStr">
        <is>
          <t>C786596310</t>
        </is>
      </c>
      <c r="E808" s="9" t="n">
        <v>0</v>
      </c>
      <c r="F808" s="9" t="n">
        <v>0</v>
      </c>
      <c r="G808" s="8" t="inlineStr">
        <is>
          <t>C1441051345</t>
        </is>
      </c>
      <c r="H808" s="9" t="n">
        <v>1616777.67</v>
      </c>
      <c r="I808" s="9" t="n">
        <v>1662281.85</v>
      </c>
      <c r="J808" s="10" t="n">
        <v>0</v>
      </c>
      <c r="K808" s="8" t="n">
        <v>0</v>
      </c>
      <c r="L808" s="8" t="n">
        <v>1</v>
      </c>
      <c r="M808" s="9" t="n">
        <v>1616777.67</v>
      </c>
      <c r="N808" s="9" t="n">
        <v>45504.18</v>
      </c>
      <c r="O808" s="9" t="n">
        <v>-0</v>
      </c>
      <c r="P808" s="8" t="n">
        <v>1</v>
      </c>
      <c r="Q808" s="8" t="n">
        <v>0</v>
      </c>
    </row>
    <row r="809">
      <c r="A809" s="8" t="n">
        <v>149</v>
      </c>
      <c r="B809" s="8" t="inlineStr">
        <is>
          <t>TRANSFER</t>
        </is>
      </c>
      <c r="C809" s="9" t="n">
        <v>155534.95</v>
      </c>
      <c r="D809" s="8" t="inlineStr">
        <is>
          <t>C1706545542</t>
        </is>
      </c>
      <c r="E809" s="9" t="n">
        <v>155534.95</v>
      </c>
      <c r="F809" s="9" t="n">
        <v>0</v>
      </c>
      <c r="G809" s="8" t="inlineStr">
        <is>
          <t>C2068537951</t>
        </is>
      </c>
      <c r="H809" s="9" t="n">
        <v>0</v>
      </c>
      <c r="I809" s="9" t="n">
        <v>0</v>
      </c>
      <c r="J809" s="11" t="n">
        <v>1</v>
      </c>
      <c r="K809" s="8" t="n">
        <v>0</v>
      </c>
      <c r="L809" s="8" t="n">
        <v>1</v>
      </c>
      <c r="M809" s="9" t="n">
        <v>155534.95</v>
      </c>
      <c r="N809" s="9" t="n">
        <v>0</v>
      </c>
      <c r="O809" s="9" t="n">
        <v>155534.95</v>
      </c>
      <c r="P809" s="8" t="n">
        <v>1</v>
      </c>
      <c r="Q809" s="8" t="n">
        <v>1</v>
      </c>
    </row>
    <row r="810">
      <c r="A810" s="8" t="n">
        <v>349</v>
      </c>
      <c r="B810" s="8" t="inlineStr">
        <is>
          <t>CASH_IN</t>
        </is>
      </c>
      <c r="C810" s="9" t="n">
        <v>632116.11</v>
      </c>
      <c r="D810" s="8" t="inlineStr">
        <is>
          <t>C912975833</t>
        </is>
      </c>
      <c r="E810" s="9" t="n">
        <v>5063</v>
      </c>
      <c r="F810" s="9" t="n">
        <v>637179.11</v>
      </c>
      <c r="G810" s="8" t="inlineStr">
        <is>
          <t>C1492468769</t>
        </is>
      </c>
      <c r="H810" s="9" t="n">
        <v>0</v>
      </c>
      <c r="I810" s="9" t="n">
        <v>0</v>
      </c>
      <c r="J810" s="10" t="n">
        <v>0</v>
      </c>
      <c r="K810" s="8" t="n">
        <v>0</v>
      </c>
      <c r="L810" s="8" t="n">
        <v>0</v>
      </c>
      <c r="M810" s="9" t="n">
        <v>5063</v>
      </c>
      <c r="N810" s="9" t="n">
        <v>1264232.22</v>
      </c>
      <c r="O810" s="9" t="n">
        <v>632116.11</v>
      </c>
      <c r="P810" s="8" t="n">
        <v>1</v>
      </c>
      <c r="Q810" s="8" t="n">
        <v>0</v>
      </c>
    </row>
    <row r="811">
      <c r="A811" s="8" t="n">
        <v>34</v>
      </c>
      <c r="B811" s="8" t="inlineStr">
        <is>
          <t>PAYMENT</t>
        </is>
      </c>
      <c r="C811" s="9" t="n">
        <v>4794.24</v>
      </c>
      <c r="D811" s="8" t="inlineStr">
        <is>
          <t>C29143096</t>
        </is>
      </c>
      <c r="E811" s="9" t="n">
        <v>39880</v>
      </c>
      <c r="F811" s="9" t="n">
        <v>35085.76</v>
      </c>
      <c r="G811" s="8" t="inlineStr">
        <is>
          <t>M1815476816</t>
        </is>
      </c>
      <c r="H811" s="9" t="n">
        <v>0</v>
      </c>
      <c r="I811" s="9" t="n">
        <v>0</v>
      </c>
      <c r="J811" s="10" t="n">
        <v>0</v>
      </c>
      <c r="K811" s="8" t="n">
        <v>1</v>
      </c>
      <c r="L811" s="8" t="n">
        <v>0</v>
      </c>
      <c r="M811" s="9" t="n">
        <v>39880</v>
      </c>
      <c r="N811" s="9" t="n">
        <v>0</v>
      </c>
      <c r="O811" s="9" t="n">
        <v>4794.24</v>
      </c>
      <c r="P811" s="8" t="n">
        <v>0</v>
      </c>
      <c r="Q811" s="8" t="n">
        <v>1</v>
      </c>
    </row>
    <row r="812">
      <c r="A812" s="8" t="n">
        <v>182</v>
      </c>
      <c r="B812" s="8" t="inlineStr">
        <is>
          <t>CASH_IN</t>
        </is>
      </c>
      <c r="C812" s="9" t="n">
        <v>206051.65</v>
      </c>
      <c r="D812" s="8" t="inlineStr">
        <is>
          <t>C631370465</t>
        </is>
      </c>
      <c r="E812" s="9" t="n">
        <v>1497351.53</v>
      </c>
      <c r="F812" s="9" t="n">
        <v>1703403.18</v>
      </c>
      <c r="G812" s="8" t="inlineStr">
        <is>
          <t>C1754391457</t>
        </is>
      </c>
      <c r="H812" s="9" t="n">
        <v>2823757.09</v>
      </c>
      <c r="I812" s="9" t="n">
        <v>2617705.44</v>
      </c>
      <c r="J812" s="10" t="n">
        <v>0</v>
      </c>
      <c r="K812" s="8" t="n">
        <v>0</v>
      </c>
      <c r="L812" s="8" t="n">
        <v>0</v>
      </c>
      <c r="M812" s="9" t="n">
        <v>1326405.56</v>
      </c>
      <c r="N812" s="9" t="n">
        <v>412103.3</v>
      </c>
      <c r="O812" s="9" t="n">
        <v>412103.3</v>
      </c>
      <c r="P812" s="8" t="n">
        <v>1</v>
      </c>
      <c r="Q812" s="8" t="n">
        <v>0</v>
      </c>
    </row>
    <row r="813">
      <c r="A813" s="8" t="n">
        <v>136</v>
      </c>
      <c r="B813" s="8" t="inlineStr">
        <is>
          <t>TRANSFER</t>
        </is>
      </c>
      <c r="C813" s="9" t="n">
        <v>1537512.1</v>
      </c>
      <c r="D813" s="8" t="inlineStr">
        <is>
          <t>C1237813414</t>
        </is>
      </c>
      <c r="E813" s="9" t="n">
        <v>21194</v>
      </c>
      <c r="F813" s="9" t="n">
        <v>0</v>
      </c>
      <c r="G813" s="8" t="inlineStr">
        <is>
          <t>C2026975295</t>
        </is>
      </c>
      <c r="H813" s="9" t="n">
        <v>8353713.05</v>
      </c>
      <c r="I813" s="9" t="n">
        <v>9891225.15</v>
      </c>
      <c r="J813" s="10" t="n">
        <v>0</v>
      </c>
      <c r="K813" s="8" t="n">
        <v>0</v>
      </c>
      <c r="L813" s="8" t="n">
        <v>1</v>
      </c>
      <c r="M813" s="9" t="n">
        <v>8332519.05</v>
      </c>
      <c r="N813" s="9" t="n">
        <v>1516318.1</v>
      </c>
      <c r="O813" s="9" t="n">
        <v>0</v>
      </c>
      <c r="P813" s="8" t="n">
        <v>1</v>
      </c>
      <c r="Q813" s="8" t="n">
        <v>0</v>
      </c>
    </row>
    <row r="814">
      <c r="A814" s="8" t="n">
        <v>250</v>
      </c>
      <c r="B814" s="8" t="inlineStr">
        <is>
          <t>CASH_IN</t>
        </is>
      </c>
      <c r="C814" s="9" t="n">
        <v>142793.96</v>
      </c>
      <c r="D814" s="8" t="inlineStr">
        <is>
          <t>C1814780653</t>
        </is>
      </c>
      <c r="E814" s="9" t="n">
        <v>206778</v>
      </c>
      <c r="F814" s="9" t="n">
        <v>349571.96</v>
      </c>
      <c r="G814" s="8" t="inlineStr">
        <is>
          <t>C1259689538</t>
        </is>
      </c>
      <c r="H814" s="9" t="n">
        <v>754727.63</v>
      </c>
      <c r="I814" s="9" t="n">
        <v>611933.67</v>
      </c>
      <c r="J814" s="10" t="n">
        <v>0</v>
      </c>
      <c r="K814" s="8" t="n">
        <v>0</v>
      </c>
      <c r="L814" s="8" t="n">
        <v>0</v>
      </c>
      <c r="M814" s="9" t="n">
        <v>547949.63</v>
      </c>
      <c r="N814" s="9" t="n">
        <v>285587.92</v>
      </c>
      <c r="O814" s="9" t="n">
        <v>285587.92</v>
      </c>
      <c r="P814" s="8" t="n">
        <v>1</v>
      </c>
      <c r="Q814" s="8" t="n">
        <v>0</v>
      </c>
    </row>
    <row r="815">
      <c r="A815" s="8" t="n">
        <v>369</v>
      </c>
      <c r="B815" s="8" t="inlineStr">
        <is>
          <t>PAYMENT</t>
        </is>
      </c>
      <c r="C815" s="9" t="n">
        <v>36239.8</v>
      </c>
      <c r="D815" s="8" t="inlineStr">
        <is>
          <t>C395194566</t>
        </is>
      </c>
      <c r="E815" s="9" t="n">
        <v>15908</v>
      </c>
      <c r="F815" s="9" t="n">
        <v>0</v>
      </c>
      <c r="G815" s="8" t="inlineStr">
        <is>
          <t>M1711457665</t>
        </is>
      </c>
      <c r="H815" s="9" t="n">
        <v>0</v>
      </c>
      <c r="I815" s="9" t="n">
        <v>0</v>
      </c>
      <c r="J815" s="10" t="n">
        <v>0</v>
      </c>
      <c r="K815" s="8" t="n">
        <v>1</v>
      </c>
      <c r="L815" s="8" t="n">
        <v>0</v>
      </c>
      <c r="M815" s="9" t="n">
        <v>15908</v>
      </c>
      <c r="N815" s="9" t="n">
        <v>20331.8</v>
      </c>
      <c r="O815" s="9" t="n">
        <v>36239.8</v>
      </c>
      <c r="P815" s="8" t="n">
        <v>0</v>
      </c>
      <c r="Q815" s="8" t="n">
        <v>0</v>
      </c>
    </row>
    <row r="816">
      <c r="A816" s="8" t="n">
        <v>78</v>
      </c>
      <c r="B816" s="8" t="inlineStr">
        <is>
          <t>TRANSFER</t>
        </is>
      </c>
      <c r="C816" s="9" t="n">
        <v>178569.48</v>
      </c>
      <c r="D816" s="8" t="inlineStr">
        <is>
          <t>C282621115</t>
        </is>
      </c>
      <c r="E816" s="9" t="n">
        <v>178569.48</v>
      </c>
      <c r="F816" s="9" t="n">
        <v>0</v>
      </c>
      <c r="G816" s="8" t="inlineStr">
        <is>
          <t>C2027238520</t>
        </is>
      </c>
      <c r="H816" s="9" t="n">
        <v>0</v>
      </c>
      <c r="I816" s="9" t="n">
        <v>0</v>
      </c>
      <c r="J816" s="11" t="n">
        <v>1</v>
      </c>
      <c r="K816" s="8" t="n">
        <v>0</v>
      </c>
      <c r="L816" s="8" t="n">
        <v>1</v>
      </c>
      <c r="M816" s="9" t="n">
        <v>178569.48</v>
      </c>
      <c r="N816" s="9" t="n">
        <v>0</v>
      </c>
      <c r="O816" s="9" t="n">
        <v>178569.48</v>
      </c>
      <c r="P816" s="8" t="n">
        <v>1</v>
      </c>
      <c r="Q816" s="8" t="n">
        <v>1</v>
      </c>
    </row>
    <row r="817">
      <c r="A817" s="8" t="n">
        <v>327</v>
      </c>
      <c r="B817" s="8" t="inlineStr">
        <is>
          <t>CASH_OUT</t>
        </is>
      </c>
      <c r="C817" s="9" t="n">
        <v>146729.67</v>
      </c>
      <c r="D817" s="8" t="inlineStr">
        <is>
          <t>C661431090</t>
        </is>
      </c>
      <c r="E817" s="9" t="n">
        <v>146729.67</v>
      </c>
      <c r="F817" s="9" t="n">
        <v>0</v>
      </c>
      <c r="G817" s="8" t="inlineStr">
        <is>
          <t>C249687884</t>
        </is>
      </c>
      <c r="H817" s="9" t="n">
        <v>0</v>
      </c>
      <c r="I817" s="9" t="n">
        <v>146729.67</v>
      </c>
      <c r="J817" s="11" t="n">
        <v>1</v>
      </c>
      <c r="K817" s="8" t="n">
        <v>0</v>
      </c>
      <c r="L817" s="8" t="n">
        <v>1</v>
      </c>
      <c r="M817" s="9" t="n">
        <v>146729.67</v>
      </c>
      <c r="N817" s="9" t="n">
        <v>0</v>
      </c>
      <c r="O817" s="9" t="n">
        <v>0</v>
      </c>
      <c r="P817" s="8" t="n">
        <v>1</v>
      </c>
      <c r="Q817" s="8" t="n">
        <v>1</v>
      </c>
    </row>
    <row r="818">
      <c r="A818" s="8" t="n">
        <v>155</v>
      </c>
      <c r="B818" s="8" t="inlineStr">
        <is>
          <t>CASH_OUT</t>
        </is>
      </c>
      <c r="C818" s="9" t="n">
        <v>398107.25</v>
      </c>
      <c r="D818" s="8" t="inlineStr">
        <is>
          <t>C992677081</t>
        </is>
      </c>
      <c r="E818" s="9" t="n">
        <v>50505</v>
      </c>
      <c r="F818" s="9" t="n">
        <v>0</v>
      </c>
      <c r="G818" s="8" t="inlineStr">
        <is>
          <t>C348615894</t>
        </is>
      </c>
      <c r="H818" s="9" t="n">
        <v>363355.53</v>
      </c>
      <c r="I818" s="9" t="n">
        <v>1138435.87</v>
      </c>
      <c r="J818" s="10" t="n">
        <v>0</v>
      </c>
      <c r="K818" s="8" t="n">
        <v>0</v>
      </c>
      <c r="L818" s="8" t="n">
        <v>1</v>
      </c>
      <c r="M818" s="9" t="n">
        <v>312850.53</v>
      </c>
      <c r="N818" s="9" t="n">
        <v>347602.25</v>
      </c>
      <c r="O818" s="9" t="n">
        <v>-376973.09</v>
      </c>
      <c r="P818" s="8" t="n">
        <v>1</v>
      </c>
      <c r="Q818" s="8" t="n">
        <v>0</v>
      </c>
    </row>
    <row r="819">
      <c r="A819" s="8" t="n">
        <v>498</v>
      </c>
      <c r="B819" s="8" t="inlineStr">
        <is>
          <t>CASH_OUT</t>
        </is>
      </c>
      <c r="C819" s="9" t="n">
        <v>207261.07</v>
      </c>
      <c r="D819" s="8" t="inlineStr">
        <is>
          <t>C1856398520</t>
        </is>
      </c>
      <c r="E819" s="9" t="n">
        <v>207261.07</v>
      </c>
      <c r="F819" s="9" t="n">
        <v>0</v>
      </c>
      <c r="G819" s="8" t="inlineStr">
        <is>
          <t>C1898820013</t>
        </is>
      </c>
      <c r="H819" s="9" t="n">
        <v>48221.7</v>
      </c>
      <c r="I819" s="9" t="n">
        <v>255482.77</v>
      </c>
      <c r="J819" s="11" t="n">
        <v>1</v>
      </c>
      <c r="K819" s="8" t="n">
        <v>0</v>
      </c>
      <c r="L819" s="8" t="n">
        <v>1</v>
      </c>
      <c r="M819" s="9" t="n">
        <v>159039.37</v>
      </c>
      <c r="N819" s="9" t="n">
        <v>0</v>
      </c>
      <c r="O819" s="9" t="n">
        <v>0</v>
      </c>
      <c r="P819" s="8" t="n">
        <v>1</v>
      </c>
      <c r="Q819" s="8" t="n">
        <v>1</v>
      </c>
    </row>
    <row r="820">
      <c r="A820" s="8" t="n">
        <v>214</v>
      </c>
      <c r="B820" s="8" t="inlineStr">
        <is>
          <t>PAYMENT</t>
        </is>
      </c>
      <c r="C820" s="9" t="n">
        <v>32494.93</v>
      </c>
      <c r="D820" s="8" t="inlineStr">
        <is>
          <t>C1533784510</t>
        </is>
      </c>
      <c r="E820" s="9" t="n">
        <v>0</v>
      </c>
      <c r="F820" s="9" t="n">
        <v>0</v>
      </c>
      <c r="G820" s="8" t="inlineStr">
        <is>
          <t>M786182028</t>
        </is>
      </c>
      <c r="H820" s="9" t="n">
        <v>0</v>
      </c>
      <c r="I820" s="9" t="n">
        <v>0</v>
      </c>
      <c r="J820" s="10" t="n">
        <v>0</v>
      </c>
      <c r="K820" s="8" t="n">
        <v>1</v>
      </c>
      <c r="L820" s="8" t="n">
        <v>0</v>
      </c>
      <c r="M820" s="9" t="n">
        <v>0</v>
      </c>
      <c r="N820" s="9" t="n">
        <v>32494.93</v>
      </c>
      <c r="O820" s="9" t="n">
        <v>32494.93</v>
      </c>
      <c r="P820" s="8" t="n">
        <v>0</v>
      </c>
      <c r="Q820" s="8" t="n">
        <v>0</v>
      </c>
    </row>
    <row r="821">
      <c r="A821" s="8" t="n">
        <v>353</v>
      </c>
      <c r="B821" s="8" t="inlineStr">
        <is>
          <t>CASH_OUT</t>
        </is>
      </c>
      <c r="C821" s="9" t="n">
        <v>174566.53</v>
      </c>
      <c r="D821" s="8" t="inlineStr">
        <is>
          <t>C482336380</t>
        </is>
      </c>
      <c r="E821" s="9" t="n">
        <v>174566.53</v>
      </c>
      <c r="F821" s="9" t="n">
        <v>0</v>
      </c>
      <c r="G821" s="8" t="inlineStr">
        <is>
          <t>C985066734</t>
        </is>
      </c>
      <c r="H821" s="9" t="n">
        <v>1191715.74</v>
      </c>
      <c r="I821" s="9" t="n">
        <v>1366282.27</v>
      </c>
      <c r="J821" s="11" t="n">
        <v>1</v>
      </c>
      <c r="K821" s="8" t="n">
        <v>0</v>
      </c>
      <c r="L821" s="8" t="n">
        <v>1</v>
      </c>
      <c r="M821" s="9" t="n">
        <v>1017149.21</v>
      </c>
      <c r="N821" s="9" t="n">
        <v>0</v>
      </c>
      <c r="O821" s="9" t="n">
        <v>0</v>
      </c>
      <c r="P821" s="8" t="n">
        <v>1</v>
      </c>
      <c r="Q821" s="8" t="n">
        <v>1</v>
      </c>
    </row>
    <row r="822">
      <c r="A822" s="8" t="n">
        <v>187</v>
      </c>
      <c r="B822" s="8" t="inlineStr">
        <is>
          <t>TRANSFER</t>
        </is>
      </c>
      <c r="C822" s="9" t="n">
        <v>224498.56</v>
      </c>
      <c r="D822" s="8" t="inlineStr">
        <is>
          <t>C2078471288</t>
        </is>
      </c>
      <c r="E822" s="9" t="n">
        <v>0</v>
      </c>
      <c r="F822" s="9" t="n">
        <v>0</v>
      </c>
      <c r="G822" s="8" t="inlineStr">
        <is>
          <t>C1023869457</t>
        </is>
      </c>
      <c r="H822" s="9" t="n">
        <v>1211860.09</v>
      </c>
      <c r="I822" s="9" t="n">
        <v>1436358.64</v>
      </c>
      <c r="J822" s="10" t="n">
        <v>0</v>
      </c>
      <c r="K822" s="8" t="n">
        <v>0</v>
      </c>
      <c r="L822" s="8" t="n">
        <v>1</v>
      </c>
      <c r="M822" s="9" t="n">
        <v>1211860.09</v>
      </c>
      <c r="N822" s="9" t="n">
        <v>224498.56</v>
      </c>
      <c r="O822" s="9" t="n">
        <v>0.01</v>
      </c>
      <c r="P822" s="8" t="n">
        <v>1</v>
      </c>
      <c r="Q822" s="8" t="n">
        <v>0</v>
      </c>
    </row>
    <row r="823">
      <c r="A823" s="8" t="n">
        <v>656</v>
      </c>
      <c r="B823" s="8" t="inlineStr">
        <is>
          <t>TRANSFER</t>
        </is>
      </c>
      <c r="C823" s="9" t="n">
        <v>766257.55</v>
      </c>
      <c r="D823" s="8" t="inlineStr">
        <is>
          <t>C904749186</t>
        </is>
      </c>
      <c r="E823" s="9" t="n">
        <v>766257.55</v>
      </c>
      <c r="F823" s="9" t="n">
        <v>0</v>
      </c>
      <c r="G823" s="8" t="inlineStr">
        <is>
          <t>C1046618860</t>
        </is>
      </c>
      <c r="H823" s="9" t="n">
        <v>0</v>
      </c>
      <c r="I823" s="9" t="n">
        <v>0</v>
      </c>
      <c r="J823" s="11" t="n">
        <v>1</v>
      </c>
      <c r="K823" s="8" t="n">
        <v>0</v>
      </c>
      <c r="L823" s="8" t="n">
        <v>1</v>
      </c>
      <c r="M823" s="9" t="n">
        <v>766257.55</v>
      </c>
      <c r="N823" s="9" t="n">
        <v>0</v>
      </c>
      <c r="O823" s="9" t="n">
        <v>766257.55</v>
      </c>
      <c r="P823" s="8" t="n">
        <v>1</v>
      </c>
      <c r="Q823" s="8" t="n">
        <v>1</v>
      </c>
    </row>
    <row r="824">
      <c r="A824" s="8" t="n">
        <v>332</v>
      </c>
      <c r="B824" s="8" t="inlineStr">
        <is>
          <t>CASH_OUT</t>
        </is>
      </c>
      <c r="C824" s="9" t="n">
        <v>174339.21</v>
      </c>
      <c r="D824" s="8" t="inlineStr">
        <is>
          <t>C1296606344</t>
        </is>
      </c>
      <c r="E824" s="9" t="n">
        <v>0</v>
      </c>
      <c r="F824" s="9" t="n">
        <v>0</v>
      </c>
      <c r="G824" s="8" t="inlineStr">
        <is>
          <t>C618061516</t>
        </is>
      </c>
      <c r="H824" s="9" t="n">
        <v>339423.67</v>
      </c>
      <c r="I824" s="9" t="n">
        <v>513762.88</v>
      </c>
      <c r="J824" s="10" t="n">
        <v>0</v>
      </c>
      <c r="K824" s="8" t="n">
        <v>0</v>
      </c>
      <c r="L824" s="8" t="n">
        <v>1</v>
      </c>
      <c r="M824" s="9" t="n">
        <v>339423.67</v>
      </c>
      <c r="N824" s="9" t="n">
        <v>174339.21</v>
      </c>
      <c r="O824" s="9" t="n">
        <v>0</v>
      </c>
      <c r="P824" s="8" t="n">
        <v>1</v>
      </c>
      <c r="Q824" s="8" t="n">
        <v>0</v>
      </c>
    </row>
    <row r="825">
      <c r="A825" s="8" t="n">
        <v>12</v>
      </c>
      <c r="B825" s="8" t="inlineStr">
        <is>
          <t>CASH_OUT</t>
        </is>
      </c>
      <c r="C825" s="9" t="n">
        <v>76554.53</v>
      </c>
      <c r="D825" s="8" t="inlineStr">
        <is>
          <t>C1500504630</t>
        </is>
      </c>
      <c r="E825" s="9" t="n">
        <v>10893</v>
      </c>
      <c r="F825" s="9" t="n">
        <v>0</v>
      </c>
      <c r="G825" s="8" t="inlineStr">
        <is>
          <t>C942975218</t>
        </is>
      </c>
      <c r="H825" s="9" t="n">
        <v>1758776.46</v>
      </c>
      <c r="I825" s="9" t="n">
        <v>1835330.99</v>
      </c>
      <c r="J825" s="10" t="n">
        <v>0</v>
      </c>
      <c r="K825" s="8" t="n">
        <v>0</v>
      </c>
      <c r="L825" s="8" t="n">
        <v>1</v>
      </c>
      <c r="M825" s="9" t="n">
        <v>1747883.46</v>
      </c>
      <c r="N825" s="9" t="n">
        <v>65661.53</v>
      </c>
      <c r="O825" s="9" t="n">
        <v>0</v>
      </c>
      <c r="P825" s="8" t="n">
        <v>1</v>
      </c>
      <c r="Q825" s="8" t="n">
        <v>0</v>
      </c>
    </row>
    <row r="826">
      <c r="A826" s="8" t="n">
        <v>133</v>
      </c>
      <c r="B826" s="8" t="inlineStr">
        <is>
          <t>CASH_IN</t>
        </is>
      </c>
      <c r="C826" s="9" t="n">
        <v>88520.72</v>
      </c>
      <c r="D826" s="8" t="inlineStr">
        <is>
          <t>C917011061</t>
        </is>
      </c>
      <c r="E826" s="9" t="n">
        <v>1294259.33</v>
      </c>
      <c r="F826" s="9" t="n">
        <v>1382780.05</v>
      </c>
      <c r="G826" s="8" t="inlineStr">
        <is>
          <t>C1882999572</t>
        </is>
      </c>
      <c r="H826" s="9" t="n">
        <v>1358017.98</v>
      </c>
      <c r="I826" s="9" t="n">
        <v>1269497.26</v>
      </c>
      <c r="J826" s="10" t="n">
        <v>0</v>
      </c>
      <c r="K826" s="8" t="n">
        <v>0</v>
      </c>
      <c r="L826" s="8" t="n">
        <v>0</v>
      </c>
      <c r="M826" s="9" t="n">
        <v>63758.64999999991</v>
      </c>
      <c r="N826" s="9" t="n">
        <v>177041.44</v>
      </c>
      <c r="O826" s="9" t="n">
        <v>177041.44</v>
      </c>
      <c r="P826" s="8" t="n">
        <v>1</v>
      </c>
      <c r="Q826" s="8" t="n">
        <v>0</v>
      </c>
    </row>
    <row r="827">
      <c r="A827" s="8" t="n">
        <v>327</v>
      </c>
      <c r="B827" s="8" t="inlineStr">
        <is>
          <t>CASH_IN</t>
        </is>
      </c>
      <c r="C827" s="9" t="n">
        <v>94821.25999999999</v>
      </c>
      <c r="D827" s="8" t="inlineStr">
        <is>
          <t>C879030953</t>
        </is>
      </c>
      <c r="E827" s="9" t="n">
        <v>7123</v>
      </c>
      <c r="F827" s="9" t="n">
        <v>101944.26</v>
      </c>
      <c r="G827" s="8" t="inlineStr">
        <is>
          <t>C1996339009</t>
        </is>
      </c>
      <c r="H827" s="9" t="n">
        <v>14330130.3</v>
      </c>
      <c r="I827" s="9" t="n">
        <v>14235309.04</v>
      </c>
      <c r="J827" s="10" t="n">
        <v>0</v>
      </c>
      <c r="K827" s="8" t="n">
        <v>0</v>
      </c>
      <c r="L827" s="8" t="n">
        <v>0</v>
      </c>
      <c r="M827" s="9" t="n">
        <v>14323007.3</v>
      </c>
      <c r="N827" s="9" t="n">
        <v>189642.52</v>
      </c>
      <c r="O827" s="9" t="n">
        <v>189642.52</v>
      </c>
      <c r="P827" s="8" t="n">
        <v>1</v>
      </c>
      <c r="Q827" s="8" t="n">
        <v>0</v>
      </c>
    </row>
    <row r="828">
      <c r="A828" s="8" t="n">
        <v>353</v>
      </c>
      <c r="B828" s="8" t="inlineStr">
        <is>
          <t>CASH_IN</t>
        </is>
      </c>
      <c r="C828" s="9" t="n">
        <v>394922.54</v>
      </c>
      <c r="D828" s="8" t="inlineStr">
        <is>
          <t>C228733013</t>
        </is>
      </c>
      <c r="E828" s="9" t="n">
        <v>5617260.58</v>
      </c>
      <c r="F828" s="9" t="n">
        <v>6012183.12</v>
      </c>
      <c r="G828" s="8" t="inlineStr">
        <is>
          <t>C253018844</t>
        </is>
      </c>
      <c r="H828" s="9" t="n">
        <v>2734933.96</v>
      </c>
      <c r="I828" s="9" t="n">
        <v>2340011.42</v>
      </c>
      <c r="J828" s="10" t="n">
        <v>0</v>
      </c>
      <c r="K828" s="8" t="n">
        <v>0</v>
      </c>
      <c r="L828" s="8" t="n">
        <v>0</v>
      </c>
      <c r="M828" s="9" t="n">
        <v>2882326.62</v>
      </c>
      <c r="N828" s="9" t="n">
        <v>789845.08</v>
      </c>
      <c r="O828" s="9" t="n">
        <v>789845.08</v>
      </c>
      <c r="P828" s="8" t="n">
        <v>1</v>
      </c>
      <c r="Q828" s="8" t="n">
        <v>0</v>
      </c>
    </row>
    <row r="829">
      <c r="A829" s="8" t="n">
        <v>351</v>
      </c>
      <c r="B829" s="8" t="inlineStr">
        <is>
          <t>CASH_IN</t>
        </is>
      </c>
      <c r="C829" s="9" t="n">
        <v>89613.14</v>
      </c>
      <c r="D829" s="8" t="inlineStr">
        <is>
          <t>C1892286460</t>
        </is>
      </c>
      <c r="E829" s="9" t="n">
        <v>168456.48</v>
      </c>
      <c r="F829" s="9" t="n">
        <v>258069.63</v>
      </c>
      <c r="G829" s="8" t="inlineStr">
        <is>
          <t>C1886475823</t>
        </is>
      </c>
      <c r="H829" s="9" t="n">
        <v>51392.86</v>
      </c>
      <c r="I829" s="9" t="n">
        <v>0</v>
      </c>
      <c r="J829" s="10" t="n">
        <v>0</v>
      </c>
      <c r="K829" s="8" t="n">
        <v>0</v>
      </c>
      <c r="L829" s="8" t="n">
        <v>0</v>
      </c>
      <c r="M829" s="9" t="n">
        <v>117063.62</v>
      </c>
      <c r="N829" s="9" t="n">
        <v>179226.29</v>
      </c>
      <c r="O829" s="9" t="n">
        <v>141006</v>
      </c>
      <c r="P829" s="8" t="n">
        <v>1</v>
      </c>
      <c r="Q829" s="8" t="n">
        <v>0</v>
      </c>
    </row>
    <row r="830">
      <c r="A830" s="8" t="n">
        <v>205</v>
      </c>
      <c r="B830" s="8" t="inlineStr">
        <is>
          <t>CASH_IN</t>
        </is>
      </c>
      <c r="C830" s="9" t="n">
        <v>39549.4</v>
      </c>
      <c r="D830" s="8" t="inlineStr">
        <is>
          <t>C1909699186</t>
        </is>
      </c>
      <c r="E830" s="9" t="n">
        <v>2161901.66</v>
      </c>
      <c r="F830" s="9" t="n">
        <v>2201451.06</v>
      </c>
      <c r="G830" s="8" t="inlineStr">
        <is>
          <t>C1015249263</t>
        </is>
      </c>
      <c r="H830" s="9" t="n">
        <v>246098.85</v>
      </c>
      <c r="I830" s="9" t="n">
        <v>206549.45</v>
      </c>
      <c r="J830" s="10" t="n">
        <v>0</v>
      </c>
      <c r="K830" s="8" t="n">
        <v>0</v>
      </c>
      <c r="L830" s="8" t="n">
        <v>0</v>
      </c>
      <c r="M830" s="9" t="n">
        <v>1915802.81</v>
      </c>
      <c r="N830" s="9" t="n">
        <v>79098.8</v>
      </c>
      <c r="O830" s="9" t="n">
        <v>79098.8</v>
      </c>
      <c r="P830" s="8" t="n">
        <v>1</v>
      </c>
      <c r="Q830" s="8" t="n">
        <v>0</v>
      </c>
    </row>
    <row r="831">
      <c r="A831" s="8" t="n">
        <v>670</v>
      </c>
      <c r="B831" s="8" t="inlineStr">
        <is>
          <t>CASH_IN</t>
        </is>
      </c>
      <c r="C831" s="9" t="n">
        <v>55063.31</v>
      </c>
      <c r="D831" s="8" t="inlineStr">
        <is>
          <t>C1058813427</t>
        </is>
      </c>
      <c r="E831" s="9" t="n">
        <v>33339</v>
      </c>
      <c r="F831" s="9" t="n">
        <v>88402.31</v>
      </c>
      <c r="G831" s="8" t="inlineStr">
        <is>
          <t>C430708780</t>
        </is>
      </c>
      <c r="H831" s="9" t="n">
        <v>542518.24</v>
      </c>
      <c r="I831" s="9" t="n">
        <v>487454.93</v>
      </c>
      <c r="J831" s="10" t="n">
        <v>0</v>
      </c>
      <c r="K831" s="8" t="n">
        <v>0</v>
      </c>
      <c r="L831" s="8" t="n">
        <v>0</v>
      </c>
      <c r="M831" s="9" t="n">
        <v>509179.24</v>
      </c>
      <c r="N831" s="9" t="n">
        <v>110126.62</v>
      </c>
      <c r="O831" s="9" t="n">
        <v>110126.62</v>
      </c>
      <c r="P831" s="8" t="n">
        <v>1</v>
      </c>
      <c r="Q831" s="8" t="n">
        <v>0</v>
      </c>
    </row>
    <row r="832">
      <c r="A832" s="8" t="n">
        <v>452</v>
      </c>
      <c r="B832" s="8" t="inlineStr">
        <is>
          <t>TRANSFER</t>
        </is>
      </c>
      <c r="C832" s="9" t="n">
        <v>227349.18</v>
      </c>
      <c r="D832" s="8" t="inlineStr">
        <is>
          <t>C523315738</t>
        </is>
      </c>
      <c r="E832" s="9" t="n">
        <v>227349.18</v>
      </c>
      <c r="F832" s="9" t="n">
        <v>0</v>
      </c>
      <c r="G832" s="8" t="inlineStr">
        <is>
          <t>C1520782025</t>
        </is>
      </c>
      <c r="H832" s="9" t="n">
        <v>0</v>
      </c>
      <c r="I832" s="9" t="n">
        <v>0</v>
      </c>
      <c r="J832" s="11" t="n">
        <v>1</v>
      </c>
      <c r="K832" s="8" t="n">
        <v>0</v>
      </c>
      <c r="L832" s="8" t="n">
        <v>1</v>
      </c>
      <c r="M832" s="9" t="n">
        <v>227349.18</v>
      </c>
      <c r="N832" s="9" t="n">
        <v>0</v>
      </c>
      <c r="O832" s="9" t="n">
        <v>227349.18</v>
      </c>
      <c r="P832" s="8" t="n">
        <v>1</v>
      </c>
      <c r="Q832" s="8" t="n">
        <v>1</v>
      </c>
    </row>
    <row r="833">
      <c r="A833" s="8" t="n">
        <v>450</v>
      </c>
      <c r="B833" s="8" t="inlineStr">
        <is>
          <t>TRANSFER</t>
        </is>
      </c>
      <c r="C833" s="9" t="n">
        <v>146061.11</v>
      </c>
      <c r="D833" s="8" t="inlineStr">
        <is>
          <t>C754902447</t>
        </is>
      </c>
      <c r="E833" s="9" t="n">
        <v>146061.11</v>
      </c>
      <c r="F833" s="9" t="n">
        <v>0</v>
      </c>
      <c r="G833" s="8" t="inlineStr">
        <is>
          <t>C201681253</t>
        </is>
      </c>
      <c r="H833" s="9" t="n">
        <v>0</v>
      </c>
      <c r="I833" s="9" t="n">
        <v>0</v>
      </c>
      <c r="J833" s="11" t="n">
        <v>1</v>
      </c>
      <c r="K833" s="8" t="n">
        <v>0</v>
      </c>
      <c r="L833" s="8" t="n">
        <v>1</v>
      </c>
      <c r="M833" s="9" t="n">
        <v>146061.11</v>
      </c>
      <c r="N833" s="9" t="n">
        <v>0</v>
      </c>
      <c r="O833" s="9" t="n">
        <v>146061.11</v>
      </c>
      <c r="P833" s="8" t="n">
        <v>1</v>
      </c>
      <c r="Q833" s="8" t="n">
        <v>1</v>
      </c>
    </row>
    <row r="834">
      <c r="A834" s="8" t="n">
        <v>213</v>
      </c>
      <c r="B834" s="8" t="inlineStr">
        <is>
          <t>TRANSFER</t>
        </is>
      </c>
      <c r="C834" s="9" t="n">
        <v>1650168.9</v>
      </c>
      <c r="D834" s="8" t="inlineStr">
        <is>
          <t>C507437434</t>
        </is>
      </c>
      <c r="E834" s="9" t="n">
        <v>1650168.9</v>
      </c>
      <c r="F834" s="9" t="n">
        <v>0</v>
      </c>
      <c r="G834" s="8" t="inlineStr">
        <is>
          <t>C1489598243</t>
        </is>
      </c>
      <c r="H834" s="9" t="n">
        <v>0</v>
      </c>
      <c r="I834" s="9" t="n">
        <v>0</v>
      </c>
      <c r="J834" s="11" t="n">
        <v>1</v>
      </c>
      <c r="K834" s="8" t="n">
        <v>0</v>
      </c>
      <c r="L834" s="8" t="n">
        <v>1</v>
      </c>
      <c r="M834" s="9" t="n">
        <v>1650168.9</v>
      </c>
      <c r="N834" s="9" t="n">
        <v>0</v>
      </c>
      <c r="O834" s="9" t="n">
        <v>1650168.9</v>
      </c>
      <c r="P834" s="8" t="n">
        <v>1</v>
      </c>
      <c r="Q834" s="8" t="n">
        <v>1</v>
      </c>
    </row>
    <row r="835">
      <c r="A835" s="8" t="n">
        <v>332</v>
      </c>
      <c r="B835" s="8" t="inlineStr">
        <is>
          <t>CASH_IN</t>
        </is>
      </c>
      <c r="C835" s="9" t="n">
        <v>219255.56</v>
      </c>
      <c r="D835" s="8" t="inlineStr">
        <is>
          <t>C678240718</t>
        </is>
      </c>
      <c r="E835" s="9" t="n">
        <v>380264.95</v>
      </c>
      <c r="F835" s="9" t="n">
        <v>599520.51</v>
      </c>
      <c r="G835" s="8" t="inlineStr">
        <is>
          <t>C341166883</t>
        </is>
      </c>
      <c r="H835" s="9" t="n">
        <v>372492.41</v>
      </c>
      <c r="I835" s="9" t="n">
        <v>153236.85</v>
      </c>
      <c r="J835" s="10" t="n">
        <v>0</v>
      </c>
      <c r="K835" s="8" t="n">
        <v>0</v>
      </c>
      <c r="L835" s="8" t="n">
        <v>0</v>
      </c>
      <c r="M835" s="9" t="n">
        <v>7772.540000000037</v>
      </c>
      <c r="N835" s="9" t="n">
        <v>438511.12</v>
      </c>
      <c r="O835" s="9" t="n">
        <v>438511.12</v>
      </c>
      <c r="P835" s="8" t="n">
        <v>1</v>
      </c>
      <c r="Q835" s="8" t="n">
        <v>0</v>
      </c>
    </row>
    <row r="836">
      <c r="A836" s="8" t="n">
        <v>403</v>
      </c>
      <c r="B836" s="8" t="inlineStr">
        <is>
          <t>PAYMENT</t>
        </is>
      </c>
      <c r="C836" s="9" t="n">
        <v>2651.81</v>
      </c>
      <c r="D836" s="8" t="inlineStr">
        <is>
          <t>C40441254</t>
        </is>
      </c>
      <c r="E836" s="9" t="n">
        <v>0</v>
      </c>
      <c r="F836" s="9" t="n">
        <v>0</v>
      </c>
      <c r="G836" s="8" t="inlineStr">
        <is>
          <t>M1035533755</t>
        </is>
      </c>
      <c r="H836" s="9" t="n">
        <v>0</v>
      </c>
      <c r="I836" s="9" t="n">
        <v>0</v>
      </c>
      <c r="J836" s="10" t="n">
        <v>0</v>
      </c>
      <c r="K836" s="8" t="n">
        <v>1</v>
      </c>
      <c r="L836" s="8" t="n">
        <v>0</v>
      </c>
      <c r="M836" s="9" t="n">
        <v>0</v>
      </c>
      <c r="N836" s="9" t="n">
        <v>2651.81</v>
      </c>
      <c r="O836" s="9" t="n">
        <v>2651.81</v>
      </c>
      <c r="P836" s="8" t="n">
        <v>0</v>
      </c>
      <c r="Q836" s="8" t="n">
        <v>0</v>
      </c>
    </row>
    <row r="837">
      <c r="A837" s="8" t="n">
        <v>280</v>
      </c>
      <c r="B837" s="8" t="inlineStr">
        <is>
          <t>CASH_OUT</t>
        </is>
      </c>
      <c r="C837" s="9" t="n">
        <v>99554.74000000001</v>
      </c>
      <c r="D837" s="8" t="inlineStr">
        <is>
          <t>C1476793818</t>
        </is>
      </c>
      <c r="E837" s="9" t="n">
        <v>4968.09</v>
      </c>
      <c r="F837" s="9" t="n">
        <v>0</v>
      </c>
      <c r="G837" s="8" t="inlineStr">
        <is>
          <t>C1124664517</t>
        </is>
      </c>
      <c r="H837" s="9" t="n">
        <v>649657.26</v>
      </c>
      <c r="I837" s="9" t="n">
        <v>749212.01</v>
      </c>
      <c r="J837" s="10" t="n">
        <v>0</v>
      </c>
      <c r="K837" s="8" t="n">
        <v>0</v>
      </c>
      <c r="L837" s="8" t="n">
        <v>1</v>
      </c>
      <c r="M837" s="9" t="n">
        <v>644689.17</v>
      </c>
      <c r="N837" s="9" t="n">
        <v>94586.64999999999</v>
      </c>
      <c r="O837" s="9" t="n">
        <v>-0.01</v>
      </c>
      <c r="P837" s="8" t="n">
        <v>1</v>
      </c>
      <c r="Q837" s="8" t="n">
        <v>0</v>
      </c>
    </row>
    <row r="838">
      <c r="A838" s="8" t="n">
        <v>427</v>
      </c>
      <c r="B838" s="8" t="inlineStr">
        <is>
          <t>CASH_OUT</t>
        </is>
      </c>
      <c r="C838" s="9" t="n">
        <v>4892226.25</v>
      </c>
      <c r="D838" s="8" t="inlineStr">
        <is>
          <t>C505947737</t>
        </is>
      </c>
      <c r="E838" s="9" t="n">
        <v>4892226.25</v>
      </c>
      <c r="F838" s="9" t="n">
        <v>0</v>
      </c>
      <c r="G838" s="8" t="inlineStr">
        <is>
          <t>C1438698807</t>
        </is>
      </c>
      <c r="H838" s="9" t="n">
        <v>54435.33</v>
      </c>
      <c r="I838" s="9" t="n">
        <v>4946661.58</v>
      </c>
      <c r="J838" s="11" t="n">
        <v>1</v>
      </c>
      <c r="K838" s="8" t="n">
        <v>0</v>
      </c>
      <c r="L838" s="8" t="n">
        <v>1</v>
      </c>
      <c r="M838" s="9" t="n">
        <v>4837790.92</v>
      </c>
      <c r="N838" s="9" t="n">
        <v>0</v>
      </c>
      <c r="O838" s="9" t="n">
        <v>0</v>
      </c>
      <c r="P838" s="8" t="n">
        <v>1</v>
      </c>
      <c r="Q838" s="8" t="n">
        <v>1</v>
      </c>
    </row>
    <row r="839">
      <c r="A839" s="8" t="n">
        <v>700</v>
      </c>
      <c r="B839" s="8" t="inlineStr">
        <is>
          <t>CASH_OUT</t>
        </is>
      </c>
      <c r="C839" s="9" t="n">
        <v>113447.92</v>
      </c>
      <c r="D839" s="8" t="inlineStr">
        <is>
          <t>C311401803</t>
        </is>
      </c>
      <c r="E839" s="9" t="n">
        <v>113447.92</v>
      </c>
      <c r="F839" s="9" t="n">
        <v>0</v>
      </c>
      <c r="G839" s="8" t="inlineStr">
        <is>
          <t>C1675116144</t>
        </is>
      </c>
      <c r="H839" s="9" t="n">
        <v>4125541.75</v>
      </c>
      <c r="I839" s="9" t="n">
        <v>4238989.66</v>
      </c>
      <c r="J839" s="11" t="n">
        <v>1</v>
      </c>
      <c r="K839" s="8" t="n">
        <v>0</v>
      </c>
      <c r="L839" s="8" t="n">
        <v>1</v>
      </c>
      <c r="M839" s="9" t="n">
        <v>4012093.83</v>
      </c>
      <c r="N839" s="9" t="n">
        <v>0</v>
      </c>
      <c r="O839" s="9" t="n">
        <v>0.01</v>
      </c>
      <c r="P839" s="8" t="n">
        <v>1</v>
      </c>
      <c r="Q839" s="8" t="n">
        <v>1</v>
      </c>
    </row>
    <row r="840">
      <c r="A840" s="8" t="n">
        <v>580</v>
      </c>
      <c r="B840" s="8" t="inlineStr">
        <is>
          <t>TRANSFER</t>
        </is>
      </c>
      <c r="C840" s="9" t="n">
        <v>105861.07</v>
      </c>
      <c r="D840" s="8" t="inlineStr">
        <is>
          <t>C261904702</t>
        </is>
      </c>
      <c r="E840" s="9" t="n">
        <v>105861.07</v>
      </c>
      <c r="F840" s="9" t="n">
        <v>0</v>
      </c>
      <c r="G840" s="8" t="inlineStr">
        <is>
          <t>C152930989</t>
        </is>
      </c>
      <c r="H840" s="9" t="n">
        <v>0</v>
      </c>
      <c r="I840" s="9" t="n">
        <v>0</v>
      </c>
      <c r="J840" s="11" t="n">
        <v>1</v>
      </c>
      <c r="K840" s="8" t="n">
        <v>0</v>
      </c>
      <c r="L840" s="8" t="n">
        <v>1</v>
      </c>
      <c r="M840" s="9" t="n">
        <v>105861.07</v>
      </c>
      <c r="N840" s="9" t="n">
        <v>0</v>
      </c>
      <c r="O840" s="9" t="n">
        <v>105861.07</v>
      </c>
      <c r="P840" s="8" t="n">
        <v>1</v>
      </c>
      <c r="Q840" s="8" t="n">
        <v>1</v>
      </c>
    </row>
    <row r="841">
      <c r="A841" s="8" t="n">
        <v>306</v>
      </c>
      <c r="B841" s="8" t="inlineStr">
        <is>
          <t>PAYMENT</t>
        </is>
      </c>
      <c r="C841" s="9" t="n">
        <v>17997.45</v>
      </c>
      <c r="D841" s="8" t="inlineStr">
        <is>
          <t>C1559147632</t>
        </is>
      </c>
      <c r="E841" s="9" t="n">
        <v>10262</v>
      </c>
      <c r="F841" s="9" t="n">
        <v>0</v>
      </c>
      <c r="G841" s="8" t="inlineStr">
        <is>
          <t>M1539835201</t>
        </is>
      </c>
      <c r="H841" s="9" t="n">
        <v>0</v>
      </c>
      <c r="I841" s="9" t="n">
        <v>0</v>
      </c>
      <c r="J841" s="10" t="n">
        <v>0</v>
      </c>
      <c r="K841" s="8" t="n">
        <v>1</v>
      </c>
      <c r="L841" s="8" t="n">
        <v>0</v>
      </c>
      <c r="M841" s="9" t="n">
        <v>10262</v>
      </c>
      <c r="N841" s="9" t="n">
        <v>7735.45</v>
      </c>
      <c r="O841" s="9" t="n">
        <v>17997.45</v>
      </c>
      <c r="P841" s="8" t="n">
        <v>0</v>
      </c>
      <c r="Q841" s="8" t="n">
        <v>0</v>
      </c>
    </row>
    <row r="842">
      <c r="A842" s="8" t="n">
        <v>357</v>
      </c>
      <c r="B842" s="8" t="inlineStr">
        <is>
          <t>CASH_OUT</t>
        </is>
      </c>
      <c r="C842" s="9" t="n">
        <v>111735.24</v>
      </c>
      <c r="D842" s="8" t="inlineStr">
        <is>
          <t>C1783471692</t>
        </is>
      </c>
      <c r="E842" s="9" t="n">
        <v>0</v>
      </c>
      <c r="F842" s="9" t="n">
        <v>0</v>
      </c>
      <c r="G842" s="8" t="inlineStr">
        <is>
          <t>C275469353</t>
        </is>
      </c>
      <c r="H842" s="9" t="n">
        <v>1738779.07</v>
      </c>
      <c r="I842" s="9" t="n">
        <v>1850514.31</v>
      </c>
      <c r="J842" s="10" t="n">
        <v>0</v>
      </c>
      <c r="K842" s="8" t="n">
        <v>0</v>
      </c>
      <c r="L842" s="8" t="n">
        <v>1</v>
      </c>
      <c r="M842" s="9" t="n">
        <v>1738779.07</v>
      </c>
      <c r="N842" s="9" t="n">
        <v>111735.24</v>
      </c>
      <c r="O842" s="9" t="n">
        <v>0</v>
      </c>
      <c r="P842" s="8" t="n">
        <v>1</v>
      </c>
      <c r="Q842" s="8" t="n">
        <v>0</v>
      </c>
    </row>
    <row r="843">
      <c r="A843" s="8" t="n">
        <v>348</v>
      </c>
      <c r="B843" s="8" t="inlineStr">
        <is>
          <t>PAYMENT</t>
        </is>
      </c>
      <c r="C843" s="9" t="n">
        <v>951.9299999999999</v>
      </c>
      <c r="D843" s="8" t="inlineStr">
        <is>
          <t>C1795426625</t>
        </is>
      </c>
      <c r="E843" s="9" t="n">
        <v>0</v>
      </c>
      <c r="F843" s="9" t="n">
        <v>0</v>
      </c>
      <c r="G843" s="8" t="inlineStr">
        <is>
          <t>M311330046</t>
        </is>
      </c>
      <c r="H843" s="9" t="n">
        <v>0</v>
      </c>
      <c r="I843" s="9" t="n">
        <v>0</v>
      </c>
      <c r="J843" s="10" t="n">
        <v>0</v>
      </c>
      <c r="K843" s="8" t="n">
        <v>1</v>
      </c>
      <c r="L843" s="8" t="n">
        <v>0</v>
      </c>
      <c r="M843" s="9" t="n">
        <v>0</v>
      </c>
      <c r="N843" s="9" t="n">
        <v>951.9299999999999</v>
      </c>
      <c r="O843" s="9" t="n">
        <v>951.9299999999999</v>
      </c>
      <c r="P843" s="8" t="n">
        <v>0</v>
      </c>
      <c r="Q843" s="8" t="n">
        <v>0</v>
      </c>
    </row>
    <row r="844">
      <c r="A844" s="8" t="n">
        <v>44</v>
      </c>
      <c r="B844" s="8" t="inlineStr">
        <is>
          <t>CASH_OUT</t>
        </is>
      </c>
      <c r="C844" s="9" t="n">
        <v>153780.2</v>
      </c>
      <c r="D844" s="8" t="inlineStr">
        <is>
          <t>C970540900</t>
        </is>
      </c>
      <c r="E844" s="9" t="n">
        <v>1490.9</v>
      </c>
      <c r="F844" s="9" t="n">
        <v>0</v>
      </c>
      <c r="G844" s="8" t="inlineStr">
        <is>
          <t>C949929326</t>
        </is>
      </c>
      <c r="H844" s="9" t="n">
        <v>436998.79</v>
      </c>
      <c r="I844" s="9" t="n">
        <v>554017.92</v>
      </c>
      <c r="J844" s="10" t="n">
        <v>0</v>
      </c>
      <c r="K844" s="8" t="n">
        <v>0</v>
      </c>
      <c r="L844" s="8" t="n">
        <v>1</v>
      </c>
      <c r="M844" s="9" t="n">
        <v>435507.89</v>
      </c>
      <c r="N844" s="9" t="n">
        <v>152289.3</v>
      </c>
      <c r="O844" s="9" t="n">
        <v>36761.07</v>
      </c>
      <c r="P844" s="8" t="n">
        <v>1</v>
      </c>
      <c r="Q844" s="8" t="n">
        <v>0</v>
      </c>
    </row>
    <row r="845">
      <c r="A845" s="8" t="n">
        <v>154</v>
      </c>
      <c r="B845" s="8" t="inlineStr">
        <is>
          <t>PAYMENT</t>
        </is>
      </c>
      <c r="C845" s="9" t="n">
        <v>224.94</v>
      </c>
      <c r="D845" s="8" t="inlineStr">
        <is>
          <t>C1208086999</t>
        </is>
      </c>
      <c r="E845" s="9" t="n">
        <v>330884.25</v>
      </c>
      <c r="F845" s="9" t="n">
        <v>330659.31</v>
      </c>
      <c r="G845" s="8" t="inlineStr">
        <is>
          <t>M1122493816</t>
        </is>
      </c>
      <c r="H845" s="9" t="n">
        <v>0</v>
      </c>
      <c r="I845" s="9" t="n">
        <v>0</v>
      </c>
      <c r="J845" s="10" t="n">
        <v>0</v>
      </c>
      <c r="K845" s="8" t="n">
        <v>1</v>
      </c>
      <c r="L845" s="8" t="n">
        <v>0</v>
      </c>
      <c r="M845" s="9" t="n">
        <v>330884.25</v>
      </c>
      <c r="N845" s="9" t="n">
        <v>0</v>
      </c>
      <c r="O845" s="9" t="n">
        <v>224.94</v>
      </c>
      <c r="P845" s="8" t="n">
        <v>0</v>
      </c>
      <c r="Q845" s="8" t="n">
        <v>1</v>
      </c>
    </row>
    <row r="846">
      <c r="A846" s="8" t="n">
        <v>373</v>
      </c>
      <c r="B846" s="8" t="inlineStr">
        <is>
          <t>CASH_OUT</t>
        </is>
      </c>
      <c r="C846" s="9" t="n">
        <v>148966.46</v>
      </c>
      <c r="D846" s="8" t="inlineStr">
        <is>
          <t>C1426886623</t>
        </is>
      </c>
      <c r="E846" s="9" t="n">
        <v>20124</v>
      </c>
      <c r="F846" s="9" t="n">
        <v>0</v>
      </c>
      <c r="G846" s="8" t="inlineStr">
        <is>
          <t>C643255397</t>
        </is>
      </c>
      <c r="H846" s="9" t="n">
        <v>234327.82</v>
      </c>
      <c r="I846" s="9" t="n">
        <v>383294.28</v>
      </c>
      <c r="J846" s="10" t="n">
        <v>0</v>
      </c>
      <c r="K846" s="8" t="n">
        <v>0</v>
      </c>
      <c r="L846" s="8" t="n">
        <v>1</v>
      </c>
      <c r="M846" s="9" t="n">
        <v>214203.82</v>
      </c>
      <c r="N846" s="9" t="n">
        <v>128842.46</v>
      </c>
      <c r="O846" s="9" t="n">
        <v>0</v>
      </c>
      <c r="P846" s="8" t="n">
        <v>1</v>
      </c>
      <c r="Q846" s="8" t="n">
        <v>0</v>
      </c>
    </row>
    <row r="847">
      <c r="A847" s="8" t="n">
        <v>301</v>
      </c>
      <c r="B847" s="8" t="inlineStr">
        <is>
          <t>PAYMENT</t>
        </is>
      </c>
      <c r="C847" s="9" t="n">
        <v>14538.45</v>
      </c>
      <c r="D847" s="8" t="inlineStr">
        <is>
          <t>C1738465882</t>
        </is>
      </c>
      <c r="E847" s="9" t="n">
        <v>0</v>
      </c>
      <c r="F847" s="9" t="n">
        <v>0</v>
      </c>
      <c r="G847" s="8" t="inlineStr">
        <is>
          <t>M1983768627</t>
        </is>
      </c>
      <c r="H847" s="9" t="n">
        <v>0</v>
      </c>
      <c r="I847" s="9" t="n">
        <v>0</v>
      </c>
      <c r="J847" s="10" t="n">
        <v>0</v>
      </c>
      <c r="K847" s="8" t="n">
        <v>1</v>
      </c>
      <c r="L847" s="8" t="n">
        <v>0</v>
      </c>
      <c r="M847" s="9" t="n">
        <v>0</v>
      </c>
      <c r="N847" s="9" t="n">
        <v>14538.45</v>
      </c>
      <c r="O847" s="9" t="n">
        <v>14538.45</v>
      </c>
      <c r="P847" s="8" t="n">
        <v>0</v>
      </c>
      <c r="Q847" s="8" t="n">
        <v>0</v>
      </c>
    </row>
    <row r="848">
      <c r="A848" s="8" t="n">
        <v>352</v>
      </c>
      <c r="B848" s="8" t="inlineStr">
        <is>
          <t>PAYMENT</t>
        </is>
      </c>
      <c r="C848" s="9" t="n">
        <v>14064.22</v>
      </c>
      <c r="D848" s="8" t="inlineStr">
        <is>
          <t>C2014548083</t>
        </is>
      </c>
      <c r="E848" s="9" t="n">
        <v>11034</v>
      </c>
      <c r="F848" s="9" t="n">
        <v>0</v>
      </c>
      <c r="G848" s="8" t="inlineStr">
        <is>
          <t>M501867006</t>
        </is>
      </c>
      <c r="H848" s="9" t="n">
        <v>0</v>
      </c>
      <c r="I848" s="9" t="n">
        <v>0</v>
      </c>
      <c r="J848" s="10" t="n">
        <v>0</v>
      </c>
      <c r="K848" s="8" t="n">
        <v>1</v>
      </c>
      <c r="L848" s="8" t="n">
        <v>0</v>
      </c>
      <c r="M848" s="9" t="n">
        <v>11034</v>
      </c>
      <c r="N848" s="9" t="n">
        <v>3030.22</v>
      </c>
      <c r="O848" s="9" t="n">
        <v>14064.22</v>
      </c>
      <c r="P848" s="8" t="n">
        <v>0</v>
      </c>
      <c r="Q848" s="8" t="n">
        <v>0</v>
      </c>
    </row>
    <row r="849">
      <c r="A849" s="8" t="n">
        <v>310</v>
      </c>
      <c r="B849" s="8" t="inlineStr">
        <is>
          <t>PAYMENT</t>
        </is>
      </c>
      <c r="C849" s="9" t="n">
        <v>34185.52</v>
      </c>
      <c r="D849" s="8" t="inlineStr">
        <is>
          <t>C839045760</t>
        </is>
      </c>
      <c r="E849" s="9" t="n">
        <v>26750</v>
      </c>
      <c r="F849" s="9" t="n">
        <v>0</v>
      </c>
      <c r="G849" s="8" t="inlineStr">
        <is>
          <t>M93513780</t>
        </is>
      </c>
      <c r="H849" s="9" t="n">
        <v>0</v>
      </c>
      <c r="I849" s="9" t="n">
        <v>0</v>
      </c>
      <c r="J849" s="10" t="n">
        <v>0</v>
      </c>
      <c r="K849" s="8" t="n">
        <v>1</v>
      </c>
      <c r="L849" s="8" t="n">
        <v>0</v>
      </c>
      <c r="M849" s="9" t="n">
        <v>26750</v>
      </c>
      <c r="N849" s="9" t="n">
        <v>7435.52</v>
      </c>
      <c r="O849" s="9" t="n">
        <v>34185.52</v>
      </c>
      <c r="P849" s="8" t="n">
        <v>0</v>
      </c>
      <c r="Q849" s="8" t="n">
        <v>0</v>
      </c>
    </row>
    <row r="850">
      <c r="A850" s="8" t="n">
        <v>253</v>
      </c>
      <c r="B850" s="8" t="inlineStr">
        <is>
          <t>PAYMENT</t>
        </is>
      </c>
      <c r="C850" s="9" t="n">
        <v>2684.72</v>
      </c>
      <c r="D850" s="8" t="inlineStr">
        <is>
          <t>C2048942289</t>
        </is>
      </c>
      <c r="E850" s="9" t="n">
        <v>0</v>
      </c>
      <c r="F850" s="9" t="n">
        <v>0</v>
      </c>
      <c r="G850" s="8" t="inlineStr">
        <is>
          <t>M140706491</t>
        </is>
      </c>
      <c r="H850" s="9" t="n">
        <v>0</v>
      </c>
      <c r="I850" s="9" t="n">
        <v>0</v>
      </c>
      <c r="J850" s="10" t="n">
        <v>0</v>
      </c>
      <c r="K850" s="8" t="n">
        <v>1</v>
      </c>
      <c r="L850" s="8" t="n">
        <v>0</v>
      </c>
      <c r="M850" s="9" t="n">
        <v>0</v>
      </c>
      <c r="N850" s="9" t="n">
        <v>2684.72</v>
      </c>
      <c r="O850" s="9" t="n">
        <v>2684.72</v>
      </c>
      <c r="P850" s="8" t="n">
        <v>0</v>
      </c>
      <c r="Q850" s="8" t="n">
        <v>0</v>
      </c>
    </row>
    <row r="851">
      <c r="A851" s="8" t="n">
        <v>163</v>
      </c>
      <c r="B851" s="8" t="inlineStr">
        <is>
          <t>CASH_OUT</t>
        </is>
      </c>
      <c r="C851" s="9" t="n">
        <v>259161.23</v>
      </c>
      <c r="D851" s="8" t="inlineStr">
        <is>
          <t>C1271137945</t>
        </is>
      </c>
      <c r="E851" s="9" t="n">
        <v>182178.8</v>
      </c>
      <c r="F851" s="9" t="n">
        <v>0</v>
      </c>
      <c r="G851" s="8" t="inlineStr">
        <is>
          <t>C1199889392</t>
        </is>
      </c>
      <c r="H851" s="9" t="n">
        <v>5215488.94</v>
      </c>
      <c r="I851" s="9" t="n">
        <v>5474650.17</v>
      </c>
      <c r="J851" s="10" t="n">
        <v>0</v>
      </c>
      <c r="K851" s="8" t="n">
        <v>0</v>
      </c>
      <c r="L851" s="8" t="n">
        <v>1</v>
      </c>
      <c r="M851" s="9" t="n">
        <v>5033310.140000001</v>
      </c>
      <c r="N851" s="9" t="n">
        <v>76982.42999999999</v>
      </c>
      <c r="O851" s="9" t="n">
        <v>0</v>
      </c>
      <c r="P851" s="8" t="n">
        <v>1</v>
      </c>
      <c r="Q851" s="8" t="n">
        <v>0</v>
      </c>
    </row>
    <row r="852">
      <c r="A852" s="8" t="n">
        <v>9</v>
      </c>
      <c r="B852" s="8" t="inlineStr">
        <is>
          <t>PAYMENT</t>
        </is>
      </c>
      <c r="C852" s="9" t="n">
        <v>14287.71</v>
      </c>
      <c r="D852" s="8" t="inlineStr">
        <is>
          <t>C1347379915</t>
        </is>
      </c>
      <c r="E852" s="9" t="n">
        <v>159476</v>
      </c>
      <c r="F852" s="9" t="n">
        <v>145188.29</v>
      </c>
      <c r="G852" s="8" t="inlineStr">
        <is>
          <t>M1674800628</t>
        </is>
      </c>
      <c r="H852" s="9" t="n">
        <v>0</v>
      </c>
      <c r="I852" s="9" t="n">
        <v>0</v>
      </c>
      <c r="J852" s="10" t="n">
        <v>0</v>
      </c>
      <c r="K852" s="8" t="n">
        <v>1</v>
      </c>
      <c r="L852" s="8" t="n">
        <v>0</v>
      </c>
      <c r="M852" s="9" t="n">
        <v>159476</v>
      </c>
      <c r="N852" s="9" t="n">
        <v>0</v>
      </c>
      <c r="O852" s="9" t="n">
        <v>14287.71</v>
      </c>
      <c r="P852" s="8" t="n">
        <v>0</v>
      </c>
      <c r="Q852" s="8" t="n">
        <v>1</v>
      </c>
    </row>
    <row r="853">
      <c r="A853" s="8" t="n">
        <v>401</v>
      </c>
      <c r="B853" s="8" t="inlineStr">
        <is>
          <t>CASH_IN</t>
        </is>
      </c>
      <c r="C853" s="9" t="n">
        <v>845225.46</v>
      </c>
      <c r="D853" s="8" t="inlineStr">
        <is>
          <t>C108738071</t>
        </is>
      </c>
      <c r="E853" s="9" t="n">
        <v>6569475.93</v>
      </c>
      <c r="F853" s="9" t="n">
        <v>7414701.4</v>
      </c>
      <c r="G853" s="8" t="inlineStr">
        <is>
          <t>C1381667245</t>
        </is>
      </c>
      <c r="H853" s="9" t="n">
        <v>3881219.33</v>
      </c>
      <c r="I853" s="9" t="n">
        <v>3035993.87</v>
      </c>
      <c r="J853" s="10" t="n">
        <v>0</v>
      </c>
      <c r="K853" s="8" t="n">
        <v>0</v>
      </c>
      <c r="L853" s="8" t="n">
        <v>0</v>
      </c>
      <c r="M853" s="9" t="n">
        <v>2688256.6</v>
      </c>
      <c r="N853" s="9" t="n">
        <v>1690450.93</v>
      </c>
      <c r="O853" s="9" t="n">
        <v>1690450.92</v>
      </c>
      <c r="P853" s="8" t="n">
        <v>1</v>
      </c>
      <c r="Q853" s="8" t="n">
        <v>0</v>
      </c>
    </row>
    <row r="854">
      <c r="A854" s="8" t="n">
        <v>330</v>
      </c>
      <c r="B854" s="8" t="inlineStr">
        <is>
          <t>CASH_OUT</t>
        </is>
      </c>
      <c r="C854" s="9" t="n">
        <v>58605.38</v>
      </c>
      <c r="D854" s="8" t="inlineStr">
        <is>
          <t>C1936362070</t>
        </is>
      </c>
      <c r="E854" s="9" t="n">
        <v>0</v>
      </c>
      <c r="F854" s="9" t="n">
        <v>0</v>
      </c>
      <c r="G854" s="8" t="inlineStr">
        <is>
          <t>C182239214</t>
        </is>
      </c>
      <c r="H854" s="9" t="n">
        <v>599629.23</v>
      </c>
      <c r="I854" s="9" t="n">
        <v>658234.6</v>
      </c>
      <c r="J854" s="10" t="n">
        <v>0</v>
      </c>
      <c r="K854" s="8" t="n">
        <v>0</v>
      </c>
      <c r="L854" s="8" t="n">
        <v>1</v>
      </c>
      <c r="M854" s="9" t="n">
        <v>599629.23</v>
      </c>
      <c r="N854" s="9" t="n">
        <v>58605.38</v>
      </c>
      <c r="O854" s="9" t="n">
        <v>0.01</v>
      </c>
      <c r="P854" s="8" t="n">
        <v>1</v>
      </c>
      <c r="Q854" s="8" t="n">
        <v>0</v>
      </c>
    </row>
    <row r="855">
      <c r="A855" s="8" t="n">
        <v>400</v>
      </c>
      <c r="B855" s="8" t="inlineStr">
        <is>
          <t>TRANSFER</t>
        </is>
      </c>
      <c r="C855" s="9" t="n">
        <v>436757.76</v>
      </c>
      <c r="D855" s="8" t="inlineStr">
        <is>
          <t>C1866512540</t>
        </is>
      </c>
      <c r="E855" s="9" t="n">
        <v>436757.76</v>
      </c>
      <c r="F855" s="9" t="n">
        <v>0</v>
      </c>
      <c r="G855" s="8" t="inlineStr">
        <is>
          <t>C2138692554</t>
        </is>
      </c>
      <c r="H855" s="9" t="n">
        <v>0</v>
      </c>
      <c r="I855" s="9" t="n">
        <v>0</v>
      </c>
      <c r="J855" s="11" t="n">
        <v>1</v>
      </c>
      <c r="K855" s="8" t="n">
        <v>0</v>
      </c>
      <c r="L855" s="8" t="n">
        <v>1</v>
      </c>
      <c r="M855" s="9" t="n">
        <v>436757.76</v>
      </c>
      <c r="N855" s="9" t="n">
        <v>0</v>
      </c>
      <c r="O855" s="9" t="n">
        <v>436757.76</v>
      </c>
      <c r="P855" s="8" t="n">
        <v>1</v>
      </c>
      <c r="Q855" s="8" t="n">
        <v>1</v>
      </c>
    </row>
    <row r="856">
      <c r="A856" s="8" t="n">
        <v>328</v>
      </c>
      <c r="B856" s="8" t="inlineStr">
        <is>
          <t>PAYMENT</t>
        </is>
      </c>
      <c r="C856" s="9" t="n">
        <v>37188.98</v>
      </c>
      <c r="D856" s="8" t="inlineStr">
        <is>
          <t>C276994277</t>
        </is>
      </c>
      <c r="E856" s="9" t="n">
        <v>0</v>
      </c>
      <c r="F856" s="9" t="n">
        <v>0</v>
      </c>
      <c r="G856" s="8" t="inlineStr">
        <is>
          <t>M1015680877</t>
        </is>
      </c>
      <c r="H856" s="9" t="n">
        <v>0</v>
      </c>
      <c r="I856" s="9" t="n">
        <v>0</v>
      </c>
      <c r="J856" s="10" t="n">
        <v>0</v>
      </c>
      <c r="K856" s="8" t="n">
        <v>1</v>
      </c>
      <c r="L856" s="8" t="n">
        <v>0</v>
      </c>
      <c r="M856" s="9" t="n">
        <v>0</v>
      </c>
      <c r="N856" s="9" t="n">
        <v>37188.98</v>
      </c>
      <c r="O856" s="9" t="n">
        <v>37188.98</v>
      </c>
      <c r="P856" s="8" t="n">
        <v>0</v>
      </c>
      <c r="Q856" s="8" t="n">
        <v>0</v>
      </c>
    </row>
    <row r="857">
      <c r="A857" s="8" t="n">
        <v>412</v>
      </c>
      <c r="B857" s="8" t="inlineStr">
        <is>
          <t>CASH_OUT</t>
        </is>
      </c>
      <c r="C857" s="9" t="n">
        <v>571163.03</v>
      </c>
      <c r="D857" s="8" t="inlineStr">
        <is>
          <t>C1600275467</t>
        </is>
      </c>
      <c r="E857" s="9" t="n">
        <v>571163.03</v>
      </c>
      <c r="F857" s="9" t="n">
        <v>0</v>
      </c>
      <c r="G857" s="8" t="inlineStr">
        <is>
          <t>C902858452</t>
        </is>
      </c>
      <c r="H857" s="9" t="n">
        <v>45861.48</v>
      </c>
      <c r="I857" s="9" t="n">
        <v>617024.51</v>
      </c>
      <c r="J857" s="11" t="n">
        <v>1</v>
      </c>
      <c r="K857" s="8" t="n">
        <v>0</v>
      </c>
      <c r="L857" s="8" t="n">
        <v>1</v>
      </c>
      <c r="M857" s="9" t="n">
        <v>525301.55</v>
      </c>
      <c r="N857" s="9" t="n">
        <v>0</v>
      </c>
      <c r="O857" s="9" t="n">
        <v>0</v>
      </c>
      <c r="P857" s="8" t="n">
        <v>1</v>
      </c>
      <c r="Q857" s="8" t="n">
        <v>1</v>
      </c>
    </row>
    <row r="858">
      <c r="A858" s="8" t="n">
        <v>374</v>
      </c>
      <c r="B858" s="8" t="inlineStr">
        <is>
          <t>CASH_OUT</t>
        </is>
      </c>
      <c r="C858" s="9" t="n">
        <v>73551.39</v>
      </c>
      <c r="D858" s="8" t="inlineStr">
        <is>
          <t>C809724565</t>
        </is>
      </c>
      <c r="E858" s="9" t="n">
        <v>65349</v>
      </c>
      <c r="F858" s="9" t="n">
        <v>0</v>
      </c>
      <c r="G858" s="8" t="inlineStr">
        <is>
          <t>C284633590</t>
        </is>
      </c>
      <c r="H858" s="9" t="n">
        <v>0</v>
      </c>
      <c r="I858" s="9" t="n">
        <v>73551.39</v>
      </c>
      <c r="J858" s="10" t="n">
        <v>0</v>
      </c>
      <c r="K858" s="8" t="n">
        <v>0</v>
      </c>
      <c r="L858" s="8" t="n">
        <v>1</v>
      </c>
      <c r="M858" s="9" t="n">
        <v>65349</v>
      </c>
      <c r="N858" s="9" t="n">
        <v>8202.389999999999</v>
      </c>
      <c r="O858" s="9" t="n">
        <v>0</v>
      </c>
      <c r="P858" s="8" t="n">
        <v>1</v>
      </c>
      <c r="Q858" s="8" t="n">
        <v>0</v>
      </c>
    </row>
    <row r="859">
      <c r="A859" s="8" t="n">
        <v>275</v>
      </c>
      <c r="B859" s="8" t="inlineStr">
        <is>
          <t>CASH_OUT</t>
        </is>
      </c>
      <c r="C859" s="9" t="n">
        <v>68343.48</v>
      </c>
      <c r="D859" s="8" t="inlineStr">
        <is>
          <t>C1112810011</t>
        </is>
      </c>
      <c r="E859" s="9" t="n">
        <v>31996</v>
      </c>
      <c r="F859" s="9" t="n">
        <v>0</v>
      </c>
      <c r="G859" s="8" t="inlineStr">
        <is>
          <t>C1955167222</t>
        </is>
      </c>
      <c r="H859" s="9" t="n">
        <v>784055.49</v>
      </c>
      <c r="I859" s="9" t="n">
        <v>852398.97</v>
      </c>
      <c r="J859" s="10" t="n">
        <v>0</v>
      </c>
      <c r="K859" s="8" t="n">
        <v>0</v>
      </c>
      <c r="L859" s="8" t="n">
        <v>1</v>
      </c>
      <c r="M859" s="9" t="n">
        <v>752059.49</v>
      </c>
      <c r="N859" s="9" t="n">
        <v>36347.48</v>
      </c>
      <c r="O859" s="9" t="n">
        <v>0</v>
      </c>
      <c r="P859" s="8" t="n">
        <v>1</v>
      </c>
      <c r="Q859" s="8" t="n">
        <v>0</v>
      </c>
    </row>
    <row r="860">
      <c r="A860" s="8" t="n">
        <v>187</v>
      </c>
      <c r="B860" s="8" t="inlineStr">
        <is>
          <t>CASH_IN</t>
        </is>
      </c>
      <c r="C860" s="9" t="n">
        <v>264423.47</v>
      </c>
      <c r="D860" s="8" t="inlineStr">
        <is>
          <t>C1046179561</t>
        </is>
      </c>
      <c r="E860" s="9" t="n">
        <v>7308971.72</v>
      </c>
      <c r="F860" s="9" t="n">
        <v>7573395.2</v>
      </c>
      <c r="G860" s="8" t="inlineStr">
        <is>
          <t>C1030184000</t>
        </is>
      </c>
      <c r="H860" s="9" t="n">
        <v>1527482.78</v>
      </c>
      <c r="I860" s="9" t="n">
        <v>1263059.3</v>
      </c>
      <c r="J860" s="10" t="n">
        <v>0</v>
      </c>
      <c r="K860" s="8" t="n">
        <v>0</v>
      </c>
      <c r="L860" s="8" t="n">
        <v>0</v>
      </c>
      <c r="M860" s="9" t="n">
        <v>5781488.94</v>
      </c>
      <c r="N860" s="9" t="n">
        <v>528846.95</v>
      </c>
      <c r="O860" s="9" t="n">
        <v>528846.95</v>
      </c>
      <c r="P860" s="8" t="n">
        <v>1</v>
      </c>
      <c r="Q860" s="8" t="n">
        <v>0</v>
      </c>
    </row>
    <row r="861">
      <c r="A861" s="8" t="n">
        <v>481</v>
      </c>
      <c r="B861" s="8" t="inlineStr">
        <is>
          <t>TRANSFER</t>
        </is>
      </c>
      <c r="C861" s="9" t="n">
        <v>20296.68</v>
      </c>
      <c r="D861" s="8" t="inlineStr">
        <is>
          <t>C1415686677</t>
        </is>
      </c>
      <c r="E861" s="9" t="n">
        <v>20296.68</v>
      </c>
      <c r="F861" s="9" t="n">
        <v>0</v>
      </c>
      <c r="G861" s="8" t="inlineStr">
        <is>
          <t>C384177810</t>
        </is>
      </c>
      <c r="H861" s="9" t="n">
        <v>0</v>
      </c>
      <c r="I861" s="9" t="n">
        <v>0</v>
      </c>
      <c r="J861" s="11" t="n">
        <v>1</v>
      </c>
      <c r="K861" s="8" t="n">
        <v>0</v>
      </c>
      <c r="L861" s="8" t="n">
        <v>1</v>
      </c>
      <c r="M861" s="9" t="n">
        <v>20296.68</v>
      </c>
      <c r="N861" s="9" t="n">
        <v>0</v>
      </c>
      <c r="O861" s="9" t="n">
        <v>20296.68</v>
      </c>
      <c r="P861" s="8" t="n">
        <v>1</v>
      </c>
      <c r="Q861" s="8" t="n">
        <v>1</v>
      </c>
    </row>
    <row r="862">
      <c r="A862" s="8" t="n">
        <v>43</v>
      </c>
      <c r="B862" s="8" t="inlineStr">
        <is>
          <t>CASH_IN</t>
        </is>
      </c>
      <c r="C862" s="9" t="n">
        <v>3280.68</v>
      </c>
      <c r="D862" s="8" t="inlineStr">
        <is>
          <t>C294645511</t>
        </is>
      </c>
      <c r="E862" s="9" t="n">
        <v>45739</v>
      </c>
      <c r="F862" s="9" t="n">
        <v>49019.68</v>
      </c>
      <c r="G862" s="8" t="inlineStr">
        <is>
          <t>C399556424</t>
        </is>
      </c>
      <c r="H862" s="9" t="n">
        <v>454092.48</v>
      </c>
      <c r="I862" s="9" t="n">
        <v>450811.8</v>
      </c>
      <c r="J862" s="10" t="n">
        <v>0</v>
      </c>
      <c r="K862" s="8" t="n">
        <v>0</v>
      </c>
      <c r="L862" s="8" t="n">
        <v>0</v>
      </c>
      <c r="M862" s="9" t="n">
        <v>408353.48</v>
      </c>
      <c r="N862" s="9" t="n">
        <v>6561.36</v>
      </c>
      <c r="O862" s="9" t="n">
        <v>6561.36</v>
      </c>
      <c r="P862" s="8" t="n">
        <v>1</v>
      </c>
      <c r="Q862" s="8" t="n">
        <v>0</v>
      </c>
    </row>
    <row r="863">
      <c r="A863" s="8" t="n">
        <v>398</v>
      </c>
      <c r="B863" s="8" t="inlineStr">
        <is>
          <t>TRANSFER</t>
        </is>
      </c>
      <c r="C863" s="9" t="n">
        <v>77142.73</v>
      </c>
      <c r="D863" s="8" t="inlineStr">
        <is>
          <t>C1380807891</t>
        </is>
      </c>
      <c r="E863" s="9" t="n">
        <v>0</v>
      </c>
      <c r="F863" s="9" t="n">
        <v>0</v>
      </c>
      <c r="G863" s="8" t="inlineStr">
        <is>
          <t>C269808710</t>
        </is>
      </c>
      <c r="H863" s="9" t="n">
        <v>295551.89</v>
      </c>
      <c r="I863" s="9" t="n">
        <v>372694.61</v>
      </c>
      <c r="J863" s="10" t="n">
        <v>0</v>
      </c>
      <c r="K863" s="8" t="n">
        <v>0</v>
      </c>
      <c r="L863" s="8" t="n">
        <v>1</v>
      </c>
      <c r="M863" s="9" t="n">
        <v>295551.89</v>
      </c>
      <c r="N863" s="9" t="n">
        <v>77142.73</v>
      </c>
      <c r="O863" s="9" t="n">
        <v>0.01</v>
      </c>
      <c r="P863" s="8" t="n">
        <v>1</v>
      </c>
      <c r="Q863" s="8" t="n">
        <v>0</v>
      </c>
    </row>
    <row r="864">
      <c r="A864" s="8" t="n">
        <v>596</v>
      </c>
      <c r="B864" s="8" t="inlineStr">
        <is>
          <t>TRANSFER</t>
        </is>
      </c>
      <c r="C864" s="9" t="n">
        <v>204721.27</v>
      </c>
      <c r="D864" s="8" t="inlineStr">
        <is>
          <t>C1892500400</t>
        </is>
      </c>
      <c r="E864" s="9" t="n">
        <v>204721.27</v>
      </c>
      <c r="F864" s="9" t="n">
        <v>0</v>
      </c>
      <c r="G864" s="8" t="inlineStr">
        <is>
          <t>C517910337</t>
        </is>
      </c>
      <c r="H864" s="9" t="n">
        <v>0</v>
      </c>
      <c r="I864" s="9" t="n">
        <v>0</v>
      </c>
      <c r="J864" s="11" t="n">
        <v>1</v>
      </c>
      <c r="K864" s="8" t="n">
        <v>0</v>
      </c>
      <c r="L864" s="8" t="n">
        <v>1</v>
      </c>
      <c r="M864" s="9" t="n">
        <v>204721.27</v>
      </c>
      <c r="N864" s="9" t="n">
        <v>0</v>
      </c>
      <c r="O864" s="9" t="n">
        <v>204721.27</v>
      </c>
      <c r="P864" s="8" t="n">
        <v>1</v>
      </c>
      <c r="Q864" s="8" t="n">
        <v>1</v>
      </c>
    </row>
    <row r="865">
      <c r="A865" s="8" t="n">
        <v>430</v>
      </c>
      <c r="B865" s="8" t="inlineStr">
        <is>
          <t>TRANSFER</t>
        </is>
      </c>
      <c r="C865" s="9" t="n">
        <v>2828068.73</v>
      </c>
      <c r="D865" s="8" t="inlineStr">
        <is>
          <t>C1916200037</t>
        </is>
      </c>
      <c r="E865" s="9" t="n">
        <v>2828068.73</v>
      </c>
      <c r="F865" s="9" t="n">
        <v>0</v>
      </c>
      <c r="G865" s="8" t="inlineStr">
        <is>
          <t>C483349301</t>
        </is>
      </c>
      <c r="H865" s="9" t="n">
        <v>0</v>
      </c>
      <c r="I865" s="9" t="n">
        <v>0</v>
      </c>
      <c r="J865" s="11" t="n">
        <v>1</v>
      </c>
      <c r="K865" s="8" t="n">
        <v>0</v>
      </c>
      <c r="L865" s="8" t="n">
        <v>1</v>
      </c>
      <c r="M865" s="9" t="n">
        <v>2828068.73</v>
      </c>
      <c r="N865" s="9" t="n">
        <v>0</v>
      </c>
      <c r="O865" s="9" t="n">
        <v>2828068.73</v>
      </c>
      <c r="P865" s="8" t="n">
        <v>1</v>
      </c>
      <c r="Q865" s="8" t="n">
        <v>1</v>
      </c>
    </row>
    <row r="866">
      <c r="A866" s="8" t="n">
        <v>33</v>
      </c>
      <c r="B866" s="8" t="inlineStr">
        <is>
          <t>CASH_OUT</t>
        </is>
      </c>
      <c r="C866" s="9" t="n">
        <v>62031.44</v>
      </c>
      <c r="D866" s="8" t="inlineStr">
        <is>
          <t>C2012889274</t>
        </is>
      </c>
      <c r="E866" s="9" t="n">
        <v>0</v>
      </c>
      <c r="F866" s="9" t="n">
        <v>0</v>
      </c>
      <c r="G866" s="8" t="inlineStr">
        <is>
          <t>C48020441</t>
        </is>
      </c>
      <c r="H866" s="9" t="n">
        <v>397769.18</v>
      </c>
      <c r="I866" s="9" t="n">
        <v>459800.61</v>
      </c>
      <c r="J866" s="10" t="n">
        <v>0</v>
      </c>
      <c r="K866" s="8" t="n">
        <v>0</v>
      </c>
      <c r="L866" s="8" t="n">
        <v>1</v>
      </c>
      <c r="M866" s="9" t="n">
        <v>397769.18</v>
      </c>
      <c r="N866" s="9" t="n">
        <v>62031.44</v>
      </c>
      <c r="O866" s="9" t="n">
        <v>0.01</v>
      </c>
      <c r="P866" s="8" t="n">
        <v>1</v>
      </c>
      <c r="Q866" s="8" t="n">
        <v>0</v>
      </c>
    </row>
    <row r="867">
      <c r="A867" s="8" t="n">
        <v>90</v>
      </c>
      <c r="B867" s="8" t="inlineStr">
        <is>
          <t>TRANSFER</t>
        </is>
      </c>
      <c r="C867" s="9" t="n">
        <v>249791.3</v>
      </c>
      <c r="D867" s="8" t="inlineStr">
        <is>
          <t>C2018224474</t>
        </is>
      </c>
      <c r="E867" s="9" t="n">
        <v>249791.3</v>
      </c>
      <c r="F867" s="9" t="n">
        <v>0</v>
      </c>
      <c r="G867" s="8" t="inlineStr">
        <is>
          <t>C1562137241</t>
        </is>
      </c>
      <c r="H867" s="9" t="n">
        <v>0</v>
      </c>
      <c r="I867" s="9" t="n">
        <v>0</v>
      </c>
      <c r="J867" s="11" t="n">
        <v>1</v>
      </c>
      <c r="K867" s="8" t="n">
        <v>0</v>
      </c>
      <c r="L867" s="8" t="n">
        <v>1</v>
      </c>
      <c r="M867" s="9" t="n">
        <v>249791.3</v>
      </c>
      <c r="N867" s="9" t="n">
        <v>0</v>
      </c>
      <c r="O867" s="9" t="n">
        <v>249791.3</v>
      </c>
      <c r="P867" s="8" t="n">
        <v>1</v>
      </c>
      <c r="Q867" s="8" t="n">
        <v>1</v>
      </c>
    </row>
    <row r="868">
      <c r="A868" s="8" t="n">
        <v>36</v>
      </c>
      <c r="B868" s="8" t="inlineStr">
        <is>
          <t>CASH_OUT</t>
        </is>
      </c>
      <c r="C868" s="9" t="n">
        <v>4977.9</v>
      </c>
      <c r="D868" s="8" t="inlineStr">
        <is>
          <t>C2101523856</t>
        </is>
      </c>
      <c r="E868" s="9" t="n">
        <v>0</v>
      </c>
      <c r="F868" s="9" t="n">
        <v>0</v>
      </c>
      <c r="G868" s="8" t="inlineStr">
        <is>
          <t>C103846014</t>
        </is>
      </c>
      <c r="H868" s="9" t="n">
        <v>49509</v>
      </c>
      <c r="I868" s="9" t="n">
        <v>54486.9</v>
      </c>
      <c r="J868" s="10" t="n">
        <v>0</v>
      </c>
      <c r="K868" s="8" t="n">
        <v>0</v>
      </c>
      <c r="L868" s="8" t="n">
        <v>1</v>
      </c>
      <c r="M868" s="9" t="n">
        <v>49509</v>
      </c>
      <c r="N868" s="9" t="n">
        <v>4977.9</v>
      </c>
      <c r="O868" s="9" t="n">
        <v>0</v>
      </c>
      <c r="P868" s="8" t="n">
        <v>1</v>
      </c>
      <c r="Q868" s="8" t="n">
        <v>0</v>
      </c>
    </row>
    <row r="869">
      <c r="A869" s="8" t="n">
        <v>359</v>
      </c>
      <c r="B869" s="8" t="inlineStr">
        <is>
          <t>CASH_OUT</t>
        </is>
      </c>
      <c r="C869" s="9" t="n">
        <v>7428844.46</v>
      </c>
      <c r="D869" s="8" t="inlineStr">
        <is>
          <t>C2052842135</t>
        </is>
      </c>
      <c r="E869" s="9" t="n">
        <v>7428844.46</v>
      </c>
      <c r="F869" s="9" t="n">
        <v>0</v>
      </c>
      <c r="G869" s="8" t="inlineStr">
        <is>
          <t>C1331351284</t>
        </is>
      </c>
      <c r="H869" s="9" t="n">
        <v>0</v>
      </c>
      <c r="I869" s="9" t="n">
        <v>7428844.46</v>
      </c>
      <c r="J869" s="11" t="n">
        <v>1</v>
      </c>
      <c r="K869" s="8" t="n">
        <v>0</v>
      </c>
      <c r="L869" s="8" t="n">
        <v>1</v>
      </c>
      <c r="M869" s="9" t="n">
        <v>7428844.46</v>
      </c>
      <c r="N869" s="9" t="n">
        <v>0</v>
      </c>
      <c r="O869" s="9" t="n">
        <v>0</v>
      </c>
      <c r="P869" s="8" t="n">
        <v>1</v>
      </c>
      <c r="Q869" s="8" t="n">
        <v>1</v>
      </c>
    </row>
    <row r="870">
      <c r="A870" s="8" t="n">
        <v>588</v>
      </c>
      <c r="B870" s="8" t="inlineStr">
        <is>
          <t>CASH_OUT</t>
        </is>
      </c>
      <c r="C870" s="9" t="n">
        <v>121505.23</v>
      </c>
      <c r="D870" s="8" t="inlineStr">
        <is>
          <t>C230574919</t>
        </is>
      </c>
      <c r="E870" s="9" t="n">
        <v>25212</v>
      </c>
      <c r="F870" s="9" t="n">
        <v>0</v>
      </c>
      <c r="G870" s="8" t="inlineStr">
        <is>
          <t>C1336930672</t>
        </is>
      </c>
      <c r="H870" s="9" t="n">
        <v>0</v>
      </c>
      <c r="I870" s="9" t="n">
        <v>121505.23</v>
      </c>
      <c r="J870" s="10" t="n">
        <v>0</v>
      </c>
      <c r="K870" s="8" t="n">
        <v>0</v>
      </c>
      <c r="L870" s="8" t="n">
        <v>1</v>
      </c>
      <c r="M870" s="9" t="n">
        <v>25212</v>
      </c>
      <c r="N870" s="9" t="n">
        <v>96293.23</v>
      </c>
      <c r="O870" s="9" t="n">
        <v>0</v>
      </c>
      <c r="P870" s="8" t="n">
        <v>1</v>
      </c>
      <c r="Q870" s="8" t="n">
        <v>0</v>
      </c>
    </row>
    <row r="871">
      <c r="A871" s="8" t="n">
        <v>228</v>
      </c>
      <c r="B871" s="8" t="inlineStr">
        <is>
          <t>TRANSFER</t>
        </is>
      </c>
      <c r="C871" s="9" t="n">
        <v>512443.8</v>
      </c>
      <c r="D871" s="8" t="inlineStr">
        <is>
          <t>C418274229</t>
        </is>
      </c>
      <c r="E871" s="9" t="n">
        <v>330934.17</v>
      </c>
      <c r="F871" s="9" t="n">
        <v>0</v>
      </c>
      <c r="G871" s="8" t="inlineStr">
        <is>
          <t>C2027569559</t>
        </is>
      </c>
      <c r="H871" s="9" t="n">
        <v>5684981.83</v>
      </c>
      <c r="I871" s="9" t="n">
        <v>6197425.63</v>
      </c>
      <c r="J871" s="10" t="n">
        <v>0</v>
      </c>
      <c r="K871" s="8" t="n">
        <v>0</v>
      </c>
      <c r="L871" s="8" t="n">
        <v>1</v>
      </c>
      <c r="M871" s="9" t="n">
        <v>5354047.66</v>
      </c>
      <c r="N871" s="9" t="n">
        <v>181509.63</v>
      </c>
      <c r="O871" s="9" t="n">
        <v>0</v>
      </c>
      <c r="P871" s="8" t="n">
        <v>1</v>
      </c>
      <c r="Q871" s="8" t="n">
        <v>0</v>
      </c>
    </row>
    <row r="872">
      <c r="A872" s="8" t="n">
        <v>465</v>
      </c>
      <c r="B872" s="8" t="inlineStr">
        <is>
          <t>CASH_OUT</t>
        </is>
      </c>
      <c r="C872" s="9" t="n">
        <v>1760061.57</v>
      </c>
      <c r="D872" s="8" t="inlineStr">
        <is>
          <t>C1907027988</t>
        </is>
      </c>
      <c r="E872" s="9" t="n">
        <v>1760061.57</v>
      </c>
      <c r="F872" s="9" t="n">
        <v>0</v>
      </c>
      <c r="G872" s="8" t="inlineStr">
        <is>
          <t>C1368065448</t>
        </is>
      </c>
      <c r="H872" s="9" t="n">
        <v>142305.44</v>
      </c>
      <c r="I872" s="9" t="n">
        <v>1902367.02</v>
      </c>
      <c r="J872" s="11" t="n">
        <v>1</v>
      </c>
      <c r="K872" s="8" t="n">
        <v>0</v>
      </c>
      <c r="L872" s="8" t="n">
        <v>1</v>
      </c>
      <c r="M872" s="9" t="n">
        <v>1617756.13</v>
      </c>
      <c r="N872" s="9" t="n">
        <v>0</v>
      </c>
      <c r="O872" s="9" t="n">
        <v>-0.01</v>
      </c>
      <c r="P872" s="8" t="n">
        <v>1</v>
      </c>
      <c r="Q872" s="8" t="n">
        <v>1</v>
      </c>
    </row>
    <row r="873">
      <c r="A873" s="8" t="n">
        <v>451</v>
      </c>
      <c r="B873" s="8" t="inlineStr">
        <is>
          <t>CASH_OUT</t>
        </is>
      </c>
      <c r="C873" s="9" t="n">
        <v>101588.75</v>
      </c>
      <c r="D873" s="8" t="inlineStr">
        <is>
          <t>C1881994320</t>
        </is>
      </c>
      <c r="E873" s="9" t="n">
        <v>134323</v>
      </c>
      <c r="F873" s="9" t="n">
        <v>32734.25</v>
      </c>
      <c r="G873" s="8" t="inlineStr">
        <is>
          <t>C56512896</t>
        </is>
      </c>
      <c r="H873" s="9" t="n">
        <v>17249.27</v>
      </c>
      <c r="I873" s="9" t="n">
        <v>118838.02</v>
      </c>
      <c r="J873" s="10" t="n">
        <v>0</v>
      </c>
      <c r="K873" s="8" t="n">
        <v>0</v>
      </c>
      <c r="L873" s="8" t="n">
        <v>1</v>
      </c>
      <c r="M873" s="9" t="n">
        <v>117073.73</v>
      </c>
      <c r="N873" s="9" t="n">
        <v>0</v>
      </c>
      <c r="O873" s="9" t="n">
        <v>0</v>
      </c>
      <c r="P873" s="8" t="n">
        <v>1</v>
      </c>
      <c r="Q873" s="8" t="n">
        <v>1</v>
      </c>
    </row>
    <row r="874">
      <c r="A874" s="8" t="n">
        <v>163</v>
      </c>
      <c r="B874" s="8" t="inlineStr">
        <is>
          <t>CASH_OUT</t>
        </is>
      </c>
      <c r="C874" s="9" t="n">
        <v>189954.55</v>
      </c>
      <c r="D874" s="8" t="inlineStr">
        <is>
          <t>C577513339</t>
        </is>
      </c>
      <c r="E874" s="9" t="n">
        <v>248869</v>
      </c>
      <c r="F874" s="9" t="n">
        <v>58914.45</v>
      </c>
      <c r="G874" s="8" t="inlineStr">
        <is>
          <t>C317024493</t>
        </is>
      </c>
      <c r="H874" s="9" t="n">
        <v>1932711.35</v>
      </c>
      <c r="I874" s="9" t="n">
        <v>2122665.9</v>
      </c>
      <c r="J874" s="10" t="n">
        <v>0</v>
      </c>
      <c r="K874" s="8" t="n">
        <v>0</v>
      </c>
      <c r="L874" s="8" t="n">
        <v>1</v>
      </c>
      <c r="M874" s="9" t="n">
        <v>1683842.35</v>
      </c>
      <c r="N874" s="9" t="n">
        <v>0</v>
      </c>
      <c r="O874" s="9" t="n">
        <v>0</v>
      </c>
      <c r="P874" s="8" t="n">
        <v>1</v>
      </c>
      <c r="Q874" s="8" t="n">
        <v>1</v>
      </c>
    </row>
    <row r="875">
      <c r="A875" s="8" t="n">
        <v>298</v>
      </c>
      <c r="B875" s="8" t="inlineStr">
        <is>
          <t>CASH_IN</t>
        </is>
      </c>
      <c r="C875" s="9" t="n">
        <v>321430.27</v>
      </c>
      <c r="D875" s="8" t="inlineStr">
        <is>
          <t>C915918307</t>
        </is>
      </c>
      <c r="E875" s="9" t="n">
        <v>1713434.04</v>
      </c>
      <c r="F875" s="9" t="n">
        <v>2034864.3</v>
      </c>
      <c r="G875" s="8" t="inlineStr">
        <is>
          <t>C815155960</t>
        </is>
      </c>
      <c r="H875" s="9" t="n">
        <v>4390805.01</v>
      </c>
      <c r="I875" s="9" t="n">
        <v>4069374.75</v>
      </c>
      <c r="J875" s="10" t="n">
        <v>0</v>
      </c>
      <c r="K875" s="8" t="n">
        <v>0</v>
      </c>
      <c r="L875" s="8" t="n">
        <v>0</v>
      </c>
      <c r="M875" s="9" t="n">
        <v>2677370.97</v>
      </c>
      <c r="N875" s="9" t="n">
        <v>642860.53</v>
      </c>
      <c r="O875" s="9" t="n">
        <v>642860.53</v>
      </c>
      <c r="P875" s="8" t="n">
        <v>1</v>
      </c>
      <c r="Q875" s="8" t="n">
        <v>0</v>
      </c>
    </row>
    <row r="876">
      <c r="A876" s="8" t="n">
        <v>594</v>
      </c>
      <c r="B876" s="8" t="inlineStr">
        <is>
          <t>CASH_OUT</t>
        </is>
      </c>
      <c r="C876" s="9" t="n">
        <v>217357.58</v>
      </c>
      <c r="D876" s="8" t="inlineStr">
        <is>
          <t>C543137338</t>
        </is>
      </c>
      <c r="E876" s="9" t="n">
        <v>217357.58</v>
      </c>
      <c r="F876" s="9" t="n">
        <v>0</v>
      </c>
      <c r="G876" s="8" t="inlineStr">
        <is>
          <t>C1467736806</t>
        </is>
      </c>
      <c r="H876" s="9" t="n">
        <v>8844811.880000001</v>
      </c>
      <c r="I876" s="9" t="n">
        <v>9062169.460000001</v>
      </c>
      <c r="J876" s="11" t="n">
        <v>1</v>
      </c>
      <c r="K876" s="8" t="n">
        <v>0</v>
      </c>
      <c r="L876" s="8" t="n">
        <v>1</v>
      </c>
      <c r="M876" s="9" t="n">
        <v>8627454.300000001</v>
      </c>
      <c r="N876" s="9" t="n">
        <v>0</v>
      </c>
      <c r="O876" s="9" t="n">
        <v>0</v>
      </c>
      <c r="P876" s="8" t="n">
        <v>1</v>
      </c>
      <c r="Q876" s="8" t="n">
        <v>1</v>
      </c>
    </row>
    <row r="877">
      <c r="A877" s="8" t="n">
        <v>44</v>
      </c>
      <c r="B877" s="8" t="inlineStr">
        <is>
          <t>PAYMENT</t>
        </is>
      </c>
      <c r="C877" s="9" t="n">
        <v>5294.53</v>
      </c>
      <c r="D877" s="8" t="inlineStr">
        <is>
          <t>C2050579337</t>
        </is>
      </c>
      <c r="E877" s="9" t="n">
        <v>0</v>
      </c>
      <c r="F877" s="9" t="n">
        <v>0</v>
      </c>
      <c r="G877" s="8" t="inlineStr">
        <is>
          <t>M621618670</t>
        </is>
      </c>
      <c r="H877" s="9" t="n">
        <v>0</v>
      </c>
      <c r="I877" s="9" t="n">
        <v>0</v>
      </c>
      <c r="J877" s="10" t="n">
        <v>0</v>
      </c>
      <c r="K877" s="8" t="n">
        <v>1</v>
      </c>
      <c r="L877" s="8" t="n">
        <v>0</v>
      </c>
      <c r="M877" s="9" t="n">
        <v>0</v>
      </c>
      <c r="N877" s="9" t="n">
        <v>5294.53</v>
      </c>
      <c r="O877" s="9" t="n">
        <v>5294.53</v>
      </c>
      <c r="P877" s="8" t="n">
        <v>0</v>
      </c>
      <c r="Q877" s="8" t="n">
        <v>0</v>
      </c>
    </row>
    <row r="878">
      <c r="A878" s="8" t="n">
        <v>312</v>
      </c>
      <c r="B878" s="8" t="inlineStr">
        <is>
          <t>CASH_OUT</t>
        </is>
      </c>
      <c r="C878" s="9" t="n">
        <v>608290.12</v>
      </c>
      <c r="D878" s="8" t="inlineStr">
        <is>
          <t>C1818027225</t>
        </is>
      </c>
      <c r="E878" s="9" t="n">
        <v>608290.12</v>
      </c>
      <c r="F878" s="9" t="n">
        <v>0</v>
      </c>
      <c r="G878" s="8" t="inlineStr">
        <is>
          <t>C1832609455</t>
        </is>
      </c>
      <c r="H878" s="9" t="n">
        <v>187218.01</v>
      </c>
      <c r="I878" s="9" t="n">
        <v>795508.14</v>
      </c>
      <c r="J878" s="11" t="n">
        <v>1</v>
      </c>
      <c r="K878" s="8" t="n">
        <v>0</v>
      </c>
      <c r="L878" s="8" t="n">
        <v>1</v>
      </c>
      <c r="M878" s="9" t="n">
        <v>421072.11</v>
      </c>
      <c r="N878" s="9" t="n">
        <v>0</v>
      </c>
      <c r="O878" s="9" t="n">
        <v>-0.01</v>
      </c>
      <c r="P878" s="8" t="n">
        <v>1</v>
      </c>
      <c r="Q878" s="8" t="n">
        <v>1</v>
      </c>
    </row>
    <row r="879">
      <c r="A879" s="8" t="n">
        <v>138</v>
      </c>
      <c r="B879" s="8" t="inlineStr">
        <is>
          <t>CASH_OUT</t>
        </is>
      </c>
      <c r="C879" s="9" t="n">
        <v>94995.17999999999</v>
      </c>
      <c r="D879" s="8" t="inlineStr">
        <is>
          <t>C2015058306</t>
        </is>
      </c>
      <c r="E879" s="9" t="n">
        <v>0</v>
      </c>
      <c r="F879" s="9" t="n">
        <v>0</v>
      </c>
      <c r="G879" s="8" t="inlineStr">
        <is>
          <t>C599885006</t>
        </is>
      </c>
      <c r="H879" s="9" t="n">
        <v>162629.65</v>
      </c>
      <c r="I879" s="9" t="n">
        <v>257624.83</v>
      </c>
      <c r="J879" s="10" t="n">
        <v>0</v>
      </c>
      <c r="K879" s="8" t="n">
        <v>0</v>
      </c>
      <c r="L879" s="8" t="n">
        <v>1</v>
      </c>
      <c r="M879" s="9" t="n">
        <v>162629.65</v>
      </c>
      <c r="N879" s="9" t="n">
        <v>94995.17999999999</v>
      </c>
      <c r="O879" s="9" t="n">
        <v>0</v>
      </c>
      <c r="P879" s="8" t="n">
        <v>1</v>
      </c>
      <c r="Q879" s="8" t="n">
        <v>0</v>
      </c>
    </row>
    <row r="880">
      <c r="A880" s="8" t="n">
        <v>17</v>
      </c>
      <c r="B880" s="8" t="inlineStr">
        <is>
          <t>PAYMENT</t>
        </is>
      </c>
      <c r="C880" s="9" t="n">
        <v>639.9299999999999</v>
      </c>
      <c r="D880" s="8" t="inlineStr">
        <is>
          <t>C1177474426</t>
        </is>
      </c>
      <c r="E880" s="9" t="n">
        <v>0</v>
      </c>
      <c r="F880" s="9" t="n">
        <v>0</v>
      </c>
      <c r="G880" s="8" t="inlineStr">
        <is>
          <t>M220389528</t>
        </is>
      </c>
      <c r="H880" s="9" t="n">
        <v>0</v>
      </c>
      <c r="I880" s="9" t="n">
        <v>0</v>
      </c>
      <c r="J880" s="10" t="n">
        <v>0</v>
      </c>
      <c r="K880" s="8" t="n">
        <v>1</v>
      </c>
      <c r="L880" s="8" t="n">
        <v>0</v>
      </c>
      <c r="M880" s="9" t="n">
        <v>0</v>
      </c>
      <c r="N880" s="9" t="n">
        <v>639.9299999999999</v>
      </c>
      <c r="O880" s="9" t="n">
        <v>639.9299999999999</v>
      </c>
      <c r="P880" s="8" t="n">
        <v>0</v>
      </c>
      <c r="Q880" s="8" t="n">
        <v>0</v>
      </c>
    </row>
    <row r="881">
      <c r="A881" s="8" t="n">
        <v>355</v>
      </c>
      <c r="B881" s="8" t="inlineStr">
        <is>
          <t>CASH_OUT</t>
        </is>
      </c>
      <c r="C881" s="9" t="n">
        <v>235214.57</v>
      </c>
      <c r="D881" s="8" t="inlineStr">
        <is>
          <t>C1887742602</t>
        </is>
      </c>
      <c r="E881" s="9" t="n">
        <v>77252</v>
      </c>
      <c r="F881" s="9" t="n">
        <v>0</v>
      </c>
      <c r="G881" s="8" t="inlineStr">
        <is>
          <t>C1244017819</t>
        </is>
      </c>
      <c r="H881" s="9" t="n">
        <v>734383.35</v>
      </c>
      <c r="I881" s="9" t="n">
        <v>969597.92</v>
      </c>
      <c r="J881" s="10" t="n">
        <v>0</v>
      </c>
      <c r="K881" s="8" t="n">
        <v>0</v>
      </c>
      <c r="L881" s="8" t="n">
        <v>1</v>
      </c>
      <c r="M881" s="9" t="n">
        <v>657131.35</v>
      </c>
      <c r="N881" s="9" t="n">
        <v>157962.57</v>
      </c>
      <c r="O881" s="9" t="n">
        <v>-0</v>
      </c>
      <c r="P881" s="8" t="n">
        <v>1</v>
      </c>
      <c r="Q881" s="8" t="n">
        <v>0</v>
      </c>
    </row>
    <row r="882">
      <c r="A882" s="8" t="n">
        <v>542</v>
      </c>
      <c r="B882" s="8" t="inlineStr">
        <is>
          <t>TRANSFER</t>
        </is>
      </c>
      <c r="C882" s="9" t="n">
        <v>429613.14</v>
      </c>
      <c r="D882" s="8" t="inlineStr">
        <is>
          <t>C884642653</t>
        </is>
      </c>
      <c r="E882" s="9" t="n">
        <v>0</v>
      </c>
      <c r="F882" s="9" t="n">
        <v>0</v>
      </c>
      <c r="G882" s="8" t="inlineStr">
        <is>
          <t>C1650161287</t>
        </is>
      </c>
      <c r="H882" s="9" t="n">
        <v>1442986.31</v>
      </c>
      <c r="I882" s="9" t="n">
        <v>1872599.45</v>
      </c>
      <c r="J882" s="10" t="n">
        <v>0</v>
      </c>
      <c r="K882" s="8" t="n">
        <v>0</v>
      </c>
      <c r="L882" s="8" t="n">
        <v>1</v>
      </c>
      <c r="M882" s="9" t="n">
        <v>1442986.31</v>
      </c>
      <c r="N882" s="9" t="n">
        <v>429613.14</v>
      </c>
      <c r="O882" s="9" t="n">
        <v>0</v>
      </c>
      <c r="P882" s="8" t="n">
        <v>1</v>
      </c>
      <c r="Q882" s="8" t="n">
        <v>0</v>
      </c>
    </row>
    <row r="883">
      <c r="A883" s="8" t="n">
        <v>162</v>
      </c>
      <c r="B883" s="8" t="inlineStr">
        <is>
          <t>CASH_IN</t>
        </is>
      </c>
      <c r="C883" s="9" t="n">
        <v>531313.4300000001</v>
      </c>
      <c r="D883" s="8" t="inlineStr">
        <is>
          <t>C1025947347</t>
        </is>
      </c>
      <c r="E883" s="9" t="n">
        <v>8013398.72</v>
      </c>
      <c r="F883" s="9" t="n">
        <v>8544712.15</v>
      </c>
      <c r="G883" s="8" t="inlineStr">
        <is>
          <t>C1438086193</t>
        </is>
      </c>
      <c r="H883" s="9" t="n">
        <v>1017621.24</v>
      </c>
      <c r="I883" s="9" t="n">
        <v>486307.82</v>
      </c>
      <c r="J883" s="10" t="n">
        <v>0</v>
      </c>
      <c r="K883" s="8" t="n">
        <v>0</v>
      </c>
      <c r="L883" s="8" t="n">
        <v>0</v>
      </c>
      <c r="M883" s="9" t="n">
        <v>6995777.48</v>
      </c>
      <c r="N883" s="9" t="n">
        <v>1062626.86</v>
      </c>
      <c r="O883" s="9" t="n">
        <v>1062626.85</v>
      </c>
      <c r="P883" s="8" t="n">
        <v>1</v>
      </c>
      <c r="Q883" s="8" t="n">
        <v>0</v>
      </c>
    </row>
    <row r="884">
      <c r="A884" s="8" t="n">
        <v>396</v>
      </c>
      <c r="B884" s="8" t="inlineStr">
        <is>
          <t>CASH_OUT</t>
        </is>
      </c>
      <c r="C884" s="9" t="n">
        <v>86067.94</v>
      </c>
      <c r="D884" s="8" t="inlineStr">
        <is>
          <t>C286682437</t>
        </is>
      </c>
      <c r="E884" s="9" t="n">
        <v>0</v>
      </c>
      <c r="F884" s="9" t="n">
        <v>0</v>
      </c>
      <c r="G884" s="8" t="inlineStr">
        <is>
          <t>C1280807165</t>
        </is>
      </c>
      <c r="H884" s="9" t="n">
        <v>93630.11</v>
      </c>
      <c r="I884" s="9" t="n">
        <v>179698.05</v>
      </c>
      <c r="J884" s="10" t="n">
        <v>0</v>
      </c>
      <c r="K884" s="8" t="n">
        <v>0</v>
      </c>
      <c r="L884" s="8" t="n">
        <v>1</v>
      </c>
      <c r="M884" s="9" t="n">
        <v>93630.11</v>
      </c>
      <c r="N884" s="9" t="n">
        <v>86067.94</v>
      </c>
      <c r="O884" s="9" t="n">
        <v>0</v>
      </c>
      <c r="P884" s="8" t="n">
        <v>1</v>
      </c>
      <c r="Q884" s="8" t="n">
        <v>0</v>
      </c>
    </row>
    <row r="885">
      <c r="A885" s="8" t="n">
        <v>297</v>
      </c>
      <c r="B885" s="8" t="inlineStr">
        <is>
          <t>PAYMENT</t>
        </is>
      </c>
      <c r="C885" s="9" t="n">
        <v>14886.16</v>
      </c>
      <c r="D885" s="8" t="inlineStr">
        <is>
          <t>C796574317</t>
        </is>
      </c>
      <c r="E885" s="9" t="n">
        <v>0</v>
      </c>
      <c r="F885" s="9" t="n">
        <v>0</v>
      </c>
      <c r="G885" s="8" t="inlineStr">
        <is>
          <t>M1115419391</t>
        </is>
      </c>
      <c r="H885" s="9" t="n">
        <v>0</v>
      </c>
      <c r="I885" s="9" t="n">
        <v>0</v>
      </c>
      <c r="J885" s="10" t="n">
        <v>0</v>
      </c>
      <c r="K885" s="8" t="n">
        <v>1</v>
      </c>
      <c r="L885" s="8" t="n">
        <v>0</v>
      </c>
      <c r="M885" s="9" t="n">
        <v>0</v>
      </c>
      <c r="N885" s="9" t="n">
        <v>14886.16</v>
      </c>
      <c r="O885" s="9" t="n">
        <v>14886.16</v>
      </c>
      <c r="P885" s="8" t="n">
        <v>0</v>
      </c>
      <c r="Q885" s="8" t="n">
        <v>0</v>
      </c>
    </row>
    <row r="886">
      <c r="A886" s="8" t="n">
        <v>264</v>
      </c>
      <c r="B886" s="8" t="inlineStr">
        <is>
          <t>CASH_OUT</t>
        </is>
      </c>
      <c r="C886" s="9" t="n">
        <v>2514878.33</v>
      </c>
      <c r="D886" s="8" t="inlineStr">
        <is>
          <t>C1163253466</t>
        </is>
      </c>
      <c r="E886" s="9" t="n">
        <v>2514878.33</v>
      </c>
      <c r="F886" s="9" t="n">
        <v>0</v>
      </c>
      <c r="G886" s="8" t="inlineStr">
        <is>
          <t>C1720852348</t>
        </is>
      </c>
      <c r="H886" s="9" t="n">
        <v>1017845.77</v>
      </c>
      <c r="I886" s="9" t="n">
        <v>3532724.1</v>
      </c>
      <c r="J886" s="11" t="n">
        <v>1</v>
      </c>
      <c r="K886" s="8" t="n">
        <v>0</v>
      </c>
      <c r="L886" s="8" t="n">
        <v>1</v>
      </c>
      <c r="M886" s="9" t="n">
        <v>1497032.56</v>
      </c>
      <c r="N886" s="9" t="n">
        <v>0</v>
      </c>
      <c r="O886" s="9" t="n">
        <v>0</v>
      </c>
      <c r="P886" s="8" t="n">
        <v>1</v>
      </c>
      <c r="Q886" s="8" t="n">
        <v>1</v>
      </c>
    </row>
    <row r="887">
      <c r="A887" s="8" t="n">
        <v>164</v>
      </c>
      <c r="B887" s="8" t="inlineStr">
        <is>
          <t>CASH_IN</t>
        </is>
      </c>
      <c r="C887" s="9" t="n">
        <v>29695.28</v>
      </c>
      <c r="D887" s="8" t="inlineStr">
        <is>
          <t>C281123971</t>
        </is>
      </c>
      <c r="E887" s="9" t="n">
        <v>21176</v>
      </c>
      <c r="F887" s="9" t="n">
        <v>50871.28</v>
      </c>
      <c r="G887" s="8" t="inlineStr">
        <is>
          <t>C1619975081</t>
        </is>
      </c>
      <c r="H887" s="9" t="n">
        <v>7963787.77</v>
      </c>
      <c r="I887" s="9" t="n">
        <v>7934092.48</v>
      </c>
      <c r="J887" s="10" t="n">
        <v>0</v>
      </c>
      <c r="K887" s="8" t="n">
        <v>0</v>
      </c>
      <c r="L887" s="8" t="n">
        <v>0</v>
      </c>
      <c r="M887" s="9" t="n">
        <v>7942611.77</v>
      </c>
      <c r="N887" s="9" t="n">
        <v>59390.56</v>
      </c>
      <c r="O887" s="9" t="n">
        <v>59390.57</v>
      </c>
      <c r="P887" s="8" t="n">
        <v>1</v>
      </c>
      <c r="Q887" s="8" t="n">
        <v>0</v>
      </c>
    </row>
    <row r="888">
      <c r="A888" s="8" t="n">
        <v>628</v>
      </c>
      <c r="B888" s="8" t="inlineStr">
        <is>
          <t>TRANSFER</t>
        </is>
      </c>
      <c r="C888" s="9" t="n">
        <v>709950.5699999999</v>
      </c>
      <c r="D888" s="8" t="inlineStr">
        <is>
          <t>C1239512802</t>
        </is>
      </c>
      <c r="E888" s="9" t="n">
        <v>709950.5699999999</v>
      </c>
      <c r="F888" s="9" t="n">
        <v>0</v>
      </c>
      <c r="G888" s="8" t="inlineStr">
        <is>
          <t>C1688563256</t>
        </is>
      </c>
      <c r="H888" s="9" t="n">
        <v>0</v>
      </c>
      <c r="I888" s="9" t="n">
        <v>0</v>
      </c>
      <c r="J888" s="11" t="n">
        <v>1</v>
      </c>
      <c r="K888" s="8" t="n">
        <v>0</v>
      </c>
      <c r="L888" s="8" t="n">
        <v>1</v>
      </c>
      <c r="M888" s="9" t="n">
        <v>709950.5699999999</v>
      </c>
      <c r="N888" s="9" t="n">
        <v>0</v>
      </c>
      <c r="O888" s="9" t="n">
        <v>709950.5699999999</v>
      </c>
      <c r="P888" s="8" t="n">
        <v>1</v>
      </c>
      <c r="Q888" s="8" t="n">
        <v>1</v>
      </c>
    </row>
    <row r="889">
      <c r="A889" s="8" t="n">
        <v>26</v>
      </c>
      <c r="B889" s="8" t="inlineStr">
        <is>
          <t>CASH_OUT</t>
        </is>
      </c>
      <c r="C889" s="9" t="n">
        <v>37065.55</v>
      </c>
      <c r="D889" s="8" t="inlineStr">
        <is>
          <t>C281192595</t>
        </is>
      </c>
      <c r="E889" s="9" t="n">
        <v>37065.55</v>
      </c>
      <c r="F889" s="9" t="n">
        <v>0</v>
      </c>
      <c r="G889" s="8" t="inlineStr">
        <is>
          <t>C514736179</t>
        </is>
      </c>
      <c r="H889" s="9" t="n">
        <v>1396327.66</v>
      </c>
      <c r="I889" s="9" t="n">
        <v>1433393.21</v>
      </c>
      <c r="J889" s="11" t="n">
        <v>1</v>
      </c>
      <c r="K889" s="8" t="n">
        <v>0</v>
      </c>
      <c r="L889" s="8" t="n">
        <v>1</v>
      </c>
      <c r="M889" s="9" t="n">
        <v>1359262.11</v>
      </c>
      <c r="N889" s="9" t="n">
        <v>0</v>
      </c>
      <c r="O889" s="9" t="n">
        <v>0</v>
      </c>
      <c r="P889" s="8" t="n">
        <v>1</v>
      </c>
      <c r="Q889" s="8" t="n">
        <v>1</v>
      </c>
    </row>
    <row r="890">
      <c r="A890" s="8" t="n">
        <v>306</v>
      </c>
      <c r="B890" s="8" t="inlineStr">
        <is>
          <t>CASH_OUT</t>
        </is>
      </c>
      <c r="C890" s="9" t="n">
        <v>4262592.28</v>
      </c>
      <c r="D890" s="8" t="inlineStr">
        <is>
          <t>C1909269068</t>
        </is>
      </c>
      <c r="E890" s="9" t="n">
        <v>4262592.28</v>
      </c>
      <c r="F890" s="9" t="n">
        <v>0</v>
      </c>
      <c r="G890" s="8" t="inlineStr">
        <is>
          <t>C1758624073</t>
        </is>
      </c>
      <c r="H890" s="9" t="n">
        <v>237422.88</v>
      </c>
      <c r="I890" s="9" t="n">
        <v>4500015.17</v>
      </c>
      <c r="J890" s="11" t="n">
        <v>1</v>
      </c>
      <c r="K890" s="8" t="n">
        <v>0</v>
      </c>
      <c r="L890" s="8" t="n">
        <v>1</v>
      </c>
      <c r="M890" s="9" t="n">
        <v>4025169.4</v>
      </c>
      <c r="N890" s="9" t="n">
        <v>0</v>
      </c>
      <c r="O890" s="9" t="n">
        <v>-0.01</v>
      </c>
      <c r="P890" s="8" t="n">
        <v>1</v>
      </c>
      <c r="Q890" s="8" t="n">
        <v>1</v>
      </c>
    </row>
    <row r="891">
      <c r="A891" s="8" t="n">
        <v>287</v>
      </c>
      <c r="B891" s="8" t="inlineStr">
        <is>
          <t>TRANSFER</t>
        </is>
      </c>
      <c r="C891" s="9" t="n">
        <v>96558.95</v>
      </c>
      <c r="D891" s="8" t="inlineStr">
        <is>
          <t>C73777032</t>
        </is>
      </c>
      <c r="E891" s="9" t="n">
        <v>10423</v>
      </c>
      <c r="F891" s="9" t="n">
        <v>0</v>
      </c>
      <c r="G891" s="8" t="inlineStr">
        <is>
          <t>C810151741</t>
        </is>
      </c>
      <c r="H891" s="9" t="n">
        <v>1282592.18</v>
      </c>
      <c r="I891" s="9" t="n">
        <v>1379151.13</v>
      </c>
      <c r="J891" s="10" t="n">
        <v>0</v>
      </c>
      <c r="K891" s="8" t="n">
        <v>0</v>
      </c>
      <c r="L891" s="8" t="n">
        <v>1</v>
      </c>
      <c r="M891" s="9" t="n">
        <v>1272169.18</v>
      </c>
      <c r="N891" s="9" t="n">
        <v>86135.95</v>
      </c>
      <c r="O891" s="9" t="n">
        <v>0</v>
      </c>
      <c r="P891" s="8" t="n">
        <v>1</v>
      </c>
      <c r="Q891" s="8" t="n">
        <v>0</v>
      </c>
    </row>
    <row r="892">
      <c r="A892" s="8" t="n">
        <v>253</v>
      </c>
      <c r="B892" s="8" t="inlineStr">
        <is>
          <t>PAYMENT</t>
        </is>
      </c>
      <c r="C892" s="9" t="n">
        <v>9115.709999999999</v>
      </c>
      <c r="D892" s="8" t="inlineStr">
        <is>
          <t>C1303215489</t>
        </is>
      </c>
      <c r="E892" s="9" t="n">
        <v>341809.88</v>
      </c>
      <c r="F892" s="9" t="n">
        <v>332694.17</v>
      </c>
      <c r="G892" s="8" t="inlineStr">
        <is>
          <t>M378918645</t>
        </is>
      </c>
      <c r="H892" s="9" t="n">
        <v>0</v>
      </c>
      <c r="I892" s="9" t="n">
        <v>0</v>
      </c>
      <c r="J892" s="10" t="n">
        <v>0</v>
      </c>
      <c r="K892" s="8" t="n">
        <v>1</v>
      </c>
      <c r="L892" s="8" t="n">
        <v>0</v>
      </c>
      <c r="M892" s="9" t="n">
        <v>341809.88</v>
      </c>
      <c r="N892" s="9" t="n">
        <v>0</v>
      </c>
      <c r="O892" s="9" t="n">
        <v>9115.709999999999</v>
      </c>
      <c r="P892" s="8" t="n">
        <v>0</v>
      </c>
      <c r="Q892" s="8" t="n">
        <v>1</v>
      </c>
    </row>
    <row r="893">
      <c r="A893" s="8" t="n">
        <v>18</v>
      </c>
      <c r="B893" s="8" t="inlineStr">
        <is>
          <t>PAYMENT</t>
        </is>
      </c>
      <c r="C893" s="9" t="n">
        <v>2539.53</v>
      </c>
      <c r="D893" s="8" t="inlineStr">
        <is>
          <t>C883555630</t>
        </is>
      </c>
      <c r="E893" s="9" t="n">
        <v>0</v>
      </c>
      <c r="F893" s="9" t="n">
        <v>0</v>
      </c>
      <c r="G893" s="8" t="inlineStr">
        <is>
          <t>M1617257871</t>
        </is>
      </c>
      <c r="H893" s="9" t="n">
        <v>0</v>
      </c>
      <c r="I893" s="9" t="n">
        <v>0</v>
      </c>
      <c r="J893" s="10" t="n">
        <v>0</v>
      </c>
      <c r="K893" s="8" t="n">
        <v>1</v>
      </c>
      <c r="L893" s="8" t="n">
        <v>0</v>
      </c>
      <c r="M893" s="9" t="n">
        <v>0</v>
      </c>
      <c r="N893" s="9" t="n">
        <v>2539.53</v>
      </c>
      <c r="O893" s="9" t="n">
        <v>2539.53</v>
      </c>
      <c r="P893" s="8" t="n">
        <v>0</v>
      </c>
      <c r="Q893" s="8" t="n">
        <v>0</v>
      </c>
    </row>
    <row r="894">
      <c r="A894" s="8" t="n">
        <v>522</v>
      </c>
      <c r="B894" s="8" t="inlineStr">
        <is>
          <t>TRANSFER</t>
        </is>
      </c>
      <c r="C894" s="9" t="n">
        <v>146908.38</v>
      </c>
      <c r="D894" s="8" t="inlineStr">
        <is>
          <t>C2104935185</t>
        </is>
      </c>
      <c r="E894" s="9" t="n">
        <v>146908.38</v>
      </c>
      <c r="F894" s="9" t="n">
        <v>0</v>
      </c>
      <c r="G894" s="8" t="inlineStr">
        <is>
          <t>C1426723471</t>
        </is>
      </c>
      <c r="H894" s="9" t="n">
        <v>0</v>
      </c>
      <c r="I894" s="9" t="n">
        <v>0</v>
      </c>
      <c r="J894" s="11" t="n">
        <v>1</v>
      </c>
      <c r="K894" s="8" t="n">
        <v>0</v>
      </c>
      <c r="L894" s="8" t="n">
        <v>1</v>
      </c>
      <c r="M894" s="9" t="n">
        <v>146908.38</v>
      </c>
      <c r="N894" s="9" t="n">
        <v>0</v>
      </c>
      <c r="O894" s="9" t="n">
        <v>146908.38</v>
      </c>
      <c r="P894" s="8" t="n">
        <v>1</v>
      </c>
      <c r="Q894" s="8" t="n">
        <v>1</v>
      </c>
    </row>
    <row r="895">
      <c r="A895" s="8" t="n">
        <v>584</v>
      </c>
      <c r="B895" s="8" t="inlineStr">
        <is>
          <t>CASH_OUT</t>
        </is>
      </c>
      <c r="C895" s="9" t="n">
        <v>1016081</v>
      </c>
      <c r="D895" s="8" t="inlineStr">
        <is>
          <t>C1819971579</t>
        </is>
      </c>
      <c r="E895" s="9" t="n">
        <v>1016081</v>
      </c>
      <c r="F895" s="9" t="n">
        <v>0</v>
      </c>
      <c r="G895" s="8" t="inlineStr">
        <is>
          <t>C1976692197</t>
        </is>
      </c>
      <c r="H895" s="9" t="n">
        <v>0</v>
      </c>
      <c r="I895" s="9" t="n">
        <v>1016081</v>
      </c>
      <c r="J895" s="11" t="n">
        <v>1</v>
      </c>
      <c r="K895" s="8" t="n">
        <v>0</v>
      </c>
      <c r="L895" s="8" t="n">
        <v>1</v>
      </c>
      <c r="M895" s="9" t="n">
        <v>1016081</v>
      </c>
      <c r="N895" s="9" t="n">
        <v>0</v>
      </c>
      <c r="O895" s="9" t="n">
        <v>0</v>
      </c>
      <c r="P895" s="8" t="n">
        <v>1</v>
      </c>
      <c r="Q895" s="8" t="n">
        <v>1</v>
      </c>
    </row>
    <row r="896">
      <c r="A896" s="8" t="n">
        <v>259</v>
      </c>
      <c r="B896" s="8" t="inlineStr">
        <is>
          <t>CASH_OUT</t>
        </is>
      </c>
      <c r="C896" s="9" t="n">
        <v>23244.34</v>
      </c>
      <c r="D896" s="8" t="inlineStr">
        <is>
          <t>C346005295</t>
        </is>
      </c>
      <c r="E896" s="9" t="n">
        <v>10215</v>
      </c>
      <c r="F896" s="9" t="n">
        <v>0</v>
      </c>
      <c r="G896" s="8" t="inlineStr">
        <is>
          <t>C882708618</t>
        </is>
      </c>
      <c r="H896" s="9" t="n">
        <v>0</v>
      </c>
      <c r="I896" s="9" t="n">
        <v>23244.34</v>
      </c>
      <c r="J896" s="10" t="n">
        <v>0</v>
      </c>
      <c r="K896" s="8" t="n">
        <v>0</v>
      </c>
      <c r="L896" s="8" t="n">
        <v>1</v>
      </c>
      <c r="M896" s="9" t="n">
        <v>10215</v>
      </c>
      <c r="N896" s="9" t="n">
        <v>13029.34</v>
      </c>
      <c r="O896" s="9" t="n">
        <v>0</v>
      </c>
      <c r="P896" s="8" t="n">
        <v>1</v>
      </c>
      <c r="Q896" s="8" t="n">
        <v>0</v>
      </c>
    </row>
    <row r="897">
      <c r="A897" s="8" t="n">
        <v>227</v>
      </c>
      <c r="B897" s="8" t="inlineStr">
        <is>
          <t>CASH_OUT</t>
        </is>
      </c>
      <c r="C897" s="9" t="n">
        <v>42871.9</v>
      </c>
      <c r="D897" s="8" t="inlineStr">
        <is>
          <t>C1546906332</t>
        </is>
      </c>
      <c r="E897" s="9" t="n">
        <v>0</v>
      </c>
      <c r="F897" s="9" t="n">
        <v>0</v>
      </c>
      <c r="G897" s="8" t="inlineStr">
        <is>
          <t>C1604270900</t>
        </is>
      </c>
      <c r="H897" s="9" t="n">
        <v>53641.51</v>
      </c>
      <c r="I897" s="9" t="n">
        <v>96513.42</v>
      </c>
      <c r="J897" s="10" t="n">
        <v>0</v>
      </c>
      <c r="K897" s="8" t="n">
        <v>0</v>
      </c>
      <c r="L897" s="8" t="n">
        <v>1</v>
      </c>
      <c r="M897" s="9" t="n">
        <v>53641.51</v>
      </c>
      <c r="N897" s="9" t="n">
        <v>42871.9</v>
      </c>
      <c r="O897" s="9" t="n">
        <v>-0.01</v>
      </c>
      <c r="P897" s="8" t="n">
        <v>1</v>
      </c>
      <c r="Q897" s="8" t="n">
        <v>0</v>
      </c>
    </row>
    <row r="898">
      <c r="A898" s="8" t="n">
        <v>596</v>
      </c>
      <c r="B898" s="8" t="inlineStr">
        <is>
          <t>PAYMENT</t>
        </is>
      </c>
      <c r="C898" s="9" t="n">
        <v>2732.83</v>
      </c>
      <c r="D898" s="8" t="inlineStr">
        <is>
          <t>C731936133</t>
        </is>
      </c>
      <c r="E898" s="9" t="n">
        <v>11532</v>
      </c>
      <c r="F898" s="9" t="n">
        <v>8799.17</v>
      </c>
      <c r="G898" s="8" t="inlineStr">
        <is>
          <t>M1255109114</t>
        </is>
      </c>
      <c r="H898" s="9" t="n">
        <v>0</v>
      </c>
      <c r="I898" s="9" t="n">
        <v>0</v>
      </c>
      <c r="J898" s="10" t="n">
        <v>0</v>
      </c>
      <c r="K898" s="8" t="n">
        <v>1</v>
      </c>
      <c r="L898" s="8" t="n">
        <v>0</v>
      </c>
      <c r="M898" s="9" t="n">
        <v>11532</v>
      </c>
      <c r="N898" s="9" t="n">
        <v>0</v>
      </c>
      <c r="O898" s="9" t="n">
        <v>2732.83</v>
      </c>
      <c r="P898" s="8" t="n">
        <v>0</v>
      </c>
      <c r="Q898" s="8" t="n">
        <v>1</v>
      </c>
    </row>
    <row r="899">
      <c r="A899" s="8" t="n">
        <v>17</v>
      </c>
      <c r="B899" s="8" t="inlineStr">
        <is>
          <t>CASH_OUT</t>
        </is>
      </c>
      <c r="C899" s="9" t="n">
        <v>82198.45</v>
      </c>
      <c r="D899" s="8" t="inlineStr">
        <is>
          <t>C1073100319</t>
        </is>
      </c>
      <c r="E899" s="9" t="n">
        <v>30873</v>
      </c>
      <c r="F899" s="9" t="n">
        <v>0</v>
      </c>
      <c r="G899" s="8" t="inlineStr">
        <is>
          <t>C628127069</t>
        </is>
      </c>
      <c r="H899" s="9" t="n">
        <v>81070.31</v>
      </c>
      <c r="I899" s="9" t="n">
        <v>0</v>
      </c>
      <c r="J899" s="10" t="n">
        <v>0</v>
      </c>
      <c r="K899" s="8" t="n">
        <v>0</v>
      </c>
      <c r="L899" s="8" t="n">
        <v>1</v>
      </c>
      <c r="M899" s="9" t="n">
        <v>50197.31</v>
      </c>
      <c r="N899" s="9" t="n">
        <v>51325.45</v>
      </c>
      <c r="O899" s="9" t="n">
        <v>163268.76</v>
      </c>
      <c r="P899" s="8" t="n">
        <v>1</v>
      </c>
      <c r="Q899" s="8" t="n">
        <v>0</v>
      </c>
    </row>
    <row r="900">
      <c r="A900" s="8" t="n">
        <v>178</v>
      </c>
      <c r="B900" s="8" t="inlineStr">
        <is>
          <t>CASH_IN</t>
        </is>
      </c>
      <c r="C900" s="9" t="n">
        <v>56476.17</v>
      </c>
      <c r="D900" s="8" t="inlineStr">
        <is>
          <t>C1209603158</t>
        </is>
      </c>
      <c r="E900" s="9" t="n">
        <v>872321.9300000001</v>
      </c>
      <c r="F900" s="9" t="n">
        <v>928798.1</v>
      </c>
      <c r="G900" s="8" t="inlineStr">
        <is>
          <t>C1309558956</t>
        </is>
      </c>
      <c r="H900" s="9" t="n">
        <v>214206.26</v>
      </c>
      <c r="I900" s="9" t="n">
        <v>157730.09</v>
      </c>
      <c r="J900" s="10" t="n">
        <v>0</v>
      </c>
      <c r="K900" s="8" t="n">
        <v>0</v>
      </c>
      <c r="L900" s="8" t="n">
        <v>0</v>
      </c>
      <c r="M900" s="9" t="n">
        <v>658115.67</v>
      </c>
      <c r="N900" s="9" t="n">
        <v>112952.34</v>
      </c>
      <c r="O900" s="9" t="n">
        <v>112952.34</v>
      </c>
      <c r="P900" s="8" t="n">
        <v>1</v>
      </c>
      <c r="Q900" s="8" t="n">
        <v>0</v>
      </c>
    </row>
    <row r="901">
      <c r="A901" s="8" t="n">
        <v>548</v>
      </c>
      <c r="B901" s="8" t="inlineStr">
        <is>
          <t>CASH_OUT</t>
        </is>
      </c>
      <c r="C901" s="9" t="n">
        <v>125143.42</v>
      </c>
      <c r="D901" s="8" t="inlineStr">
        <is>
          <t>C901719911</t>
        </is>
      </c>
      <c r="E901" s="9" t="n">
        <v>159</v>
      </c>
      <c r="F901" s="9" t="n">
        <v>0</v>
      </c>
      <c r="G901" s="8" t="inlineStr">
        <is>
          <t>C1171936004</t>
        </is>
      </c>
      <c r="H901" s="9" t="n">
        <v>108633.79</v>
      </c>
      <c r="I901" s="9" t="n">
        <v>233777.21</v>
      </c>
      <c r="J901" s="10" t="n">
        <v>0</v>
      </c>
      <c r="K901" s="8" t="n">
        <v>0</v>
      </c>
      <c r="L901" s="8" t="n">
        <v>1</v>
      </c>
      <c r="M901" s="9" t="n">
        <v>108474.79</v>
      </c>
      <c r="N901" s="9" t="n">
        <v>124984.42</v>
      </c>
      <c r="O901" s="9" t="n">
        <v>0</v>
      </c>
      <c r="P901" s="8" t="n">
        <v>1</v>
      </c>
      <c r="Q901" s="8" t="n">
        <v>0</v>
      </c>
    </row>
    <row r="902">
      <c r="A902" s="8" t="n">
        <v>187</v>
      </c>
      <c r="B902" s="8" t="inlineStr">
        <is>
          <t>TRANSFER</t>
        </is>
      </c>
      <c r="C902" s="9" t="n">
        <v>170922.43</v>
      </c>
      <c r="D902" s="8" t="inlineStr">
        <is>
          <t>C1346726276</t>
        </is>
      </c>
      <c r="E902" s="9" t="n">
        <v>0</v>
      </c>
      <c r="F902" s="9" t="n">
        <v>0</v>
      </c>
      <c r="G902" s="8" t="inlineStr">
        <is>
          <t>C1299458576</t>
        </is>
      </c>
      <c r="H902" s="9" t="n">
        <v>485743.06</v>
      </c>
      <c r="I902" s="9" t="n">
        <v>656665.49</v>
      </c>
      <c r="J902" s="10" t="n">
        <v>0</v>
      </c>
      <c r="K902" s="8" t="n">
        <v>0</v>
      </c>
      <c r="L902" s="8" t="n">
        <v>1</v>
      </c>
      <c r="M902" s="9" t="n">
        <v>485743.06</v>
      </c>
      <c r="N902" s="9" t="n">
        <v>170922.43</v>
      </c>
      <c r="O902" s="9" t="n">
        <v>0</v>
      </c>
      <c r="P902" s="8" t="n">
        <v>1</v>
      </c>
      <c r="Q902" s="8" t="n">
        <v>0</v>
      </c>
    </row>
    <row r="903">
      <c r="A903" s="8" t="n">
        <v>322</v>
      </c>
      <c r="B903" s="8" t="inlineStr">
        <is>
          <t>TRANSFER</t>
        </is>
      </c>
      <c r="C903" s="9" t="n">
        <v>10652.04</v>
      </c>
      <c r="D903" s="8" t="inlineStr">
        <is>
          <t>C1299946604</t>
        </is>
      </c>
      <c r="E903" s="9" t="n">
        <v>0</v>
      </c>
      <c r="F903" s="9" t="n">
        <v>0</v>
      </c>
      <c r="G903" s="8" t="inlineStr">
        <is>
          <t>C1651770276</t>
        </is>
      </c>
      <c r="H903" s="9" t="n">
        <v>13078.08</v>
      </c>
      <c r="I903" s="9" t="n">
        <v>23730.12</v>
      </c>
      <c r="J903" s="10" t="n">
        <v>0</v>
      </c>
      <c r="K903" s="8" t="n">
        <v>0</v>
      </c>
      <c r="L903" s="8" t="n">
        <v>1</v>
      </c>
      <c r="M903" s="9" t="n">
        <v>13078.08</v>
      </c>
      <c r="N903" s="9" t="n">
        <v>10652.04</v>
      </c>
      <c r="O903" s="9" t="n">
        <v>0</v>
      </c>
      <c r="P903" s="8" t="n">
        <v>1</v>
      </c>
      <c r="Q903" s="8" t="n">
        <v>0</v>
      </c>
    </row>
    <row r="904">
      <c r="A904" s="8" t="n">
        <v>144</v>
      </c>
      <c r="B904" s="8" t="inlineStr">
        <is>
          <t>PAYMENT</t>
        </is>
      </c>
      <c r="C904" s="9" t="n">
        <v>19283.11</v>
      </c>
      <c r="D904" s="8" t="inlineStr">
        <is>
          <t>C1875201404</t>
        </is>
      </c>
      <c r="E904" s="9" t="n">
        <v>51582</v>
      </c>
      <c r="F904" s="9" t="n">
        <v>32298.89</v>
      </c>
      <c r="G904" s="8" t="inlineStr">
        <is>
          <t>M559624823</t>
        </is>
      </c>
      <c r="H904" s="9" t="n">
        <v>0</v>
      </c>
      <c r="I904" s="9" t="n">
        <v>0</v>
      </c>
      <c r="J904" s="10" t="n">
        <v>0</v>
      </c>
      <c r="K904" s="8" t="n">
        <v>1</v>
      </c>
      <c r="L904" s="8" t="n">
        <v>0</v>
      </c>
      <c r="M904" s="9" t="n">
        <v>51582</v>
      </c>
      <c r="N904" s="9" t="n">
        <v>0</v>
      </c>
      <c r="O904" s="9" t="n">
        <v>19283.11</v>
      </c>
      <c r="P904" s="8" t="n">
        <v>0</v>
      </c>
      <c r="Q904" s="8" t="n">
        <v>1</v>
      </c>
    </row>
    <row r="905">
      <c r="A905" s="8" t="n">
        <v>395</v>
      </c>
      <c r="B905" s="8" t="inlineStr">
        <is>
          <t>TRANSFER</t>
        </is>
      </c>
      <c r="C905" s="9" t="n">
        <v>874413.6</v>
      </c>
      <c r="D905" s="8" t="inlineStr">
        <is>
          <t>C664510019</t>
        </is>
      </c>
      <c r="E905" s="9" t="n">
        <v>0</v>
      </c>
      <c r="F905" s="9" t="n">
        <v>0</v>
      </c>
      <c r="G905" s="8" t="inlineStr">
        <is>
          <t>C874467439</t>
        </is>
      </c>
      <c r="H905" s="9" t="n">
        <v>2439571.76</v>
      </c>
      <c r="I905" s="9" t="n">
        <v>3313985.35</v>
      </c>
      <c r="J905" s="10" t="n">
        <v>0</v>
      </c>
      <c r="K905" s="8" t="n">
        <v>0</v>
      </c>
      <c r="L905" s="8" t="n">
        <v>1</v>
      </c>
      <c r="M905" s="9" t="n">
        <v>2439571.76</v>
      </c>
      <c r="N905" s="9" t="n">
        <v>874413.6</v>
      </c>
      <c r="O905" s="9" t="n">
        <v>0.01</v>
      </c>
      <c r="P905" s="8" t="n">
        <v>1</v>
      </c>
      <c r="Q905" s="8" t="n">
        <v>0</v>
      </c>
    </row>
    <row r="906">
      <c r="A906" s="8" t="n">
        <v>186</v>
      </c>
      <c r="B906" s="8" t="inlineStr">
        <is>
          <t>CASH_OUT</t>
        </is>
      </c>
      <c r="C906" s="9" t="n">
        <v>210905.15</v>
      </c>
      <c r="D906" s="8" t="inlineStr">
        <is>
          <t>C664355211</t>
        </is>
      </c>
      <c r="E906" s="9" t="n">
        <v>416</v>
      </c>
      <c r="F906" s="9" t="n">
        <v>0</v>
      </c>
      <c r="G906" s="8" t="inlineStr">
        <is>
          <t>C212456171</t>
        </is>
      </c>
      <c r="H906" s="9" t="n">
        <v>0</v>
      </c>
      <c r="I906" s="9" t="n">
        <v>210905.15</v>
      </c>
      <c r="J906" s="10" t="n">
        <v>0</v>
      </c>
      <c r="K906" s="8" t="n">
        <v>0</v>
      </c>
      <c r="L906" s="8" t="n">
        <v>1</v>
      </c>
      <c r="M906" s="9" t="n">
        <v>416</v>
      </c>
      <c r="N906" s="9" t="n">
        <v>210489.15</v>
      </c>
      <c r="O906" s="9" t="n">
        <v>0</v>
      </c>
      <c r="P906" s="8" t="n">
        <v>1</v>
      </c>
      <c r="Q906" s="8" t="n">
        <v>0</v>
      </c>
    </row>
    <row r="907">
      <c r="A907" s="8" t="n">
        <v>255</v>
      </c>
      <c r="B907" s="8" t="inlineStr">
        <is>
          <t>DEBIT</t>
        </is>
      </c>
      <c r="C907" s="9" t="n">
        <v>2911.39</v>
      </c>
      <c r="D907" s="8" t="inlineStr">
        <is>
          <t>C1670823889</t>
        </is>
      </c>
      <c r="E907" s="9" t="n">
        <v>33163</v>
      </c>
      <c r="F907" s="9" t="n">
        <v>30251.61</v>
      </c>
      <c r="G907" s="8" t="inlineStr">
        <is>
          <t>C1181134324</t>
        </is>
      </c>
      <c r="H907" s="9" t="n">
        <v>4688481.42</v>
      </c>
      <c r="I907" s="9" t="n">
        <v>4691392.81</v>
      </c>
      <c r="J907" s="10" t="n">
        <v>0</v>
      </c>
      <c r="K907" s="8" t="n">
        <v>1</v>
      </c>
      <c r="L907" s="8" t="n">
        <v>0</v>
      </c>
      <c r="M907" s="9" t="n">
        <v>4655318.42</v>
      </c>
      <c r="N907" s="9" t="n">
        <v>0</v>
      </c>
      <c r="O907" s="9" t="n">
        <v>0</v>
      </c>
      <c r="P907" s="8" t="n">
        <v>1</v>
      </c>
      <c r="Q907" s="8" t="n">
        <v>1</v>
      </c>
    </row>
    <row r="908">
      <c r="A908" s="8" t="n">
        <v>489</v>
      </c>
      <c r="B908" s="8" t="inlineStr">
        <is>
          <t>TRANSFER</t>
        </is>
      </c>
      <c r="C908" s="9" t="n">
        <v>7515624.63</v>
      </c>
      <c r="D908" s="8" t="inlineStr">
        <is>
          <t>C1144230283</t>
        </is>
      </c>
      <c r="E908" s="9" t="n">
        <v>7515624.63</v>
      </c>
      <c r="F908" s="9" t="n">
        <v>0</v>
      </c>
      <c r="G908" s="8" t="inlineStr">
        <is>
          <t>C1501063702</t>
        </is>
      </c>
      <c r="H908" s="9" t="n">
        <v>0</v>
      </c>
      <c r="I908" s="9" t="n">
        <v>0</v>
      </c>
      <c r="J908" s="11" t="n">
        <v>1</v>
      </c>
      <c r="K908" s="8" t="n">
        <v>0</v>
      </c>
      <c r="L908" s="8" t="n">
        <v>1</v>
      </c>
      <c r="M908" s="9" t="n">
        <v>7515624.63</v>
      </c>
      <c r="N908" s="9" t="n">
        <v>0</v>
      </c>
      <c r="O908" s="9" t="n">
        <v>7515624.63</v>
      </c>
      <c r="P908" s="8" t="n">
        <v>1</v>
      </c>
      <c r="Q908" s="8" t="n">
        <v>1</v>
      </c>
    </row>
    <row r="909">
      <c r="A909" s="8" t="n">
        <v>255</v>
      </c>
      <c r="B909" s="8" t="inlineStr">
        <is>
          <t>CASH_IN</t>
        </is>
      </c>
      <c r="C909" s="9" t="n">
        <v>124346.14</v>
      </c>
      <c r="D909" s="8" t="inlineStr">
        <is>
          <t>C638437630</t>
        </is>
      </c>
      <c r="E909" s="9" t="n">
        <v>1151513.35</v>
      </c>
      <c r="F909" s="9" t="n">
        <v>1275859.49</v>
      </c>
      <c r="G909" s="8" t="inlineStr">
        <is>
          <t>C553755287</t>
        </is>
      </c>
      <c r="H909" s="9" t="n">
        <v>358929.79</v>
      </c>
      <c r="I909" s="9" t="n">
        <v>234583.64</v>
      </c>
      <c r="J909" s="10" t="n">
        <v>0</v>
      </c>
      <c r="K909" s="8" t="n">
        <v>0</v>
      </c>
      <c r="L909" s="8" t="n">
        <v>0</v>
      </c>
      <c r="M909" s="9" t="n">
        <v>792583.5600000001</v>
      </c>
      <c r="N909" s="9" t="n">
        <v>248692.28</v>
      </c>
      <c r="O909" s="9" t="n">
        <v>248692.29</v>
      </c>
      <c r="P909" s="8" t="n">
        <v>1</v>
      </c>
      <c r="Q909" s="8" t="n">
        <v>0</v>
      </c>
    </row>
    <row r="910">
      <c r="A910" s="8" t="n">
        <v>157</v>
      </c>
      <c r="B910" s="8" t="inlineStr">
        <is>
          <t>CASH_OUT</t>
        </is>
      </c>
      <c r="C910" s="9" t="n">
        <v>119361.45</v>
      </c>
      <c r="D910" s="8" t="inlineStr">
        <is>
          <t>C1507978671</t>
        </is>
      </c>
      <c r="E910" s="9" t="n">
        <v>105628</v>
      </c>
      <c r="F910" s="9" t="n">
        <v>0</v>
      </c>
      <c r="G910" s="8" t="inlineStr">
        <is>
          <t>C2038281466</t>
        </is>
      </c>
      <c r="H910" s="9" t="n">
        <v>6792969.07</v>
      </c>
      <c r="I910" s="9" t="n">
        <v>6976711.87</v>
      </c>
      <c r="J910" s="10" t="n">
        <v>0</v>
      </c>
      <c r="K910" s="8" t="n">
        <v>0</v>
      </c>
      <c r="L910" s="8" t="n">
        <v>1</v>
      </c>
      <c r="M910" s="9" t="n">
        <v>6687341.07</v>
      </c>
      <c r="N910" s="9" t="n">
        <v>13733.45</v>
      </c>
      <c r="O910" s="9" t="n">
        <v>-64381.35</v>
      </c>
      <c r="P910" s="8" t="n">
        <v>1</v>
      </c>
      <c r="Q910" s="8" t="n">
        <v>0</v>
      </c>
    </row>
    <row r="911">
      <c r="A911" s="8" t="n">
        <v>275</v>
      </c>
      <c r="B911" s="8" t="inlineStr">
        <is>
          <t>CASH_OUT</t>
        </is>
      </c>
      <c r="C911" s="9" t="n">
        <v>298271.91</v>
      </c>
      <c r="D911" s="8" t="inlineStr">
        <is>
          <t>C1479712550</t>
        </is>
      </c>
      <c r="E911" s="9" t="n">
        <v>0</v>
      </c>
      <c r="F911" s="9" t="n">
        <v>0</v>
      </c>
      <c r="G911" s="8" t="inlineStr">
        <is>
          <t>C1119658042</t>
        </is>
      </c>
      <c r="H911" s="9" t="n">
        <v>888449.2</v>
      </c>
      <c r="I911" s="9" t="n">
        <v>1186721.11</v>
      </c>
      <c r="J911" s="10" t="n">
        <v>0</v>
      </c>
      <c r="K911" s="8" t="n">
        <v>0</v>
      </c>
      <c r="L911" s="8" t="n">
        <v>1</v>
      </c>
      <c r="M911" s="9" t="n">
        <v>888449.2</v>
      </c>
      <c r="N911" s="9" t="n">
        <v>298271.91</v>
      </c>
      <c r="O911" s="9" t="n">
        <v>-0</v>
      </c>
      <c r="P911" s="8" t="n">
        <v>1</v>
      </c>
      <c r="Q911" s="8" t="n">
        <v>0</v>
      </c>
    </row>
    <row r="912">
      <c r="A912" s="8" t="n">
        <v>715</v>
      </c>
      <c r="B912" s="8" t="inlineStr">
        <is>
          <t>CASH_OUT</t>
        </is>
      </c>
      <c r="C912" s="9" t="n">
        <v>167204.18</v>
      </c>
      <c r="D912" s="8" t="inlineStr">
        <is>
          <t>C1698424751</t>
        </is>
      </c>
      <c r="E912" s="9" t="n">
        <v>8754</v>
      </c>
      <c r="F912" s="9" t="n">
        <v>0</v>
      </c>
      <c r="G912" s="8" t="inlineStr">
        <is>
          <t>C1532269184</t>
        </is>
      </c>
      <c r="H912" s="9" t="n">
        <v>0</v>
      </c>
      <c r="I912" s="9" t="n">
        <v>167204.18</v>
      </c>
      <c r="J912" s="10" t="n">
        <v>0</v>
      </c>
      <c r="K912" s="8" t="n">
        <v>0</v>
      </c>
      <c r="L912" s="8" t="n">
        <v>1</v>
      </c>
      <c r="M912" s="9" t="n">
        <v>8754</v>
      </c>
      <c r="N912" s="9" t="n">
        <v>158450.18</v>
      </c>
      <c r="O912" s="9" t="n">
        <v>0</v>
      </c>
      <c r="P912" s="8" t="n">
        <v>1</v>
      </c>
      <c r="Q912" s="8" t="n">
        <v>0</v>
      </c>
    </row>
    <row r="913">
      <c r="A913" s="8" t="n">
        <v>204</v>
      </c>
      <c r="B913" s="8" t="inlineStr">
        <is>
          <t>CASH_IN</t>
        </is>
      </c>
      <c r="C913" s="9" t="n">
        <v>231835.12</v>
      </c>
      <c r="D913" s="8" t="inlineStr">
        <is>
          <t>C1005344036</t>
        </is>
      </c>
      <c r="E913" s="9" t="n">
        <v>40855</v>
      </c>
      <c r="F913" s="9" t="n">
        <v>272690.12</v>
      </c>
      <c r="G913" s="8" t="inlineStr">
        <is>
          <t>C1515023483</t>
        </is>
      </c>
      <c r="H913" s="9" t="n">
        <v>0</v>
      </c>
      <c r="I913" s="9" t="n">
        <v>0</v>
      </c>
      <c r="J913" s="10" t="n">
        <v>0</v>
      </c>
      <c r="K913" s="8" t="n">
        <v>0</v>
      </c>
      <c r="L913" s="8" t="n">
        <v>0</v>
      </c>
      <c r="M913" s="9" t="n">
        <v>40855</v>
      </c>
      <c r="N913" s="9" t="n">
        <v>463670.24</v>
      </c>
      <c r="O913" s="9" t="n">
        <v>231835.12</v>
      </c>
      <c r="P913" s="8" t="n">
        <v>1</v>
      </c>
      <c r="Q913" s="8" t="n">
        <v>0</v>
      </c>
    </row>
    <row r="914">
      <c r="A914" s="8" t="n">
        <v>371</v>
      </c>
      <c r="B914" s="8" t="inlineStr">
        <is>
          <t>PAYMENT</t>
        </is>
      </c>
      <c r="C914" s="9" t="n">
        <v>4119.64</v>
      </c>
      <c r="D914" s="8" t="inlineStr">
        <is>
          <t>C718104694</t>
        </is>
      </c>
      <c r="E914" s="9" t="n">
        <v>0</v>
      </c>
      <c r="F914" s="9" t="n">
        <v>0</v>
      </c>
      <c r="G914" s="8" t="inlineStr">
        <is>
          <t>M222513061</t>
        </is>
      </c>
      <c r="H914" s="9" t="n">
        <v>0</v>
      </c>
      <c r="I914" s="9" t="n">
        <v>0</v>
      </c>
      <c r="J914" s="10" t="n">
        <v>0</v>
      </c>
      <c r="K914" s="8" t="n">
        <v>1</v>
      </c>
      <c r="L914" s="8" t="n">
        <v>0</v>
      </c>
      <c r="M914" s="9" t="n">
        <v>0</v>
      </c>
      <c r="N914" s="9" t="n">
        <v>4119.64</v>
      </c>
      <c r="O914" s="9" t="n">
        <v>4119.64</v>
      </c>
      <c r="P914" s="8" t="n">
        <v>0</v>
      </c>
      <c r="Q914" s="8" t="n">
        <v>0</v>
      </c>
    </row>
    <row r="915">
      <c r="A915" s="8" t="n">
        <v>166</v>
      </c>
      <c r="B915" s="8" t="inlineStr">
        <is>
          <t>CASH_OUT</t>
        </is>
      </c>
      <c r="C915" s="9" t="n">
        <v>113261.69</v>
      </c>
      <c r="D915" s="8" t="inlineStr">
        <is>
          <t>C959416786</t>
        </is>
      </c>
      <c r="E915" s="9" t="n">
        <v>136183.39</v>
      </c>
      <c r="F915" s="9" t="n">
        <v>22921.7</v>
      </c>
      <c r="G915" s="8" t="inlineStr">
        <is>
          <t>C986752946</t>
        </is>
      </c>
      <c r="H915" s="9" t="n">
        <v>161176.29</v>
      </c>
      <c r="I915" s="9" t="n">
        <v>274437.98</v>
      </c>
      <c r="J915" s="10" t="n">
        <v>0</v>
      </c>
      <c r="K915" s="8" t="n">
        <v>0</v>
      </c>
      <c r="L915" s="8" t="n">
        <v>1</v>
      </c>
      <c r="M915" s="9" t="n">
        <v>24992.9</v>
      </c>
      <c r="N915" s="9" t="n">
        <v>0</v>
      </c>
      <c r="O915" s="9" t="n">
        <v>0</v>
      </c>
      <c r="P915" s="8" t="n">
        <v>1</v>
      </c>
      <c r="Q915" s="8" t="n">
        <v>1</v>
      </c>
    </row>
    <row r="916">
      <c r="A916" s="8" t="n">
        <v>379</v>
      </c>
      <c r="B916" s="8" t="inlineStr">
        <is>
          <t>TRANSFER</t>
        </is>
      </c>
      <c r="C916" s="9" t="n">
        <v>29711.27</v>
      </c>
      <c r="D916" s="8" t="inlineStr">
        <is>
          <t>C1848102719</t>
        </is>
      </c>
      <c r="E916" s="9" t="n">
        <v>57464</v>
      </c>
      <c r="F916" s="9" t="n">
        <v>27752.73</v>
      </c>
      <c r="G916" s="8" t="inlineStr">
        <is>
          <t>C321280509</t>
        </is>
      </c>
      <c r="H916" s="9" t="n">
        <v>0</v>
      </c>
      <c r="I916" s="9" t="n">
        <v>29711.27</v>
      </c>
      <c r="J916" s="10" t="n">
        <v>0</v>
      </c>
      <c r="K916" s="8" t="n">
        <v>0</v>
      </c>
      <c r="L916" s="8" t="n">
        <v>1</v>
      </c>
      <c r="M916" s="9" t="n">
        <v>57464</v>
      </c>
      <c r="N916" s="9" t="n">
        <v>0</v>
      </c>
      <c r="O916" s="9" t="n">
        <v>0</v>
      </c>
      <c r="P916" s="8" t="n">
        <v>1</v>
      </c>
      <c r="Q916" s="8" t="n">
        <v>1</v>
      </c>
    </row>
    <row r="917">
      <c r="A917" s="8" t="n">
        <v>378</v>
      </c>
      <c r="B917" s="8" t="inlineStr">
        <is>
          <t>CASH_IN</t>
        </is>
      </c>
      <c r="C917" s="9" t="n">
        <v>161523.7</v>
      </c>
      <c r="D917" s="8" t="inlineStr">
        <is>
          <t>C318478506</t>
        </is>
      </c>
      <c r="E917" s="9" t="n">
        <v>1310083.31</v>
      </c>
      <c r="F917" s="9" t="n">
        <v>1471607.01</v>
      </c>
      <c r="G917" s="8" t="inlineStr">
        <is>
          <t>C14979056</t>
        </is>
      </c>
      <c r="H917" s="9" t="n">
        <v>5036924.77</v>
      </c>
      <c r="I917" s="9" t="n">
        <v>4875401.07</v>
      </c>
      <c r="J917" s="10" t="n">
        <v>0</v>
      </c>
      <c r="K917" s="8" t="n">
        <v>0</v>
      </c>
      <c r="L917" s="8" t="n">
        <v>0</v>
      </c>
      <c r="M917" s="9" t="n">
        <v>3726841.46</v>
      </c>
      <c r="N917" s="9" t="n">
        <v>323047.4</v>
      </c>
      <c r="O917" s="9" t="n">
        <v>323047.4</v>
      </c>
      <c r="P917" s="8" t="n">
        <v>1</v>
      </c>
      <c r="Q917" s="8" t="n">
        <v>0</v>
      </c>
    </row>
    <row r="918">
      <c r="A918" s="8" t="n">
        <v>179</v>
      </c>
      <c r="B918" s="8" t="inlineStr">
        <is>
          <t>CASH_OUT</t>
        </is>
      </c>
      <c r="C918" s="9" t="n">
        <v>71321.69</v>
      </c>
      <c r="D918" s="8" t="inlineStr">
        <is>
          <t>C2126962422</t>
        </is>
      </c>
      <c r="E918" s="9" t="n">
        <v>0</v>
      </c>
      <c r="F918" s="9" t="n">
        <v>0</v>
      </c>
      <c r="G918" s="8" t="inlineStr">
        <is>
          <t>C1502877609</t>
        </is>
      </c>
      <c r="H918" s="9" t="n">
        <v>4302301.04</v>
      </c>
      <c r="I918" s="9" t="n">
        <v>4373622.73</v>
      </c>
      <c r="J918" s="10" t="n">
        <v>0</v>
      </c>
      <c r="K918" s="8" t="n">
        <v>0</v>
      </c>
      <c r="L918" s="8" t="n">
        <v>1</v>
      </c>
      <c r="M918" s="9" t="n">
        <v>4302301.04</v>
      </c>
      <c r="N918" s="9" t="n">
        <v>71321.69</v>
      </c>
      <c r="O918" s="9" t="n">
        <v>0</v>
      </c>
      <c r="P918" s="8" t="n">
        <v>1</v>
      </c>
      <c r="Q918" s="8" t="n">
        <v>0</v>
      </c>
    </row>
    <row r="919">
      <c r="A919" s="8" t="n">
        <v>102</v>
      </c>
      <c r="B919" s="8" t="inlineStr">
        <is>
          <t>TRANSFER</t>
        </is>
      </c>
      <c r="C919" s="9" t="n">
        <v>548335.12</v>
      </c>
      <c r="D919" s="8" t="inlineStr">
        <is>
          <t>C1838392320</t>
        </is>
      </c>
      <c r="E919" s="9" t="n">
        <v>548335.12</v>
      </c>
      <c r="F919" s="9" t="n">
        <v>0</v>
      </c>
      <c r="G919" s="8" t="inlineStr">
        <is>
          <t>C1134214570</t>
        </is>
      </c>
      <c r="H919" s="9" t="n">
        <v>0</v>
      </c>
      <c r="I919" s="9" t="n">
        <v>0</v>
      </c>
      <c r="J919" s="11" t="n">
        <v>1</v>
      </c>
      <c r="K919" s="8" t="n">
        <v>0</v>
      </c>
      <c r="L919" s="8" t="n">
        <v>1</v>
      </c>
      <c r="M919" s="9" t="n">
        <v>548335.12</v>
      </c>
      <c r="N919" s="9" t="n">
        <v>0</v>
      </c>
      <c r="O919" s="9" t="n">
        <v>548335.12</v>
      </c>
      <c r="P919" s="8" t="n">
        <v>1</v>
      </c>
      <c r="Q919" s="8" t="n">
        <v>1</v>
      </c>
    </row>
    <row r="920">
      <c r="A920" s="8" t="n">
        <v>179</v>
      </c>
      <c r="B920" s="8" t="inlineStr">
        <is>
          <t>CASH_OUT</t>
        </is>
      </c>
      <c r="C920" s="9" t="n">
        <v>9051.299999999999</v>
      </c>
      <c r="D920" s="8" t="inlineStr">
        <is>
          <t>C880963557</t>
        </is>
      </c>
      <c r="E920" s="9" t="n">
        <v>0</v>
      </c>
      <c r="F920" s="9" t="n">
        <v>0</v>
      </c>
      <c r="G920" s="8" t="inlineStr">
        <is>
          <t>C1043416880</t>
        </is>
      </c>
      <c r="H920" s="9" t="n">
        <v>143537.21</v>
      </c>
      <c r="I920" s="9" t="n">
        <v>152588.51</v>
      </c>
      <c r="J920" s="10" t="n">
        <v>0</v>
      </c>
      <c r="K920" s="8" t="n">
        <v>0</v>
      </c>
      <c r="L920" s="8" t="n">
        <v>1</v>
      </c>
      <c r="M920" s="9" t="n">
        <v>143537.21</v>
      </c>
      <c r="N920" s="9" t="n">
        <v>9051.299999999999</v>
      </c>
      <c r="O920" s="9" t="n">
        <v>-0</v>
      </c>
      <c r="P920" s="8" t="n">
        <v>1</v>
      </c>
      <c r="Q920" s="8" t="n">
        <v>0</v>
      </c>
    </row>
    <row r="921">
      <c r="A921" s="8" t="n">
        <v>229</v>
      </c>
      <c r="B921" s="8" t="inlineStr">
        <is>
          <t>CASH_OUT</t>
        </is>
      </c>
      <c r="C921" s="9" t="n">
        <v>172820.16</v>
      </c>
      <c r="D921" s="8" t="inlineStr">
        <is>
          <t>C171843053</t>
        </is>
      </c>
      <c r="E921" s="9" t="n">
        <v>0</v>
      </c>
      <c r="F921" s="9" t="n">
        <v>0</v>
      </c>
      <c r="G921" s="8" t="inlineStr">
        <is>
          <t>C2030290280</t>
        </is>
      </c>
      <c r="H921" s="9" t="n">
        <v>1126215.16</v>
      </c>
      <c r="I921" s="9" t="n">
        <v>1299035.32</v>
      </c>
      <c r="J921" s="10" t="n">
        <v>0</v>
      </c>
      <c r="K921" s="8" t="n">
        <v>0</v>
      </c>
      <c r="L921" s="8" t="n">
        <v>1</v>
      </c>
      <c r="M921" s="9" t="n">
        <v>1126215.16</v>
      </c>
      <c r="N921" s="9" t="n">
        <v>172820.16</v>
      </c>
      <c r="O921" s="9" t="n">
        <v>-0</v>
      </c>
      <c r="P921" s="8" t="n">
        <v>1</v>
      </c>
      <c r="Q921" s="8" t="n">
        <v>0</v>
      </c>
    </row>
    <row r="922">
      <c r="A922" s="8" t="n">
        <v>134</v>
      </c>
      <c r="B922" s="8" t="inlineStr">
        <is>
          <t>CASH_OUT</t>
        </is>
      </c>
      <c r="C922" s="9" t="n">
        <v>283568.41</v>
      </c>
      <c r="D922" s="8" t="inlineStr">
        <is>
          <t>C1838285924</t>
        </is>
      </c>
      <c r="E922" s="9" t="n">
        <v>75148</v>
      </c>
      <c r="F922" s="9" t="n">
        <v>0</v>
      </c>
      <c r="G922" s="8" t="inlineStr">
        <is>
          <t>C1763305509</t>
        </is>
      </c>
      <c r="H922" s="9" t="n">
        <v>2350814.43</v>
      </c>
      <c r="I922" s="9" t="n">
        <v>2634382.84</v>
      </c>
      <c r="J922" s="10" t="n">
        <v>0</v>
      </c>
      <c r="K922" s="8" t="n">
        <v>0</v>
      </c>
      <c r="L922" s="8" t="n">
        <v>1</v>
      </c>
      <c r="M922" s="9" t="n">
        <v>2275666.43</v>
      </c>
      <c r="N922" s="9" t="n">
        <v>208420.41</v>
      </c>
      <c r="O922" s="9" t="n">
        <v>0</v>
      </c>
      <c r="P922" s="8" t="n">
        <v>1</v>
      </c>
      <c r="Q922" s="8" t="n">
        <v>0</v>
      </c>
    </row>
    <row r="923">
      <c r="A923" s="8" t="n">
        <v>592</v>
      </c>
      <c r="B923" s="8" t="inlineStr">
        <is>
          <t>CASH_OUT</t>
        </is>
      </c>
      <c r="C923" s="9" t="n">
        <v>275049.26</v>
      </c>
      <c r="D923" s="8" t="inlineStr">
        <is>
          <t>C530456175</t>
        </is>
      </c>
      <c r="E923" s="9" t="n">
        <v>0</v>
      </c>
      <c r="F923" s="9" t="n">
        <v>0</v>
      </c>
      <c r="G923" s="8" t="inlineStr">
        <is>
          <t>C2083343419</t>
        </is>
      </c>
      <c r="H923" s="9" t="n">
        <v>2139364.73</v>
      </c>
      <c r="I923" s="9" t="n">
        <v>2414413.99</v>
      </c>
      <c r="J923" s="10" t="n">
        <v>0</v>
      </c>
      <c r="K923" s="8" t="n">
        <v>0</v>
      </c>
      <c r="L923" s="8" t="n">
        <v>1</v>
      </c>
      <c r="M923" s="9" t="n">
        <v>2139364.73</v>
      </c>
      <c r="N923" s="9" t="n">
        <v>275049.26</v>
      </c>
      <c r="O923" s="9" t="n">
        <v>0</v>
      </c>
      <c r="P923" s="8" t="n">
        <v>1</v>
      </c>
      <c r="Q923" s="8" t="n">
        <v>0</v>
      </c>
    </row>
    <row r="924">
      <c r="A924" s="8" t="n">
        <v>647</v>
      </c>
      <c r="B924" s="8" t="inlineStr">
        <is>
          <t>CASH_OUT</t>
        </is>
      </c>
      <c r="C924" s="9" t="n">
        <v>2253811.33</v>
      </c>
      <c r="D924" s="8" t="inlineStr">
        <is>
          <t>C1631859649</t>
        </is>
      </c>
      <c r="E924" s="9" t="n">
        <v>2253811.33</v>
      </c>
      <c r="F924" s="9" t="n">
        <v>0</v>
      </c>
      <c r="G924" s="8" t="inlineStr">
        <is>
          <t>C526945673</t>
        </is>
      </c>
      <c r="H924" s="9" t="n">
        <v>0</v>
      </c>
      <c r="I924" s="9" t="n">
        <v>2253811.33</v>
      </c>
      <c r="J924" s="11" t="n">
        <v>1</v>
      </c>
      <c r="K924" s="8" t="n">
        <v>0</v>
      </c>
      <c r="L924" s="8" t="n">
        <v>1</v>
      </c>
      <c r="M924" s="9" t="n">
        <v>2253811.33</v>
      </c>
      <c r="N924" s="9" t="n">
        <v>0</v>
      </c>
      <c r="O924" s="9" t="n">
        <v>0</v>
      </c>
      <c r="P924" s="8" t="n">
        <v>1</v>
      </c>
      <c r="Q924" s="8" t="n">
        <v>1</v>
      </c>
    </row>
    <row r="925">
      <c r="A925" s="8" t="n">
        <v>397</v>
      </c>
      <c r="B925" s="8" t="inlineStr">
        <is>
          <t>TRANSFER</t>
        </is>
      </c>
      <c r="C925" s="9" t="n">
        <v>387408.11</v>
      </c>
      <c r="D925" s="8" t="inlineStr">
        <is>
          <t>C2000198791</t>
        </is>
      </c>
      <c r="E925" s="9" t="n">
        <v>387408.11</v>
      </c>
      <c r="F925" s="9" t="n">
        <v>0</v>
      </c>
      <c r="G925" s="8" t="inlineStr">
        <is>
          <t>C785994676</t>
        </is>
      </c>
      <c r="H925" s="9" t="n">
        <v>0</v>
      </c>
      <c r="I925" s="9" t="n">
        <v>0</v>
      </c>
      <c r="J925" s="11" t="n">
        <v>1</v>
      </c>
      <c r="K925" s="8" t="n">
        <v>0</v>
      </c>
      <c r="L925" s="8" t="n">
        <v>1</v>
      </c>
      <c r="M925" s="9" t="n">
        <v>387408.11</v>
      </c>
      <c r="N925" s="9" t="n">
        <v>0</v>
      </c>
      <c r="O925" s="9" t="n">
        <v>387408.11</v>
      </c>
      <c r="P925" s="8" t="n">
        <v>1</v>
      </c>
      <c r="Q925" s="8" t="n">
        <v>1</v>
      </c>
    </row>
    <row r="926">
      <c r="A926" s="8" t="n">
        <v>467</v>
      </c>
      <c r="B926" s="8" t="inlineStr">
        <is>
          <t>TRANSFER</t>
        </is>
      </c>
      <c r="C926" s="9" t="n">
        <v>2108440.98</v>
      </c>
      <c r="D926" s="8" t="inlineStr">
        <is>
          <t>C581609779</t>
        </is>
      </c>
      <c r="E926" s="9" t="n">
        <v>2108440.98</v>
      </c>
      <c r="F926" s="9" t="n">
        <v>0</v>
      </c>
      <c r="G926" s="8" t="inlineStr">
        <is>
          <t>C224105862</t>
        </is>
      </c>
      <c r="H926" s="9" t="n">
        <v>0</v>
      </c>
      <c r="I926" s="9" t="n">
        <v>0</v>
      </c>
      <c r="J926" s="11" t="n">
        <v>1</v>
      </c>
      <c r="K926" s="8" t="n">
        <v>0</v>
      </c>
      <c r="L926" s="8" t="n">
        <v>1</v>
      </c>
      <c r="M926" s="9" t="n">
        <v>2108440.98</v>
      </c>
      <c r="N926" s="9" t="n">
        <v>0</v>
      </c>
      <c r="O926" s="9" t="n">
        <v>2108440.98</v>
      </c>
      <c r="P926" s="8" t="n">
        <v>1</v>
      </c>
      <c r="Q926" s="8" t="n">
        <v>1</v>
      </c>
    </row>
    <row r="927">
      <c r="A927" s="8" t="n">
        <v>349</v>
      </c>
      <c r="B927" s="8" t="inlineStr">
        <is>
          <t>CASH_IN</t>
        </is>
      </c>
      <c r="C927" s="9" t="n">
        <v>86921.35000000001</v>
      </c>
      <c r="D927" s="8" t="inlineStr">
        <is>
          <t>C601356089</t>
        </is>
      </c>
      <c r="E927" s="9" t="n">
        <v>5070</v>
      </c>
      <c r="F927" s="9" t="n">
        <v>91991.35000000001</v>
      </c>
      <c r="G927" s="8" t="inlineStr">
        <is>
          <t>C2016379838</t>
        </is>
      </c>
      <c r="H927" s="9" t="n">
        <v>0</v>
      </c>
      <c r="I927" s="9" t="n">
        <v>0</v>
      </c>
      <c r="J927" s="10" t="n">
        <v>0</v>
      </c>
      <c r="K927" s="8" t="n">
        <v>0</v>
      </c>
      <c r="L927" s="8" t="n">
        <v>0</v>
      </c>
      <c r="M927" s="9" t="n">
        <v>5070</v>
      </c>
      <c r="N927" s="9" t="n">
        <v>173842.7</v>
      </c>
      <c r="O927" s="9" t="n">
        <v>86921.35000000001</v>
      </c>
      <c r="P927" s="8" t="n">
        <v>1</v>
      </c>
      <c r="Q927" s="8" t="n">
        <v>0</v>
      </c>
    </row>
    <row r="928">
      <c r="A928" s="8" t="n">
        <v>271</v>
      </c>
      <c r="B928" s="8" t="inlineStr">
        <is>
          <t>TRANSFER</t>
        </is>
      </c>
      <c r="C928" s="9" t="n">
        <v>5926745.36</v>
      </c>
      <c r="D928" s="8" t="inlineStr">
        <is>
          <t>C393546828</t>
        </is>
      </c>
      <c r="E928" s="9" t="n">
        <v>5926745.36</v>
      </c>
      <c r="F928" s="9" t="n">
        <v>0</v>
      </c>
      <c r="G928" s="8" t="inlineStr">
        <is>
          <t>C516790131</t>
        </is>
      </c>
      <c r="H928" s="9" t="n">
        <v>0</v>
      </c>
      <c r="I928" s="9" t="n">
        <v>0</v>
      </c>
      <c r="J928" s="11" t="n">
        <v>1</v>
      </c>
      <c r="K928" s="8" t="n">
        <v>0</v>
      </c>
      <c r="L928" s="8" t="n">
        <v>1</v>
      </c>
      <c r="M928" s="9" t="n">
        <v>5926745.36</v>
      </c>
      <c r="N928" s="9" t="n">
        <v>0</v>
      </c>
      <c r="O928" s="9" t="n">
        <v>5926745.36</v>
      </c>
      <c r="P928" s="8" t="n">
        <v>1</v>
      </c>
      <c r="Q928" s="8" t="n">
        <v>1</v>
      </c>
    </row>
    <row r="929">
      <c r="A929" s="8" t="n">
        <v>75</v>
      </c>
      <c r="B929" s="8" t="inlineStr">
        <is>
          <t>CASH_OUT</t>
        </is>
      </c>
      <c r="C929" s="9" t="n">
        <v>810039.1899999999</v>
      </c>
      <c r="D929" s="8" t="inlineStr">
        <is>
          <t>C1922445613</t>
        </is>
      </c>
      <c r="E929" s="9" t="n">
        <v>810039.1899999999</v>
      </c>
      <c r="F929" s="9" t="n">
        <v>0</v>
      </c>
      <c r="G929" s="8" t="inlineStr">
        <is>
          <t>C461145537</t>
        </is>
      </c>
      <c r="H929" s="9" t="n">
        <v>409035.12</v>
      </c>
      <c r="I929" s="9" t="n">
        <v>1219074.31</v>
      </c>
      <c r="J929" s="11" t="n">
        <v>1</v>
      </c>
      <c r="K929" s="8" t="n">
        <v>0</v>
      </c>
      <c r="L929" s="8" t="n">
        <v>1</v>
      </c>
      <c r="M929" s="9" t="n">
        <v>401004.07</v>
      </c>
      <c r="N929" s="9" t="n">
        <v>0</v>
      </c>
      <c r="O929" s="9" t="n">
        <v>0</v>
      </c>
      <c r="P929" s="8" t="n">
        <v>1</v>
      </c>
      <c r="Q929" s="8" t="n">
        <v>1</v>
      </c>
    </row>
    <row r="930">
      <c r="A930" s="8" t="n">
        <v>362</v>
      </c>
      <c r="B930" s="8" t="inlineStr">
        <is>
          <t>TRANSFER</t>
        </is>
      </c>
      <c r="C930" s="9" t="n">
        <v>1139165.57</v>
      </c>
      <c r="D930" s="8" t="inlineStr">
        <is>
          <t>C828020985</t>
        </is>
      </c>
      <c r="E930" s="9" t="n">
        <v>1139165.57</v>
      </c>
      <c r="F930" s="9" t="n">
        <v>0</v>
      </c>
      <c r="G930" s="8" t="inlineStr">
        <is>
          <t>C2065608692</t>
        </is>
      </c>
      <c r="H930" s="9" t="n">
        <v>0</v>
      </c>
      <c r="I930" s="9" t="n">
        <v>0</v>
      </c>
      <c r="J930" s="11" t="n">
        <v>1</v>
      </c>
      <c r="K930" s="8" t="n">
        <v>0</v>
      </c>
      <c r="L930" s="8" t="n">
        <v>1</v>
      </c>
      <c r="M930" s="9" t="n">
        <v>1139165.57</v>
      </c>
      <c r="N930" s="9" t="n">
        <v>0</v>
      </c>
      <c r="O930" s="9" t="n">
        <v>1139165.57</v>
      </c>
      <c r="P930" s="8" t="n">
        <v>1</v>
      </c>
      <c r="Q930" s="8" t="n">
        <v>1</v>
      </c>
    </row>
    <row r="931">
      <c r="A931" s="8" t="n">
        <v>227</v>
      </c>
      <c r="B931" s="8" t="inlineStr">
        <is>
          <t>CASH_OUT</t>
        </is>
      </c>
      <c r="C931" s="9" t="n">
        <v>123754.72</v>
      </c>
      <c r="D931" s="8" t="inlineStr">
        <is>
          <t>C619568108</t>
        </is>
      </c>
      <c r="E931" s="9" t="n">
        <v>0</v>
      </c>
      <c r="F931" s="9" t="n">
        <v>0</v>
      </c>
      <c r="G931" s="8" t="inlineStr">
        <is>
          <t>C2056103121</t>
        </is>
      </c>
      <c r="H931" s="9" t="n">
        <v>5116546.35</v>
      </c>
      <c r="I931" s="9" t="n">
        <v>5240301.07</v>
      </c>
      <c r="J931" s="10" t="n">
        <v>0</v>
      </c>
      <c r="K931" s="8" t="n">
        <v>0</v>
      </c>
      <c r="L931" s="8" t="n">
        <v>1</v>
      </c>
      <c r="M931" s="9" t="n">
        <v>5116546.35</v>
      </c>
      <c r="N931" s="9" t="n">
        <v>123754.72</v>
      </c>
      <c r="O931" s="9" t="n">
        <v>-0</v>
      </c>
      <c r="P931" s="8" t="n">
        <v>1</v>
      </c>
      <c r="Q931" s="8" t="n">
        <v>0</v>
      </c>
    </row>
    <row r="932">
      <c r="A932" s="8" t="n">
        <v>191</v>
      </c>
      <c r="B932" s="8" t="inlineStr">
        <is>
          <t>TRANSFER</t>
        </is>
      </c>
      <c r="C932" s="9" t="n">
        <v>114743.39</v>
      </c>
      <c r="D932" s="8" t="inlineStr">
        <is>
          <t>C1822241630</t>
        </is>
      </c>
      <c r="E932" s="9" t="n">
        <v>114743.39</v>
      </c>
      <c r="F932" s="9" t="n">
        <v>0</v>
      </c>
      <c r="G932" s="8" t="inlineStr">
        <is>
          <t>C1691662362</t>
        </is>
      </c>
      <c r="H932" s="9" t="n">
        <v>0</v>
      </c>
      <c r="I932" s="9" t="n">
        <v>0</v>
      </c>
      <c r="J932" s="11" t="n">
        <v>1</v>
      </c>
      <c r="K932" s="8" t="n">
        <v>0</v>
      </c>
      <c r="L932" s="8" t="n">
        <v>1</v>
      </c>
      <c r="M932" s="9" t="n">
        <v>114743.39</v>
      </c>
      <c r="N932" s="9" t="n">
        <v>0</v>
      </c>
      <c r="O932" s="9" t="n">
        <v>114743.39</v>
      </c>
      <c r="P932" s="8" t="n">
        <v>1</v>
      </c>
      <c r="Q932" s="8" t="n">
        <v>1</v>
      </c>
    </row>
    <row r="933">
      <c r="A933" s="8" t="n">
        <v>133</v>
      </c>
      <c r="B933" s="8" t="inlineStr">
        <is>
          <t>DEBIT</t>
        </is>
      </c>
      <c r="C933" s="9" t="n">
        <v>449.19</v>
      </c>
      <c r="D933" s="8" t="inlineStr">
        <is>
          <t>C1099200798</t>
        </is>
      </c>
      <c r="E933" s="9" t="n">
        <v>105137</v>
      </c>
      <c r="F933" s="9" t="n">
        <v>104687.81</v>
      </c>
      <c r="G933" s="8" t="inlineStr">
        <is>
          <t>C994660647</t>
        </is>
      </c>
      <c r="H933" s="9" t="n">
        <v>722522.04</v>
      </c>
      <c r="I933" s="9" t="n">
        <v>722971.22</v>
      </c>
      <c r="J933" s="10" t="n">
        <v>0</v>
      </c>
      <c r="K933" s="8" t="n">
        <v>1</v>
      </c>
      <c r="L933" s="8" t="n">
        <v>0</v>
      </c>
      <c r="M933" s="9" t="n">
        <v>617385.04</v>
      </c>
      <c r="N933" s="9" t="n">
        <v>0</v>
      </c>
      <c r="O933" s="9" t="n">
        <v>0.01</v>
      </c>
      <c r="P933" s="8" t="n">
        <v>1</v>
      </c>
      <c r="Q933" s="8" t="n">
        <v>1</v>
      </c>
    </row>
    <row r="934">
      <c r="A934" s="8" t="n">
        <v>158</v>
      </c>
      <c r="B934" s="8" t="inlineStr">
        <is>
          <t>PAYMENT</t>
        </is>
      </c>
      <c r="C934" s="9" t="n">
        <v>18447.76</v>
      </c>
      <c r="D934" s="8" t="inlineStr">
        <is>
          <t>C532544974</t>
        </is>
      </c>
      <c r="E934" s="9" t="n">
        <v>0</v>
      </c>
      <c r="F934" s="9" t="n">
        <v>0</v>
      </c>
      <c r="G934" s="8" t="inlineStr">
        <is>
          <t>M1868695576</t>
        </is>
      </c>
      <c r="H934" s="9" t="n">
        <v>0</v>
      </c>
      <c r="I934" s="9" t="n">
        <v>0</v>
      </c>
      <c r="J934" s="10" t="n">
        <v>0</v>
      </c>
      <c r="K934" s="8" t="n">
        <v>1</v>
      </c>
      <c r="L934" s="8" t="n">
        <v>0</v>
      </c>
      <c r="M934" s="9" t="n">
        <v>0</v>
      </c>
      <c r="N934" s="9" t="n">
        <v>18447.76</v>
      </c>
      <c r="O934" s="9" t="n">
        <v>18447.76</v>
      </c>
      <c r="P934" s="8" t="n">
        <v>0</v>
      </c>
      <c r="Q934" s="8" t="n">
        <v>0</v>
      </c>
    </row>
    <row r="935">
      <c r="A935" s="8" t="n">
        <v>326</v>
      </c>
      <c r="B935" s="8" t="inlineStr">
        <is>
          <t>CASH_IN</t>
        </is>
      </c>
      <c r="C935" s="9" t="n">
        <v>28756.37</v>
      </c>
      <c r="D935" s="8" t="inlineStr">
        <is>
          <t>C980177309</t>
        </is>
      </c>
      <c r="E935" s="9" t="n">
        <v>1448</v>
      </c>
      <c r="F935" s="9" t="n">
        <v>30204.37</v>
      </c>
      <c r="G935" s="8" t="inlineStr">
        <is>
          <t>C997756649</t>
        </is>
      </c>
      <c r="H935" s="9" t="n">
        <v>0</v>
      </c>
      <c r="I935" s="9" t="n">
        <v>0</v>
      </c>
      <c r="J935" s="10" t="n">
        <v>0</v>
      </c>
      <c r="K935" s="8" t="n">
        <v>0</v>
      </c>
      <c r="L935" s="8" t="n">
        <v>0</v>
      </c>
      <c r="M935" s="9" t="n">
        <v>1448</v>
      </c>
      <c r="N935" s="9" t="n">
        <v>57512.74</v>
      </c>
      <c r="O935" s="9" t="n">
        <v>28756.37</v>
      </c>
      <c r="P935" s="8" t="n">
        <v>1</v>
      </c>
      <c r="Q935" s="8" t="n">
        <v>0</v>
      </c>
    </row>
    <row r="936">
      <c r="A936" s="8" t="n">
        <v>348</v>
      </c>
      <c r="B936" s="8" t="inlineStr">
        <is>
          <t>CASH_OUT</t>
        </is>
      </c>
      <c r="C936" s="9" t="n">
        <v>41223.83</v>
      </c>
      <c r="D936" s="8" t="inlineStr">
        <is>
          <t>C2084670154</t>
        </is>
      </c>
      <c r="E936" s="9" t="n">
        <v>0</v>
      </c>
      <c r="F936" s="9" t="n">
        <v>0</v>
      </c>
      <c r="G936" s="8" t="inlineStr">
        <is>
          <t>C1360259649</t>
        </is>
      </c>
      <c r="H936" s="9" t="n">
        <v>3169540.74</v>
      </c>
      <c r="I936" s="9" t="n">
        <v>3210764.57</v>
      </c>
      <c r="J936" s="10" t="n">
        <v>0</v>
      </c>
      <c r="K936" s="8" t="n">
        <v>0</v>
      </c>
      <c r="L936" s="8" t="n">
        <v>1</v>
      </c>
      <c r="M936" s="9" t="n">
        <v>3169540.74</v>
      </c>
      <c r="N936" s="9" t="n">
        <v>41223.83</v>
      </c>
      <c r="O936" s="9" t="n">
        <v>0</v>
      </c>
      <c r="P936" s="8" t="n">
        <v>1</v>
      </c>
      <c r="Q936" s="8" t="n">
        <v>0</v>
      </c>
    </row>
    <row r="937">
      <c r="A937" s="8" t="n">
        <v>333</v>
      </c>
      <c r="B937" s="8" t="inlineStr">
        <is>
          <t>CASH_IN</t>
        </is>
      </c>
      <c r="C937" s="9" t="n">
        <v>12253.84</v>
      </c>
      <c r="D937" s="8" t="inlineStr">
        <is>
          <t>C1752676552</t>
        </is>
      </c>
      <c r="E937" s="9" t="n">
        <v>3876586.51</v>
      </c>
      <c r="F937" s="9" t="n">
        <v>3888840.36</v>
      </c>
      <c r="G937" s="8" t="inlineStr">
        <is>
          <t>C2114641109</t>
        </is>
      </c>
      <c r="H937" s="9" t="n">
        <v>128107.99</v>
      </c>
      <c r="I937" s="9" t="n">
        <v>15639.65</v>
      </c>
      <c r="J937" s="10" t="n">
        <v>0</v>
      </c>
      <c r="K937" s="8" t="n">
        <v>0</v>
      </c>
      <c r="L937" s="8" t="n">
        <v>0</v>
      </c>
      <c r="M937" s="9" t="n">
        <v>3748478.52</v>
      </c>
      <c r="N937" s="9" t="n">
        <v>24507.69</v>
      </c>
      <c r="O937" s="9" t="n">
        <v>124722.18</v>
      </c>
      <c r="P937" s="8" t="n">
        <v>1</v>
      </c>
      <c r="Q937" s="8" t="n">
        <v>0</v>
      </c>
    </row>
    <row r="938">
      <c r="A938" s="8" t="n">
        <v>333</v>
      </c>
      <c r="B938" s="8" t="inlineStr">
        <is>
          <t>PAYMENT</t>
        </is>
      </c>
      <c r="C938" s="9" t="n">
        <v>29027.07</v>
      </c>
      <c r="D938" s="8" t="inlineStr">
        <is>
          <t>C1127963294</t>
        </is>
      </c>
      <c r="E938" s="9" t="n">
        <v>511</v>
      </c>
      <c r="F938" s="9" t="n">
        <v>0</v>
      </c>
      <c r="G938" s="8" t="inlineStr">
        <is>
          <t>M320721193</t>
        </is>
      </c>
      <c r="H938" s="9" t="n">
        <v>0</v>
      </c>
      <c r="I938" s="9" t="n">
        <v>0</v>
      </c>
      <c r="J938" s="10" t="n">
        <v>0</v>
      </c>
      <c r="K938" s="8" t="n">
        <v>1</v>
      </c>
      <c r="L938" s="8" t="n">
        <v>0</v>
      </c>
      <c r="M938" s="9" t="n">
        <v>511</v>
      </c>
      <c r="N938" s="9" t="n">
        <v>28516.07</v>
      </c>
      <c r="O938" s="9" t="n">
        <v>29027.07</v>
      </c>
      <c r="P938" s="8" t="n">
        <v>0</v>
      </c>
      <c r="Q938" s="8" t="n">
        <v>0</v>
      </c>
    </row>
    <row r="939">
      <c r="A939" s="8" t="n">
        <v>188</v>
      </c>
      <c r="B939" s="8" t="inlineStr">
        <is>
          <t>CASH_OUT</t>
        </is>
      </c>
      <c r="C939" s="9" t="n">
        <v>179002.86</v>
      </c>
      <c r="D939" s="8" t="inlineStr">
        <is>
          <t>C2058152841</t>
        </is>
      </c>
      <c r="E939" s="9" t="n">
        <v>166930.92</v>
      </c>
      <c r="F939" s="9" t="n">
        <v>0</v>
      </c>
      <c r="G939" s="8" t="inlineStr">
        <is>
          <t>C1963247363</t>
        </is>
      </c>
      <c r="H939" s="9" t="n">
        <v>1088958.4</v>
      </c>
      <c r="I939" s="9" t="n">
        <v>1267961.26</v>
      </c>
      <c r="J939" s="10" t="n">
        <v>0</v>
      </c>
      <c r="K939" s="8" t="n">
        <v>0</v>
      </c>
      <c r="L939" s="8" t="n">
        <v>1</v>
      </c>
      <c r="M939" s="9" t="n">
        <v>922027.48</v>
      </c>
      <c r="N939" s="9" t="n">
        <v>12071.94</v>
      </c>
      <c r="O939" s="9" t="n">
        <v>-0</v>
      </c>
      <c r="P939" s="8" t="n">
        <v>1</v>
      </c>
      <c r="Q939" s="8" t="n">
        <v>0</v>
      </c>
    </row>
    <row r="940">
      <c r="A940" s="8" t="n">
        <v>714</v>
      </c>
      <c r="B940" s="8" t="inlineStr">
        <is>
          <t>CASH_OUT</t>
        </is>
      </c>
      <c r="C940" s="9" t="n">
        <v>390763.24</v>
      </c>
      <c r="D940" s="8" t="inlineStr">
        <is>
          <t>C1246584069</t>
        </is>
      </c>
      <c r="E940" s="9" t="n">
        <v>390763.24</v>
      </c>
      <c r="F940" s="9" t="n">
        <v>0</v>
      </c>
      <c r="G940" s="8" t="inlineStr">
        <is>
          <t>C592943127</t>
        </is>
      </c>
      <c r="H940" s="9" t="n">
        <v>1422500.77</v>
      </c>
      <c r="I940" s="9" t="n">
        <v>1813264.01</v>
      </c>
      <c r="J940" s="11" t="n">
        <v>1</v>
      </c>
      <c r="K940" s="8" t="n">
        <v>0</v>
      </c>
      <c r="L940" s="8" t="n">
        <v>1</v>
      </c>
      <c r="M940" s="9" t="n">
        <v>1031737.53</v>
      </c>
      <c r="N940" s="9" t="n">
        <v>0</v>
      </c>
      <c r="O940" s="9" t="n">
        <v>0</v>
      </c>
      <c r="P940" s="8" t="n">
        <v>1</v>
      </c>
      <c r="Q940" s="8" t="n">
        <v>1</v>
      </c>
    </row>
    <row r="941">
      <c r="A941" s="8" t="n">
        <v>185</v>
      </c>
      <c r="B941" s="8" t="inlineStr">
        <is>
          <t>PAYMENT</t>
        </is>
      </c>
      <c r="C941" s="9" t="n">
        <v>20945.48</v>
      </c>
      <c r="D941" s="8" t="inlineStr">
        <is>
          <t>C805566741</t>
        </is>
      </c>
      <c r="E941" s="9" t="n">
        <v>0</v>
      </c>
      <c r="F941" s="9" t="n">
        <v>0</v>
      </c>
      <c r="G941" s="8" t="inlineStr">
        <is>
          <t>M585523919</t>
        </is>
      </c>
      <c r="H941" s="9" t="n">
        <v>0</v>
      </c>
      <c r="I941" s="9" t="n">
        <v>0</v>
      </c>
      <c r="J941" s="10" t="n">
        <v>0</v>
      </c>
      <c r="K941" s="8" t="n">
        <v>1</v>
      </c>
      <c r="L941" s="8" t="n">
        <v>0</v>
      </c>
      <c r="M941" s="9" t="n">
        <v>0</v>
      </c>
      <c r="N941" s="9" t="n">
        <v>20945.48</v>
      </c>
      <c r="O941" s="9" t="n">
        <v>20945.48</v>
      </c>
      <c r="P941" s="8" t="n">
        <v>0</v>
      </c>
      <c r="Q941" s="8" t="n">
        <v>0</v>
      </c>
    </row>
    <row r="942">
      <c r="A942" s="8" t="n">
        <v>403</v>
      </c>
      <c r="B942" s="8" t="inlineStr">
        <is>
          <t>PAYMENT</t>
        </is>
      </c>
      <c r="C942" s="9" t="n">
        <v>12657.27</v>
      </c>
      <c r="D942" s="8" t="inlineStr">
        <is>
          <t>C1653616100</t>
        </is>
      </c>
      <c r="E942" s="9" t="n">
        <v>0</v>
      </c>
      <c r="F942" s="9" t="n">
        <v>0</v>
      </c>
      <c r="G942" s="8" t="inlineStr">
        <is>
          <t>M1596297976</t>
        </is>
      </c>
      <c r="H942" s="9" t="n">
        <v>0</v>
      </c>
      <c r="I942" s="9" t="n">
        <v>0</v>
      </c>
      <c r="J942" s="10" t="n">
        <v>0</v>
      </c>
      <c r="K942" s="8" t="n">
        <v>1</v>
      </c>
      <c r="L942" s="8" t="n">
        <v>0</v>
      </c>
      <c r="M942" s="9" t="n">
        <v>0</v>
      </c>
      <c r="N942" s="9" t="n">
        <v>12657.27</v>
      </c>
      <c r="O942" s="9" t="n">
        <v>12657.27</v>
      </c>
      <c r="P942" s="8" t="n">
        <v>0</v>
      </c>
      <c r="Q942" s="8" t="n">
        <v>0</v>
      </c>
    </row>
    <row r="943">
      <c r="A943" s="8" t="n">
        <v>301</v>
      </c>
      <c r="B943" s="8" t="inlineStr">
        <is>
          <t>CASH_IN</t>
        </is>
      </c>
      <c r="C943" s="9" t="n">
        <v>152716.94</v>
      </c>
      <c r="D943" s="8" t="inlineStr">
        <is>
          <t>C988571669</t>
        </is>
      </c>
      <c r="E943" s="9" t="n">
        <v>726971.24</v>
      </c>
      <c r="F943" s="9" t="n">
        <v>879688.1800000001</v>
      </c>
      <c r="G943" s="8" t="inlineStr">
        <is>
          <t>C1878588507</t>
        </is>
      </c>
      <c r="H943" s="9" t="n">
        <v>817331.83</v>
      </c>
      <c r="I943" s="9" t="n">
        <v>664614.89</v>
      </c>
      <c r="J943" s="10" t="n">
        <v>0</v>
      </c>
      <c r="K943" s="8" t="n">
        <v>0</v>
      </c>
      <c r="L943" s="8" t="n">
        <v>0</v>
      </c>
      <c r="M943" s="9" t="n">
        <v>90360.58999999995</v>
      </c>
      <c r="N943" s="9" t="n">
        <v>305433.88</v>
      </c>
      <c r="O943" s="9" t="n">
        <v>305433.88</v>
      </c>
      <c r="P943" s="8" t="n">
        <v>1</v>
      </c>
      <c r="Q943" s="8" t="n">
        <v>0</v>
      </c>
    </row>
    <row r="944">
      <c r="A944" s="8" t="n">
        <v>178</v>
      </c>
      <c r="B944" s="8" t="inlineStr">
        <is>
          <t>TRANSFER</t>
        </is>
      </c>
      <c r="C944" s="9" t="n">
        <v>3354200.39</v>
      </c>
      <c r="D944" s="8" t="inlineStr">
        <is>
          <t>C95297644</t>
        </is>
      </c>
      <c r="E944" s="9" t="n">
        <v>3354200.39</v>
      </c>
      <c r="F944" s="9" t="n">
        <v>0</v>
      </c>
      <c r="G944" s="8" t="inlineStr">
        <is>
          <t>C679714329</t>
        </is>
      </c>
      <c r="H944" s="9" t="n">
        <v>0</v>
      </c>
      <c r="I944" s="9" t="n">
        <v>0</v>
      </c>
      <c r="J944" s="11" t="n">
        <v>1</v>
      </c>
      <c r="K944" s="8" t="n">
        <v>0</v>
      </c>
      <c r="L944" s="8" t="n">
        <v>1</v>
      </c>
      <c r="M944" s="9" t="n">
        <v>3354200.39</v>
      </c>
      <c r="N944" s="9" t="n">
        <v>0</v>
      </c>
      <c r="O944" s="9" t="n">
        <v>3354200.39</v>
      </c>
      <c r="P944" s="8" t="n">
        <v>1</v>
      </c>
      <c r="Q944" s="8" t="n">
        <v>1</v>
      </c>
    </row>
    <row r="945">
      <c r="A945" s="8" t="n">
        <v>18</v>
      </c>
      <c r="B945" s="8" t="inlineStr">
        <is>
          <t>PAYMENT</t>
        </is>
      </c>
      <c r="C945" s="9" t="n">
        <v>22044.73</v>
      </c>
      <c r="D945" s="8" t="inlineStr">
        <is>
          <t>C507807871</t>
        </is>
      </c>
      <c r="E945" s="9" t="n">
        <v>26003</v>
      </c>
      <c r="F945" s="9" t="n">
        <v>3958.27</v>
      </c>
      <c r="G945" s="8" t="inlineStr">
        <is>
          <t>M724875605</t>
        </is>
      </c>
      <c r="H945" s="9" t="n">
        <v>0</v>
      </c>
      <c r="I945" s="9" t="n">
        <v>0</v>
      </c>
      <c r="J945" s="10" t="n">
        <v>0</v>
      </c>
      <c r="K945" s="8" t="n">
        <v>1</v>
      </c>
      <c r="L945" s="8" t="n">
        <v>0</v>
      </c>
      <c r="M945" s="9" t="n">
        <v>26003</v>
      </c>
      <c r="N945" s="9" t="n">
        <v>0</v>
      </c>
      <c r="O945" s="9" t="n">
        <v>22044.73</v>
      </c>
      <c r="P945" s="8" t="n">
        <v>0</v>
      </c>
      <c r="Q945" s="8" t="n">
        <v>1</v>
      </c>
    </row>
    <row r="946">
      <c r="A946" s="8" t="n">
        <v>478</v>
      </c>
      <c r="B946" s="8" t="inlineStr">
        <is>
          <t>CASH_OUT</t>
        </is>
      </c>
      <c r="C946" s="9" t="n">
        <v>51183.25</v>
      </c>
      <c r="D946" s="8" t="inlineStr">
        <is>
          <t>C1702286599</t>
        </is>
      </c>
      <c r="E946" s="9" t="n">
        <v>51183.25</v>
      </c>
      <c r="F946" s="9" t="n">
        <v>0</v>
      </c>
      <c r="G946" s="8" t="inlineStr">
        <is>
          <t>C2107067819</t>
        </is>
      </c>
      <c r="H946" s="9" t="n">
        <v>0</v>
      </c>
      <c r="I946" s="9" t="n">
        <v>51183.25</v>
      </c>
      <c r="J946" s="11" t="n">
        <v>1</v>
      </c>
      <c r="K946" s="8" t="n">
        <v>0</v>
      </c>
      <c r="L946" s="8" t="n">
        <v>1</v>
      </c>
      <c r="M946" s="9" t="n">
        <v>51183.25</v>
      </c>
      <c r="N946" s="9" t="n">
        <v>0</v>
      </c>
      <c r="O946" s="9" t="n">
        <v>0</v>
      </c>
      <c r="P946" s="8" t="n">
        <v>1</v>
      </c>
      <c r="Q946" s="8" t="n">
        <v>1</v>
      </c>
    </row>
    <row r="947">
      <c r="A947" s="8" t="n">
        <v>11</v>
      </c>
      <c r="B947" s="8" t="inlineStr">
        <is>
          <t>DEBIT</t>
        </is>
      </c>
      <c r="C947" s="9" t="n">
        <v>54188.96</v>
      </c>
      <c r="D947" s="8" t="inlineStr">
        <is>
          <t>C758611919</t>
        </is>
      </c>
      <c r="E947" s="9" t="n">
        <v>92051.91</v>
      </c>
      <c r="F947" s="9" t="n">
        <v>37862.95</v>
      </c>
      <c r="G947" s="8" t="inlineStr">
        <is>
          <t>C1652857712</t>
        </is>
      </c>
      <c r="H947" s="9" t="n">
        <v>169859.35</v>
      </c>
      <c r="I947" s="9" t="n">
        <v>224048.31</v>
      </c>
      <c r="J947" s="10" t="n">
        <v>0</v>
      </c>
      <c r="K947" s="8" t="n">
        <v>1</v>
      </c>
      <c r="L947" s="8" t="n">
        <v>0</v>
      </c>
      <c r="M947" s="9" t="n">
        <v>77807.44</v>
      </c>
      <c r="N947" s="9" t="n">
        <v>0</v>
      </c>
      <c r="O947" s="9" t="n">
        <v>0</v>
      </c>
      <c r="P947" s="8" t="n">
        <v>1</v>
      </c>
      <c r="Q947" s="8" t="n">
        <v>1</v>
      </c>
    </row>
    <row r="948">
      <c r="A948" s="8" t="n">
        <v>64</v>
      </c>
      <c r="B948" s="8" t="inlineStr">
        <is>
          <t>CASH_OUT</t>
        </is>
      </c>
      <c r="C948" s="9" t="n">
        <v>37796.75</v>
      </c>
      <c r="D948" s="8" t="inlineStr">
        <is>
          <t>C758006561</t>
        </is>
      </c>
      <c r="E948" s="9" t="n">
        <v>37796.75</v>
      </c>
      <c r="F948" s="9" t="n">
        <v>0</v>
      </c>
      <c r="G948" s="8" t="inlineStr">
        <is>
          <t>C2079728909</t>
        </is>
      </c>
      <c r="H948" s="9" t="n">
        <v>211905.39</v>
      </c>
      <c r="I948" s="9" t="n">
        <v>249702.14</v>
      </c>
      <c r="J948" s="11" t="n">
        <v>1</v>
      </c>
      <c r="K948" s="8" t="n">
        <v>0</v>
      </c>
      <c r="L948" s="8" t="n">
        <v>1</v>
      </c>
      <c r="M948" s="9" t="n">
        <v>174108.64</v>
      </c>
      <c r="N948" s="9" t="n">
        <v>0</v>
      </c>
      <c r="O948" s="9" t="n">
        <v>0</v>
      </c>
      <c r="P948" s="8" t="n">
        <v>1</v>
      </c>
      <c r="Q948" s="8" t="n">
        <v>1</v>
      </c>
    </row>
    <row r="949">
      <c r="A949" s="8" t="n">
        <v>547</v>
      </c>
      <c r="B949" s="8" t="inlineStr">
        <is>
          <t>PAYMENT</t>
        </is>
      </c>
      <c r="C949" s="9" t="n">
        <v>6291.21</v>
      </c>
      <c r="D949" s="8" t="inlineStr">
        <is>
          <t>C1256298160</t>
        </is>
      </c>
      <c r="E949" s="9" t="n">
        <v>0</v>
      </c>
      <c r="F949" s="9" t="n">
        <v>0</v>
      </c>
      <c r="G949" s="8" t="inlineStr">
        <is>
          <t>M1685095327</t>
        </is>
      </c>
      <c r="H949" s="9" t="n">
        <v>0</v>
      </c>
      <c r="I949" s="9" t="n">
        <v>0</v>
      </c>
      <c r="J949" s="10" t="n">
        <v>0</v>
      </c>
      <c r="K949" s="8" t="n">
        <v>1</v>
      </c>
      <c r="L949" s="8" t="n">
        <v>0</v>
      </c>
      <c r="M949" s="9" t="n">
        <v>0</v>
      </c>
      <c r="N949" s="9" t="n">
        <v>6291.21</v>
      </c>
      <c r="O949" s="9" t="n">
        <v>6291.21</v>
      </c>
      <c r="P949" s="8" t="n">
        <v>0</v>
      </c>
      <c r="Q949" s="8" t="n">
        <v>0</v>
      </c>
    </row>
    <row r="950">
      <c r="A950" s="8" t="n">
        <v>174</v>
      </c>
      <c r="B950" s="8" t="inlineStr">
        <is>
          <t>TRANSFER</t>
        </is>
      </c>
      <c r="C950" s="9" t="n">
        <v>1244224.16</v>
      </c>
      <c r="D950" s="8" t="inlineStr">
        <is>
          <t>C381361852</t>
        </is>
      </c>
      <c r="E950" s="9" t="n">
        <v>1244224.16</v>
      </c>
      <c r="F950" s="9" t="n">
        <v>0</v>
      </c>
      <c r="G950" s="8" t="inlineStr">
        <is>
          <t>C1125303193</t>
        </is>
      </c>
      <c r="H950" s="9" t="n">
        <v>0</v>
      </c>
      <c r="I950" s="9" t="n">
        <v>0</v>
      </c>
      <c r="J950" s="11" t="n">
        <v>1</v>
      </c>
      <c r="K950" s="8" t="n">
        <v>0</v>
      </c>
      <c r="L950" s="8" t="n">
        <v>1</v>
      </c>
      <c r="M950" s="9" t="n">
        <v>1244224.16</v>
      </c>
      <c r="N950" s="9" t="n">
        <v>0</v>
      </c>
      <c r="O950" s="9" t="n">
        <v>1244224.16</v>
      </c>
      <c r="P950" s="8" t="n">
        <v>1</v>
      </c>
      <c r="Q950" s="8" t="n">
        <v>1</v>
      </c>
    </row>
    <row r="951">
      <c r="A951" s="8" t="n">
        <v>116</v>
      </c>
      <c r="B951" s="8" t="inlineStr">
        <is>
          <t>CASH_OUT</t>
        </is>
      </c>
      <c r="C951" s="9" t="n">
        <v>1243269.91</v>
      </c>
      <c r="D951" s="8" t="inlineStr">
        <is>
          <t>C2060685721</t>
        </is>
      </c>
      <c r="E951" s="9" t="n">
        <v>1243269.91</v>
      </c>
      <c r="F951" s="9" t="n">
        <v>0</v>
      </c>
      <c r="G951" s="8" t="inlineStr">
        <is>
          <t>C2030405592</t>
        </is>
      </c>
      <c r="H951" s="9" t="n">
        <v>25244.22</v>
      </c>
      <c r="I951" s="9" t="n">
        <v>1268514.13</v>
      </c>
      <c r="J951" s="11" t="n">
        <v>1</v>
      </c>
      <c r="K951" s="8" t="n">
        <v>0</v>
      </c>
      <c r="L951" s="8" t="n">
        <v>1</v>
      </c>
      <c r="M951" s="9" t="n">
        <v>1218025.69</v>
      </c>
      <c r="N951" s="9" t="n">
        <v>0</v>
      </c>
      <c r="O951" s="9" t="n">
        <v>0</v>
      </c>
      <c r="P951" s="8" t="n">
        <v>1</v>
      </c>
      <c r="Q951" s="8" t="n">
        <v>1</v>
      </c>
    </row>
    <row r="952">
      <c r="A952" s="8" t="n">
        <v>179</v>
      </c>
      <c r="B952" s="8" t="inlineStr">
        <is>
          <t>CASH_OUT</t>
        </is>
      </c>
      <c r="C952" s="9" t="n">
        <v>172611.48</v>
      </c>
      <c r="D952" s="8" t="inlineStr">
        <is>
          <t>C1518008167</t>
        </is>
      </c>
      <c r="E952" s="9" t="n">
        <v>0</v>
      </c>
      <c r="F952" s="9" t="n">
        <v>0</v>
      </c>
      <c r="G952" s="8" t="inlineStr">
        <is>
          <t>C1883340818</t>
        </is>
      </c>
      <c r="H952" s="9" t="n">
        <v>7045929.5</v>
      </c>
      <c r="I952" s="9" t="n">
        <v>7218540.98</v>
      </c>
      <c r="J952" s="10" t="n">
        <v>0</v>
      </c>
      <c r="K952" s="8" t="n">
        <v>0</v>
      </c>
      <c r="L952" s="8" t="n">
        <v>1</v>
      </c>
      <c r="M952" s="9" t="n">
        <v>7045929.5</v>
      </c>
      <c r="N952" s="9" t="n">
        <v>172611.48</v>
      </c>
      <c r="O952" s="9" t="n">
        <v>0</v>
      </c>
      <c r="P952" s="8" t="n">
        <v>1</v>
      </c>
      <c r="Q952" s="8" t="n">
        <v>0</v>
      </c>
    </row>
    <row r="953">
      <c r="A953" s="8" t="n">
        <v>256</v>
      </c>
      <c r="B953" s="8" t="inlineStr">
        <is>
          <t>PAYMENT</t>
        </is>
      </c>
      <c r="C953" s="9" t="n">
        <v>3916.9</v>
      </c>
      <c r="D953" s="8" t="inlineStr">
        <is>
          <t>C1930224312</t>
        </is>
      </c>
      <c r="E953" s="9" t="n">
        <v>0</v>
      </c>
      <c r="F953" s="9" t="n">
        <v>0</v>
      </c>
      <c r="G953" s="8" t="inlineStr">
        <is>
          <t>M1997555345</t>
        </is>
      </c>
      <c r="H953" s="9" t="n">
        <v>0</v>
      </c>
      <c r="I953" s="9" t="n">
        <v>0</v>
      </c>
      <c r="J953" s="10" t="n">
        <v>0</v>
      </c>
      <c r="K953" s="8" t="n">
        <v>1</v>
      </c>
      <c r="L953" s="8" t="n">
        <v>0</v>
      </c>
      <c r="M953" s="9" t="n">
        <v>0</v>
      </c>
      <c r="N953" s="9" t="n">
        <v>3916.9</v>
      </c>
      <c r="O953" s="9" t="n">
        <v>3916.9</v>
      </c>
      <c r="P953" s="8" t="n">
        <v>0</v>
      </c>
      <c r="Q953" s="8" t="n">
        <v>0</v>
      </c>
    </row>
    <row r="954">
      <c r="A954" s="8" t="n">
        <v>727</v>
      </c>
      <c r="B954" s="8" t="inlineStr">
        <is>
          <t>TRANSFER</t>
        </is>
      </c>
      <c r="C954" s="9" t="n">
        <v>124582.58</v>
      </c>
      <c r="D954" s="8" t="inlineStr">
        <is>
          <t>C651444933</t>
        </is>
      </c>
      <c r="E954" s="9" t="n">
        <v>124582.58</v>
      </c>
      <c r="F954" s="9" t="n">
        <v>0</v>
      </c>
      <c r="G954" s="8" t="inlineStr">
        <is>
          <t>C1161818914</t>
        </is>
      </c>
      <c r="H954" s="9" t="n">
        <v>0</v>
      </c>
      <c r="I954" s="9" t="n">
        <v>0</v>
      </c>
      <c r="J954" s="11" t="n">
        <v>1</v>
      </c>
      <c r="K954" s="8" t="n">
        <v>0</v>
      </c>
      <c r="L954" s="8" t="n">
        <v>1</v>
      </c>
      <c r="M954" s="9" t="n">
        <v>124582.58</v>
      </c>
      <c r="N954" s="9" t="n">
        <v>0</v>
      </c>
      <c r="O954" s="9" t="n">
        <v>124582.58</v>
      </c>
      <c r="P954" s="8" t="n">
        <v>1</v>
      </c>
      <c r="Q954" s="8" t="n">
        <v>1</v>
      </c>
    </row>
    <row r="955">
      <c r="A955" s="8" t="n">
        <v>164</v>
      </c>
      <c r="B955" s="8" t="inlineStr">
        <is>
          <t>CASH_IN</t>
        </is>
      </c>
      <c r="C955" s="9" t="n">
        <v>187731.39</v>
      </c>
      <c r="D955" s="8" t="inlineStr">
        <is>
          <t>C415697254</t>
        </is>
      </c>
      <c r="E955" s="9" t="n">
        <v>153155</v>
      </c>
      <c r="F955" s="9" t="n">
        <v>340886.39</v>
      </c>
      <c r="G955" s="8" t="inlineStr">
        <is>
          <t>C807556315</t>
        </is>
      </c>
      <c r="H955" s="9" t="n">
        <v>174897.06</v>
      </c>
      <c r="I955" s="9" t="n">
        <v>0</v>
      </c>
      <c r="J955" s="10" t="n">
        <v>0</v>
      </c>
      <c r="K955" s="8" t="n">
        <v>0</v>
      </c>
      <c r="L955" s="8" t="n">
        <v>0</v>
      </c>
      <c r="M955" s="9" t="n">
        <v>21742.06</v>
      </c>
      <c r="N955" s="9" t="n">
        <v>375462.78</v>
      </c>
      <c r="O955" s="9" t="n">
        <v>362628.45</v>
      </c>
      <c r="P955" s="8" t="n">
        <v>1</v>
      </c>
      <c r="Q955" s="8" t="n">
        <v>0</v>
      </c>
    </row>
    <row r="956">
      <c r="A956" s="8" t="n">
        <v>133</v>
      </c>
      <c r="B956" s="8" t="inlineStr">
        <is>
          <t>CASH_OUT</t>
        </is>
      </c>
      <c r="C956" s="9" t="n">
        <v>585935.48</v>
      </c>
      <c r="D956" s="8" t="inlineStr">
        <is>
          <t>C1367698756</t>
        </is>
      </c>
      <c r="E956" s="9" t="n">
        <v>0</v>
      </c>
      <c r="F956" s="9" t="n">
        <v>0</v>
      </c>
      <c r="G956" s="8" t="inlineStr">
        <is>
          <t>C546043383</t>
        </is>
      </c>
      <c r="H956" s="9" t="n">
        <v>5476011.41</v>
      </c>
      <c r="I956" s="9" t="n">
        <v>6061946.89</v>
      </c>
      <c r="J956" s="10" t="n">
        <v>0</v>
      </c>
      <c r="K956" s="8" t="n">
        <v>0</v>
      </c>
      <c r="L956" s="8" t="n">
        <v>1</v>
      </c>
      <c r="M956" s="9" t="n">
        <v>5476011.41</v>
      </c>
      <c r="N956" s="9" t="n">
        <v>585935.48</v>
      </c>
      <c r="O956" s="9" t="n">
        <v>0</v>
      </c>
      <c r="P956" s="8" t="n">
        <v>1</v>
      </c>
      <c r="Q956" s="8" t="n">
        <v>0</v>
      </c>
    </row>
    <row r="957">
      <c r="A957" s="8" t="n">
        <v>544</v>
      </c>
      <c r="B957" s="8" t="inlineStr">
        <is>
          <t>CASH_OUT</t>
        </is>
      </c>
      <c r="C957" s="9" t="n">
        <v>412668.39</v>
      </c>
      <c r="D957" s="8" t="inlineStr">
        <is>
          <t>C84071102</t>
        </is>
      </c>
      <c r="E957" s="9" t="n">
        <v>412668.39</v>
      </c>
      <c r="F957" s="9" t="n">
        <v>0</v>
      </c>
      <c r="G957" s="8" t="inlineStr">
        <is>
          <t>C1576697216</t>
        </is>
      </c>
      <c r="H957" s="9" t="n">
        <v>1445047.47</v>
      </c>
      <c r="I957" s="9" t="n">
        <v>1857715.86</v>
      </c>
      <c r="J957" s="11" t="n">
        <v>1</v>
      </c>
      <c r="K957" s="8" t="n">
        <v>0</v>
      </c>
      <c r="L957" s="8" t="n">
        <v>1</v>
      </c>
      <c r="M957" s="9" t="n">
        <v>1032379.08</v>
      </c>
      <c r="N957" s="9" t="n">
        <v>0</v>
      </c>
      <c r="O957" s="9" t="n">
        <v>-0</v>
      </c>
      <c r="P957" s="8" t="n">
        <v>1</v>
      </c>
      <c r="Q957" s="8" t="n">
        <v>1</v>
      </c>
    </row>
    <row r="958">
      <c r="A958" s="8" t="n">
        <v>378</v>
      </c>
      <c r="B958" s="8" t="inlineStr">
        <is>
          <t>TRANSFER</t>
        </is>
      </c>
      <c r="C958" s="9" t="n">
        <v>529956.39</v>
      </c>
      <c r="D958" s="8" t="inlineStr">
        <is>
          <t>C1566632147</t>
        </is>
      </c>
      <c r="E958" s="9" t="n">
        <v>35498</v>
      </c>
      <c r="F958" s="9" t="n">
        <v>0</v>
      </c>
      <c r="G958" s="8" t="inlineStr">
        <is>
          <t>C2058916186</t>
        </is>
      </c>
      <c r="H958" s="9" t="n">
        <v>1870313.45</v>
      </c>
      <c r="I958" s="9" t="n">
        <v>2400269.83</v>
      </c>
      <c r="J958" s="10" t="n">
        <v>0</v>
      </c>
      <c r="K958" s="8" t="n">
        <v>0</v>
      </c>
      <c r="L958" s="8" t="n">
        <v>1</v>
      </c>
      <c r="M958" s="9" t="n">
        <v>1834815.45</v>
      </c>
      <c r="N958" s="9" t="n">
        <v>494458.39</v>
      </c>
      <c r="O958" s="9" t="n">
        <v>0.01</v>
      </c>
      <c r="P958" s="8" t="n">
        <v>1</v>
      </c>
      <c r="Q958" s="8" t="n">
        <v>0</v>
      </c>
    </row>
    <row r="959">
      <c r="A959" s="8" t="n">
        <v>163</v>
      </c>
      <c r="B959" s="8" t="inlineStr">
        <is>
          <t>CASH_OUT</t>
        </is>
      </c>
      <c r="C959" s="9" t="n">
        <v>152848.62</v>
      </c>
      <c r="D959" s="8" t="inlineStr">
        <is>
          <t>C839552105</t>
        </is>
      </c>
      <c r="E959" s="9" t="n">
        <v>3626.29</v>
      </c>
      <c r="F959" s="9" t="n">
        <v>0</v>
      </c>
      <c r="G959" s="8" t="inlineStr">
        <is>
          <t>C1522419348</t>
        </is>
      </c>
      <c r="H959" s="9" t="n">
        <v>1104349.04</v>
      </c>
      <c r="I959" s="9" t="n">
        <v>1257197.65</v>
      </c>
      <c r="J959" s="10" t="n">
        <v>0</v>
      </c>
      <c r="K959" s="8" t="n">
        <v>0</v>
      </c>
      <c r="L959" s="8" t="n">
        <v>1</v>
      </c>
      <c r="M959" s="9" t="n">
        <v>1100722.75</v>
      </c>
      <c r="N959" s="9" t="n">
        <v>149222.33</v>
      </c>
      <c r="O959" s="9" t="n">
        <v>0.01</v>
      </c>
      <c r="P959" s="8" t="n">
        <v>1</v>
      </c>
      <c r="Q959" s="8" t="n">
        <v>0</v>
      </c>
    </row>
    <row r="960">
      <c r="A960" s="8" t="n">
        <v>257</v>
      </c>
      <c r="B960" s="8" t="inlineStr">
        <is>
          <t>CASH_OUT</t>
        </is>
      </c>
      <c r="C960" s="9" t="n">
        <v>276787.54</v>
      </c>
      <c r="D960" s="8" t="inlineStr">
        <is>
          <t>C624231368</t>
        </is>
      </c>
      <c r="E960" s="9" t="n">
        <v>193861</v>
      </c>
      <c r="F960" s="9" t="n">
        <v>0</v>
      </c>
      <c r="G960" s="8" t="inlineStr">
        <is>
          <t>C428930603</t>
        </is>
      </c>
      <c r="H960" s="9" t="n">
        <v>3092244.24</v>
      </c>
      <c r="I960" s="9" t="n">
        <v>3369031.78</v>
      </c>
      <c r="J960" s="10" t="n">
        <v>0</v>
      </c>
      <c r="K960" s="8" t="n">
        <v>0</v>
      </c>
      <c r="L960" s="8" t="n">
        <v>1</v>
      </c>
      <c r="M960" s="9" t="n">
        <v>2898383.24</v>
      </c>
      <c r="N960" s="9" t="n">
        <v>82926.53999999999</v>
      </c>
      <c r="O960" s="9" t="n">
        <v>0</v>
      </c>
      <c r="P960" s="8" t="n">
        <v>1</v>
      </c>
      <c r="Q960" s="8" t="n">
        <v>0</v>
      </c>
    </row>
    <row r="961">
      <c r="A961" s="8" t="n">
        <v>592</v>
      </c>
      <c r="B961" s="8" t="inlineStr">
        <is>
          <t>TRANSFER</t>
        </is>
      </c>
      <c r="C961" s="9" t="n">
        <v>458361.83</v>
      </c>
      <c r="D961" s="8" t="inlineStr">
        <is>
          <t>C2050469537</t>
        </is>
      </c>
      <c r="E961" s="9" t="n">
        <v>458361.83</v>
      </c>
      <c r="F961" s="9" t="n">
        <v>0</v>
      </c>
      <c r="G961" s="8" t="inlineStr">
        <is>
          <t>C2018291358</t>
        </is>
      </c>
      <c r="H961" s="9" t="n">
        <v>0</v>
      </c>
      <c r="I961" s="9" t="n">
        <v>0</v>
      </c>
      <c r="J961" s="11" t="n">
        <v>1</v>
      </c>
      <c r="K961" s="8" t="n">
        <v>0</v>
      </c>
      <c r="L961" s="8" t="n">
        <v>1</v>
      </c>
      <c r="M961" s="9" t="n">
        <v>458361.83</v>
      </c>
      <c r="N961" s="9" t="n">
        <v>0</v>
      </c>
      <c r="O961" s="9" t="n">
        <v>458361.83</v>
      </c>
      <c r="P961" s="8" t="n">
        <v>1</v>
      </c>
      <c r="Q961" s="8" t="n">
        <v>1</v>
      </c>
    </row>
    <row r="962">
      <c r="A962" s="8" t="n">
        <v>183</v>
      </c>
      <c r="B962" s="8" t="inlineStr">
        <is>
          <t>TRANSFER</t>
        </is>
      </c>
      <c r="C962" s="9" t="n">
        <v>1503297.45</v>
      </c>
      <c r="D962" s="8" t="inlineStr">
        <is>
          <t>C1611595121</t>
        </is>
      </c>
      <c r="E962" s="9" t="n">
        <v>1503297.45</v>
      </c>
      <c r="F962" s="9" t="n">
        <v>0</v>
      </c>
      <c r="G962" s="8" t="inlineStr">
        <is>
          <t>C739347171</t>
        </is>
      </c>
      <c r="H962" s="9" t="n">
        <v>0</v>
      </c>
      <c r="I962" s="9" t="n">
        <v>0</v>
      </c>
      <c r="J962" s="11" t="n">
        <v>1</v>
      </c>
      <c r="K962" s="8" t="n">
        <v>0</v>
      </c>
      <c r="L962" s="8" t="n">
        <v>1</v>
      </c>
      <c r="M962" s="9" t="n">
        <v>1503297.45</v>
      </c>
      <c r="N962" s="9" t="n">
        <v>0</v>
      </c>
      <c r="O962" s="9" t="n">
        <v>1503297.45</v>
      </c>
      <c r="P962" s="8" t="n">
        <v>1</v>
      </c>
      <c r="Q962" s="8" t="n">
        <v>1</v>
      </c>
    </row>
    <row r="963">
      <c r="A963" s="8" t="n">
        <v>380</v>
      </c>
      <c r="B963" s="8" t="inlineStr">
        <is>
          <t>PAYMENT</t>
        </is>
      </c>
      <c r="C963" s="9" t="n">
        <v>5864.06</v>
      </c>
      <c r="D963" s="8" t="inlineStr">
        <is>
          <t>C895739749</t>
        </is>
      </c>
      <c r="E963" s="9" t="n">
        <v>0</v>
      </c>
      <c r="F963" s="9" t="n">
        <v>0</v>
      </c>
      <c r="G963" s="8" t="inlineStr">
        <is>
          <t>M431044585</t>
        </is>
      </c>
      <c r="H963" s="9" t="n">
        <v>0</v>
      </c>
      <c r="I963" s="9" t="n">
        <v>0</v>
      </c>
      <c r="J963" s="10" t="n">
        <v>0</v>
      </c>
      <c r="K963" s="8" t="n">
        <v>1</v>
      </c>
      <c r="L963" s="8" t="n">
        <v>0</v>
      </c>
      <c r="M963" s="9" t="n">
        <v>0</v>
      </c>
      <c r="N963" s="9" t="n">
        <v>5864.06</v>
      </c>
      <c r="O963" s="9" t="n">
        <v>5864.06</v>
      </c>
      <c r="P963" s="8" t="n">
        <v>0</v>
      </c>
      <c r="Q963" s="8" t="n">
        <v>0</v>
      </c>
    </row>
    <row r="964">
      <c r="A964" s="8" t="n">
        <v>178</v>
      </c>
      <c r="B964" s="8" t="inlineStr">
        <is>
          <t>CASH_IN</t>
        </is>
      </c>
      <c r="C964" s="9" t="n">
        <v>71868.84</v>
      </c>
      <c r="D964" s="8" t="inlineStr">
        <is>
          <t>C236544775</t>
        </is>
      </c>
      <c r="E964" s="9" t="n">
        <v>468</v>
      </c>
      <c r="F964" s="9" t="n">
        <v>72336.84</v>
      </c>
      <c r="G964" s="8" t="inlineStr">
        <is>
          <t>C143138982</t>
        </is>
      </c>
      <c r="H964" s="9" t="n">
        <v>1141888.13</v>
      </c>
      <c r="I964" s="9" t="n">
        <v>1070019.29</v>
      </c>
      <c r="J964" s="10" t="n">
        <v>0</v>
      </c>
      <c r="K964" s="8" t="n">
        <v>0</v>
      </c>
      <c r="L964" s="8" t="n">
        <v>0</v>
      </c>
      <c r="M964" s="9" t="n">
        <v>1141420.13</v>
      </c>
      <c r="N964" s="9" t="n">
        <v>143737.68</v>
      </c>
      <c r="O964" s="9" t="n">
        <v>143737.68</v>
      </c>
      <c r="P964" s="8" t="n">
        <v>1</v>
      </c>
      <c r="Q964" s="8" t="n">
        <v>0</v>
      </c>
    </row>
    <row r="965">
      <c r="A965" s="8" t="n">
        <v>20</v>
      </c>
      <c r="B965" s="8" t="inlineStr">
        <is>
          <t>PAYMENT</t>
        </is>
      </c>
      <c r="C965" s="9" t="n">
        <v>3423.33</v>
      </c>
      <c r="D965" s="8" t="inlineStr">
        <is>
          <t>C964638786</t>
        </is>
      </c>
      <c r="E965" s="9" t="n">
        <v>11579</v>
      </c>
      <c r="F965" s="9" t="n">
        <v>8155.67</v>
      </c>
      <c r="G965" s="8" t="inlineStr">
        <is>
          <t>M633880022</t>
        </is>
      </c>
      <c r="H965" s="9" t="n">
        <v>0</v>
      </c>
      <c r="I965" s="9" t="n">
        <v>0</v>
      </c>
      <c r="J965" s="10" t="n">
        <v>0</v>
      </c>
      <c r="K965" s="8" t="n">
        <v>1</v>
      </c>
      <c r="L965" s="8" t="n">
        <v>0</v>
      </c>
      <c r="M965" s="9" t="n">
        <v>11579</v>
      </c>
      <c r="N965" s="9" t="n">
        <v>0</v>
      </c>
      <c r="O965" s="9" t="n">
        <v>3423.33</v>
      </c>
      <c r="P965" s="8" t="n">
        <v>0</v>
      </c>
      <c r="Q965" s="8" t="n">
        <v>1</v>
      </c>
    </row>
    <row r="966">
      <c r="A966" s="8" t="n">
        <v>540</v>
      </c>
      <c r="B966" s="8" t="inlineStr">
        <is>
          <t>CASH_OUT</t>
        </is>
      </c>
      <c r="C966" s="9" t="n">
        <v>342970.95</v>
      </c>
      <c r="D966" s="8" t="inlineStr">
        <is>
          <t>C1947443919</t>
        </is>
      </c>
      <c r="E966" s="9" t="n">
        <v>342970.95</v>
      </c>
      <c r="F966" s="9" t="n">
        <v>0</v>
      </c>
      <c r="G966" s="8" t="inlineStr">
        <is>
          <t>C1241262856</t>
        </is>
      </c>
      <c r="H966" s="9" t="n">
        <v>660948.23</v>
      </c>
      <c r="I966" s="9" t="n">
        <v>1003919.18</v>
      </c>
      <c r="J966" s="11" t="n">
        <v>1</v>
      </c>
      <c r="K966" s="8" t="n">
        <v>0</v>
      </c>
      <c r="L966" s="8" t="n">
        <v>1</v>
      </c>
      <c r="M966" s="9" t="n">
        <v>317977.28</v>
      </c>
      <c r="N966" s="9" t="n">
        <v>0</v>
      </c>
      <c r="O966" s="9" t="n">
        <v>-0</v>
      </c>
      <c r="P966" s="8" t="n">
        <v>1</v>
      </c>
      <c r="Q966" s="8" t="n">
        <v>1</v>
      </c>
    </row>
    <row r="967">
      <c r="A967" s="8" t="n">
        <v>17</v>
      </c>
      <c r="B967" s="8" t="inlineStr">
        <is>
          <t>CASH_OUT</t>
        </is>
      </c>
      <c r="C967" s="9" t="n">
        <v>252548.69</v>
      </c>
      <c r="D967" s="8" t="inlineStr">
        <is>
          <t>C890381032</t>
        </is>
      </c>
      <c r="E967" s="9" t="n">
        <v>0</v>
      </c>
      <c r="F967" s="9" t="n">
        <v>0</v>
      </c>
      <c r="G967" s="8" t="inlineStr">
        <is>
          <t>C1023529951</t>
        </is>
      </c>
      <c r="H967" s="9" t="n">
        <v>619031.79</v>
      </c>
      <c r="I967" s="9" t="n">
        <v>871580.49</v>
      </c>
      <c r="J967" s="10" t="n">
        <v>0</v>
      </c>
      <c r="K967" s="8" t="n">
        <v>0</v>
      </c>
      <c r="L967" s="8" t="n">
        <v>1</v>
      </c>
      <c r="M967" s="9" t="n">
        <v>619031.79</v>
      </c>
      <c r="N967" s="9" t="n">
        <v>252548.69</v>
      </c>
      <c r="O967" s="9" t="n">
        <v>-0.01</v>
      </c>
      <c r="P967" s="8" t="n">
        <v>1</v>
      </c>
      <c r="Q967" s="8" t="n">
        <v>0</v>
      </c>
    </row>
    <row r="968">
      <c r="A968" s="8" t="n">
        <v>140</v>
      </c>
      <c r="B968" s="8" t="inlineStr">
        <is>
          <t>CASH_IN</t>
        </is>
      </c>
      <c r="C968" s="9" t="n">
        <v>296722.96</v>
      </c>
      <c r="D968" s="8" t="inlineStr">
        <is>
          <t>C454221578</t>
        </is>
      </c>
      <c r="E968" s="9" t="n">
        <v>10668386.79</v>
      </c>
      <c r="F968" s="9" t="n">
        <v>10965109.75</v>
      </c>
      <c r="G968" s="8" t="inlineStr">
        <is>
          <t>C550738623</t>
        </is>
      </c>
      <c r="H968" s="9" t="n">
        <v>1386371.23</v>
      </c>
      <c r="I968" s="9" t="n">
        <v>1089648.28</v>
      </c>
      <c r="J968" s="10" t="n">
        <v>0</v>
      </c>
      <c r="K968" s="8" t="n">
        <v>0</v>
      </c>
      <c r="L968" s="8" t="n">
        <v>0</v>
      </c>
      <c r="M968" s="9" t="n">
        <v>9282015.560000001</v>
      </c>
      <c r="N968" s="9" t="n">
        <v>593445.92</v>
      </c>
      <c r="O968" s="9" t="n">
        <v>593445.91</v>
      </c>
      <c r="P968" s="8" t="n">
        <v>1</v>
      </c>
      <c r="Q968" s="8" t="n">
        <v>0</v>
      </c>
    </row>
    <row r="969">
      <c r="A969" s="8" t="n">
        <v>185</v>
      </c>
      <c r="B969" s="8" t="inlineStr">
        <is>
          <t>PAYMENT</t>
        </is>
      </c>
      <c r="C969" s="9" t="n">
        <v>640.55</v>
      </c>
      <c r="D969" s="8" t="inlineStr">
        <is>
          <t>C606414835</t>
        </is>
      </c>
      <c r="E969" s="9" t="n">
        <v>0</v>
      </c>
      <c r="F969" s="9" t="n">
        <v>0</v>
      </c>
      <c r="G969" s="8" t="inlineStr">
        <is>
          <t>M1744236530</t>
        </is>
      </c>
      <c r="H969" s="9" t="n">
        <v>0</v>
      </c>
      <c r="I969" s="9" t="n">
        <v>0</v>
      </c>
      <c r="J969" s="10" t="n">
        <v>0</v>
      </c>
      <c r="K969" s="8" t="n">
        <v>1</v>
      </c>
      <c r="L969" s="8" t="n">
        <v>0</v>
      </c>
      <c r="M969" s="9" t="n">
        <v>0</v>
      </c>
      <c r="N969" s="9" t="n">
        <v>640.55</v>
      </c>
      <c r="O969" s="9" t="n">
        <v>640.55</v>
      </c>
      <c r="P969" s="8" t="n">
        <v>0</v>
      </c>
      <c r="Q969" s="8" t="n">
        <v>0</v>
      </c>
    </row>
    <row r="970">
      <c r="A970" s="8" t="n">
        <v>184</v>
      </c>
      <c r="B970" s="8" t="inlineStr">
        <is>
          <t>TRANSFER</t>
        </is>
      </c>
      <c r="C970" s="9" t="n">
        <v>283239.98</v>
      </c>
      <c r="D970" s="8" t="inlineStr">
        <is>
          <t>C640029394</t>
        </is>
      </c>
      <c r="E970" s="9" t="n">
        <v>5184</v>
      </c>
      <c r="F970" s="9" t="n">
        <v>0</v>
      </c>
      <c r="G970" s="8" t="inlineStr">
        <is>
          <t>C251524222</t>
        </is>
      </c>
      <c r="H970" s="9" t="n">
        <v>0</v>
      </c>
      <c r="I970" s="9" t="n">
        <v>283239.98</v>
      </c>
      <c r="J970" s="10" t="n">
        <v>0</v>
      </c>
      <c r="K970" s="8" t="n">
        <v>0</v>
      </c>
      <c r="L970" s="8" t="n">
        <v>1</v>
      </c>
      <c r="M970" s="9" t="n">
        <v>5184</v>
      </c>
      <c r="N970" s="9" t="n">
        <v>278055.98</v>
      </c>
      <c r="O970" s="9" t="n">
        <v>0</v>
      </c>
      <c r="P970" s="8" t="n">
        <v>1</v>
      </c>
      <c r="Q970" s="8" t="n">
        <v>0</v>
      </c>
    </row>
    <row r="971">
      <c r="A971" s="8" t="n">
        <v>353</v>
      </c>
      <c r="B971" s="8" t="inlineStr">
        <is>
          <t>TRANSFER</t>
        </is>
      </c>
      <c r="C971" s="9" t="n">
        <v>1650571.63</v>
      </c>
      <c r="D971" s="8" t="inlineStr">
        <is>
          <t>C1703118270</t>
        </is>
      </c>
      <c r="E971" s="9" t="n">
        <v>0</v>
      </c>
      <c r="F971" s="9" t="n">
        <v>0</v>
      </c>
      <c r="G971" s="8" t="inlineStr">
        <is>
          <t>C873903397</t>
        </is>
      </c>
      <c r="H971" s="9" t="n">
        <v>3608601.4</v>
      </c>
      <c r="I971" s="9" t="n">
        <v>5259173.03</v>
      </c>
      <c r="J971" s="10" t="n">
        <v>0</v>
      </c>
      <c r="K971" s="8" t="n">
        <v>0</v>
      </c>
      <c r="L971" s="8" t="n">
        <v>1</v>
      </c>
      <c r="M971" s="9" t="n">
        <v>3608601.4</v>
      </c>
      <c r="N971" s="9" t="n">
        <v>1650571.63</v>
      </c>
      <c r="O971" s="9" t="n">
        <v>-0</v>
      </c>
      <c r="P971" s="8" t="n">
        <v>1</v>
      </c>
      <c r="Q971" s="8" t="n">
        <v>0</v>
      </c>
    </row>
    <row r="972">
      <c r="A972" s="8" t="n">
        <v>387</v>
      </c>
      <c r="B972" s="8" t="inlineStr">
        <is>
          <t>TRANSFER</t>
        </is>
      </c>
      <c r="C972" s="9" t="n">
        <v>245970.86</v>
      </c>
      <c r="D972" s="8" t="inlineStr">
        <is>
          <t>C174478461</t>
        </is>
      </c>
      <c r="E972" s="9" t="n">
        <v>245970.86</v>
      </c>
      <c r="F972" s="9" t="n">
        <v>0</v>
      </c>
      <c r="G972" s="8" t="inlineStr">
        <is>
          <t>C1779281480</t>
        </is>
      </c>
      <c r="H972" s="9" t="n">
        <v>0</v>
      </c>
      <c r="I972" s="9" t="n">
        <v>0</v>
      </c>
      <c r="J972" s="11" t="n">
        <v>1</v>
      </c>
      <c r="K972" s="8" t="n">
        <v>0</v>
      </c>
      <c r="L972" s="8" t="n">
        <v>1</v>
      </c>
      <c r="M972" s="9" t="n">
        <v>245970.86</v>
      </c>
      <c r="N972" s="9" t="n">
        <v>0</v>
      </c>
      <c r="O972" s="9" t="n">
        <v>245970.86</v>
      </c>
      <c r="P972" s="8" t="n">
        <v>1</v>
      </c>
      <c r="Q972" s="8" t="n">
        <v>1</v>
      </c>
    </row>
    <row r="973">
      <c r="A973" s="8" t="n">
        <v>251</v>
      </c>
      <c r="B973" s="8" t="inlineStr">
        <is>
          <t>PAYMENT</t>
        </is>
      </c>
      <c r="C973" s="9" t="n">
        <v>50715.04</v>
      </c>
      <c r="D973" s="8" t="inlineStr">
        <is>
          <t>C882837893</t>
        </is>
      </c>
      <c r="E973" s="9" t="n">
        <v>9587</v>
      </c>
      <c r="F973" s="9" t="n">
        <v>0</v>
      </c>
      <c r="G973" s="8" t="inlineStr">
        <is>
          <t>M828106265</t>
        </is>
      </c>
      <c r="H973" s="9" t="n">
        <v>0</v>
      </c>
      <c r="I973" s="9" t="n">
        <v>0</v>
      </c>
      <c r="J973" s="10" t="n">
        <v>0</v>
      </c>
      <c r="K973" s="8" t="n">
        <v>1</v>
      </c>
      <c r="L973" s="8" t="n">
        <v>0</v>
      </c>
      <c r="M973" s="9" t="n">
        <v>9587</v>
      </c>
      <c r="N973" s="9" t="n">
        <v>41128.04</v>
      </c>
      <c r="O973" s="9" t="n">
        <v>50715.04</v>
      </c>
      <c r="P973" s="8" t="n">
        <v>0</v>
      </c>
      <c r="Q973" s="8" t="n">
        <v>0</v>
      </c>
    </row>
    <row r="974">
      <c r="A974" s="8" t="n">
        <v>45</v>
      </c>
      <c r="B974" s="8" t="inlineStr">
        <is>
          <t>CASH_IN</t>
        </is>
      </c>
      <c r="C974" s="9" t="n">
        <v>250665.73</v>
      </c>
      <c r="D974" s="8" t="inlineStr">
        <is>
          <t>C885603134</t>
        </is>
      </c>
      <c r="E974" s="9" t="n">
        <v>743</v>
      </c>
      <c r="F974" s="9" t="n">
        <v>251408.73</v>
      </c>
      <c r="G974" s="8" t="inlineStr">
        <is>
          <t>C1822551746</t>
        </is>
      </c>
      <c r="H974" s="9" t="n">
        <v>0</v>
      </c>
      <c r="I974" s="9" t="n">
        <v>0</v>
      </c>
      <c r="J974" s="10" t="n">
        <v>0</v>
      </c>
      <c r="K974" s="8" t="n">
        <v>0</v>
      </c>
      <c r="L974" s="8" t="n">
        <v>0</v>
      </c>
      <c r="M974" s="9" t="n">
        <v>743</v>
      </c>
      <c r="N974" s="9" t="n">
        <v>501331.46</v>
      </c>
      <c r="O974" s="9" t="n">
        <v>250665.73</v>
      </c>
      <c r="P974" s="8" t="n">
        <v>1</v>
      </c>
      <c r="Q974" s="8" t="n">
        <v>0</v>
      </c>
    </row>
    <row r="975">
      <c r="A975" s="8" t="n">
        <v>16</v>
      </c>
      <c r="B975" s="8" t="inlineStr">
        <is>
          <t>CASH_OUT</t>
        </is>
      </c>
      <c r="C975" s="9" t="n">
        <v>4114.45</v>
      </c>
      <c r="D975" s="8" t="inlineStr">
        <is>
          <t>C1594755967</t>
        </is>
      </c>
      <c r="E975" s="9" t="n">
        <v>0</v>
      </c>
      <c r="F975" s="9" t="n">
        <v>0</v>
      </c>
      <c r="G975" s="8" t="inlineStr">
        <is>
          <t>C42158278</t>
        </is>
      </c>
      <c r="H975" s="9" t="n">
        <v>4044586.39</v>
      </c>
      <c r="I975" s="9" t="n">
        <v>4048700.84</v>
      </c>
      <c r="J975" s="10" t="n">
        <v>0</v>
      </c>
      <c r="K975" s="8" t="n">
        <v>0</v>
      </c>
      <c r="L975" s="8" t="n">
        <v>1</v>
      </c>
      <c r="M975" s="9" t="n">
        <v>4044586.39</v>
      </c>
      <c r="N975" s="9" t="n">
        <v>4114.45</v>
      </c>
      <c r="O975" s="9" t="n">
        <v>0</v>
      </c>
      <c r="P975" s="8" t="n">
        <v>1</v>
      </c>
      <c r="Q975" s="8" t="n">
        <v>0</v>
      </c>
    </row>
    <row r="976">
      <c r="A976" s="8" t="n">
        <v>234</v>
      </c>
      <c r="B976" s="8" t="inlineStr">
        <is>
          <t>TRANSFER</t>
        </is>
      </c>
      <c r="C976" s="9" t="n">
        <v>470922.15</v>
      </c>
      <c r="D976" s="8" t="inlineStr">
        <is>
          <t>C386926753</t>
        </is>
      </c>
      <c r="E976" s="9" t="n">
        <v>470922.15</v>
      </c>
      <c r="F976" s="9" t="n">
        <v>0</v>
      </c>
      <c r="G976" s="8" t="inlineStr">
        <is>
          <t>C527524225</t>
        </is>
      </c>
      <c r="H976" s="9" t="n">
        <v>0</v>
      </c>
      <c r="I976" s="9" t="n">
        <v>0</v>
      </c>
      <c r="J976" s="11" t="n">
        <v>1</v>
      </c>
      <c r="K976" s="8" t="n">
        <v>0</v>
      </c>
      <c r="L976" s="8" t="n">
        <v>1</v>
      </c>
      <c r="M976" s="9" t="n">
        <v>470922.15</v>
      </c>
      <c r="N976" s="9" t="n">
        <v>0</v>
      </c>
      <c r="O976" s="9" t="n">
        <v>470922.15</v>
      </c>
      <c r="P976" s="8" t="n">
        <v>1</v>
      </c>
      <c r="Q976" s="8" t="n">
        <v>1</v>
      </c>
    </row>
    <row r="977">
      <c r="A977" s="8" t="n">
        <v>163</v>
      </c>
      <c r="B977" s="8" t="inlineStr">
        <is>
          <t>CASH_IN</t>
        </is>
      </c>
      <c r="C977" s="9" t="n">
        <v>24899.62</v>
      </c>
      <c r="D977" s="8" t="inlineStr">
        <is>
          <t>C887120702</t>
        </is>
      </c>
      <c r="E977" s="9" t="n">
        <v>11454</v>
      </c>
      <c r="F977" s="9" t="n">
        <v>36353.62</v>
      </c>
      <c r="G977" s="8" t="inlineStr">
        <is>
          <t>C680392303</t>
        </is>
      </c>
      <c r="H977" s="9" t="n">
        <v>170470.92</v>
      </c>
      <c r="I977" s="9" t="n">
        <v>145571.29</v>
      </c>
      <c r="J977" s="10" t="n">
        <v>0</v>
      </c>
      <c r="K977" s="8" t="n">
        <v>0</v>
      </c>
      <c r="L977" s="8" t="n">
        <v>0</v>
      </c>
      <c r="M977" s="9" t="n">
        <v>159016.92</v>
      </c>
      <c r="N977" s="9" t="n">
        <v>49799.24</v>
      </c>
      <c r="O977" s="9" t="n">
        <v>49799.25</v>
      </c>
      <c r="P977" s="8" t="n">
        <v>1</v>
      </c>
      <c r="Q977" s="8" t="n">
        <v>0</v>
      </c>
    </row>
    <row r="978">
      <c r="A978" s="8" t="n">
        <v>180</v>
      </c>
      <c r="B978" s="8" t="inlineStr">
        <is>
          <t>DEBIT</t>
        </is>
      </c>
      <c r="C978" s="9" t="n">
        <v>1159.72</v>
      </c>
      <c r="D978" s="8" t="inlineStr">
        <is>
          <t>C281172583</t>
        </is>
      </c>
      <c r="E978" s="9" t="n">
        <v>29816</v>
      </c>
      <c r="F978" s="9" t="n">
        <v>28656.28</v>
      </c>
      <c r="G978" s="8" t="inlineStr">
        <is>
          <t>C1613252151</t>
        </is>
      </c>
      <c r="H978" s="9" t="n">
        <v>1384218.12</v>
      </c>
      <c r="I978" s="9" t="n">
        <v>1385377.85</v>
      </c>
      <c r="J978" s="10" t="n">
        <v>0</v>
      </c>
      <c r="K978" s="8" t="n">
        <v>1</v>
      </c>
      <c r="L978" s="8" t="n">
        <v>0</v>
      </c>
      <c r="M978" s="9" t="n">
        <v>1354402.12</v>
      </c>
      <c r="N978" s="9" t="n">
        <v>0</v>
      </c>
      <c r="O978" s="9" t="n">
        <v>-0.01</v>
      </c>
      <c r="P978" s="8" t="n">
        <v>1</v>
      </c>
      <c r="Q978" s="8" t="n">
        <v>1</v>
      </c>
    </row>
    <row r="979">
      <c r="A979" s="8" t="n">
        <v>250</v>
      </c>
      <c r="B979" s="8" t="inlineStr">
        <is>
          <t>CASH_IN</t>
        </is>
      </c>
      <c r="C979" s="9" t="n">
        <v>79039.89999999999</v>
      </c>
      <c r="D979" s="8" t="inlineStr">
        <is>
          <t>C218940017</t>
        </is>
      </c>
      <c r="E979" s="9" t="n">
        <v>30657335.09</v>
      </c>
      <c r="F979" s="9" t="n">
        <v>30736374.98</v>
      </c>
      <c r="G979" s="8" t="inlineStr">
        <is>
          <t>C1948671533</t>
        </is>
      </c>
      <c r="H979" s="9" t="n">
        <v>237263.41</v>
      </c>
      <c r="I979" s="9" t="n">
        <v>158223.52</v>
      </c>
      <c r="J979" s="10" t="n">
        <v>0</v>
      </c>
      <c r="K979" s="8" t="n">
        <v>0</v>
      </c>
      <c r="L979" s="8" t="n">
        <v>0</v>
      </c>
      <c r="M979" s="9" t="n">
        <v>30420071.68</v>
      </c>
      <c r="N979" s="9" t="n">
        <v>158079.79</v>
      </c>
      <c r="O979" s="9" t="n">
        <v>158079.79</v>
      </c>
      <c r="P979" s="8" t="n">
        <v>1</v>
      </c>
      <c r="Q979" s="8" t="n">
        <v>0</v>
      </c>
    </row>
    <row r="980">
      <c r="A980" s="8" t="n">
        <v>363</v>
      </c>
      <c r="B980" s="8" t="inlineStr">
        <is>
          <t>CASH_OUT</t>
        </is>
      </c>
      <c r="C980" s="9" t="n">
        <v>1715635.41</v>
      </c>
      <c r="D980" s="8" t="inlineStr">
        <is>
          <t>C356781229</t>
        </is>
      </c>
      <c r="E980" s="9" t="n">
        <v>1715635.41</v>
      </c>
      <c r="F980" s="9" t="n">
        <v>0</v>
      </c>
      <c r="G980" s="8" t="inlineStr">
        <is>
          <t>C159373411</t>
        </is>
      </c>
      <c r="H980" s="9" t="n">
        <v>0</v>
      </c>
      <c r="I980" s="9" t="n">
        <v>1715635.41</v>
      </c>
      <c r="J980" s="11" t="n">
        <v>1</v>
      </c>
      <c r="K980" s="8" t="n">
        <v>0</v>
      </c>
      <c r="L980" s="8" t="n">
        <v>1</v>
      </c>
      <c r="M980" s="9" t="n">
        <v>1715635.41</v>
      </c>
      <c r="N980" s="9" t="n">
        <v>0</v>
      </c>
      <c r="O980" s="9" t="n">
        <v>0</v>
      </c>
      <c r="P980" s="8" t="n">
        <v>1</v>
      </c>
      <c r="Q980" s="8" t="n">
        <v>1</v>
      </c>
    </row>
    <row r="981">
      <c r="A981" s="8" t="n">
        <v>659</v>
      </c>
      <c r="B981" s="8" t="inlineStr">
        <is>
          <t>TRANSFER</t>
        </is>
      </c>
      <c r="C981" s="9" t="n">
        <v>50577.26</v>
      </c>
      <c r="D981" s="8" t="inlineStr">
        <is>
          <t>C1316214248</t>
        </is>
      </c>
      <c r="E981" s="9" t="n">
        <v>50577.26</v>
      </c>
      <c r="F981" s="9" t="n">
        <v>0</v>
      </c>
      <c r="G981" s="8" t="inlineStr">
        <is>
          <t>C258297830</t>
        </is>
      </c>
      <c r="H981" s="9" t="n">
        <v>0</v>
      </c>
      <c r="I981" s="9" t="n">
        <v>0</v>
      </c>
      <c r="J981" s="11" t="n">
        <v>1</v>
      </c>
      <c r="K981" s="8" t="n">
        <v>0</v>
      </c>
      <c r="L981" s="8" t="n">
        <v>1</v>
      </c>
      <c r="M981" s="9" t="n">
        <v>50577.26</v>
      </c>
      <c r="N981" s="9" t="n">
        <v>0</v>
      </c>
      <c r="O981" s="9" t="n">
        <v>50577.26</v>
      </c>
      <c r="P981" s="8" t="n">
        <v>1</v>
      </c>
      <c r="Q981" s="8" t="n">
        <v>1</v>
      </c>
    </row>
    <row r="982">
      <c r="A982" s="8" t="n">
        <v>19</v>
      </c>
      <c r="B982" s="8" t="inlineStr">
        <is>
          <t>CASH_IN</t>
        </is>
      </c>
      <c r="C982" s="9" t="n">
        <v>51303.01</v>
      </c>
      <c r="D982" s="8" t="inlineStr">
        <is>
          <t>C711197549</t>
        </is>
      </c>
      <c r="E982" s="9" t="n">
        <v>330169.41</v>
      </c>
      <c r="F982" s="9" t="n">
        <v>381472.41</v>
      </c>
      <c r="G982" s="8" t="inlineStr">
        <is>
          <t>C1330123962</t>
        </is>
      </c>
      <c r="H982" s="9" t="n">
        <v>838693.72</v>
      </c>
      <c r="I982" s="9" t="n">
        <v>596827.85</v>
      </c>
      <c r="J982" s="10" t="n">
        <v>0</v>
      </c>
      <c r="K982" s="8" t="n">
        <v>0</v>
      </c>
      <c r="L982" s="8" t="n">
        <v>0</v>
      </c>
      <c r="M982" s="9" t="n">
        <v>508524.31</v>
      </c>
      <c r="N982" s="9" t="n">
        <v>102606.01</v>
      </c>
      <c r="O982" s="9" t="n">
        <v>293168.88</v>
      </c>
      <c r="P982" s="8" t="n">
        <v>1</v>
      </c>
      <c r="Q982" s="8" t="n">
        <v>0</v>
      </c>
    </row>
    <row r="983">
      <c r="A983" s="8" t="n">
        <v>302</v>
      </c>
      <c r="B983" s="8" t="inlineStr">
        <is>
          <t>CASH_IN</t>
        </is>
      </c>
      <c r="C983" s="9" t="n">
        <v>95129.89</v>
      </c>
      <c r="D983" s="8" t="inlineStr">
        <is>
          <t>C1191305935</t>
        </is>
      </c>
      <c r="E983" s="9" t="n">
        <v>17454642.39</v>
      </c>
      <c r="F983" s="9" t="n">
        <v>17549772.29</v>
      </c>
      <c r="G983" s="8" t="inlineStr">
        <is>
          <t>C49122334</t>
        </is>
      </c>
      <c r="H983" s="9" t="n">
        <v>2859781.01</v>
      </c>
      <c r="I983" s="9" t="n">
        <v>2764651.12</v>
      </c>
      <c r="J983" s="10" t="n">
        <v>0</v>
      </c>
      <c r="K983" s="8" t="n">
        <v>0</v>
      </c>
      <c r="L983" s="8" t="n">
        <v>0</v>
      </c>
      <c r="M983" s="9" t="n">
        <v>14594861.38</v>
      </c>
      <c r="N983" s="9" t="n">
        <v>190259.79</v>
      </c>
      <c r="O983" s="9" t="n">
        <v>190259.78</v>
      </c>
      <c r="P983" s="8" t="n">
        <v>1</v>
      </c>
      <c r="Q983" s="8" t="n">
        <v>0</v>
      </c>
    </row>
    <row r="984">
      <c r="A984" s="8" t="n">
        <v>125</v>
      </c>
      <c r="B984" s="8" t="inlineStr">
        <is>
          <t>CASH_OUT</t>
        </is>
      </c>
      <c r="C984" s="9" t="n">
        <v>621569.61</v>
      </c>
      <c r="D984" s="8" t="inlineStr">
        <is>
          <t>C2048762719</t>
        </is>
      </c>
      <c r="E984" s="9" t="n">
        <v>621569.61</v>
      </c>
      <c r="F984" s="9" t="n">
        <v>0</v>
      </c>
      <c r="G984" s="8" t="inlineStr">
        <is>
          <t>C177739457</t>
        </is>
      </c>
      <c r="H984" s="9" t="n">
        <v>270256.82</v>
      </c>
      <c r="I984" s="9" t="n">
        <v>891826.4300000001</v>
      </c>
      <c r="J984" s="11" t="n">
        <v>1</v>
      </c>
      <c r="K984" s="8" t="n">
        <v>0</v>
      </c>
      <c r="L984" s="8" t="n">
        <v>1</v>
      </c>
      <c r="M984" s="9" t="n">
        <v>351312.79</v>
      </c>
      <c r="N984" s="9" t="n">
        <v>0</v>
      </c>
      <c r="O984" s="9" t="n">
        <v>-0</v>
      </c>
      <c r="P984" s="8" t="n">
        <v>1</v>
      </c>
      <c r="Q984" s="8" t="n">
        <v>1</v>
      </c>
    </row>
    <row r="985">
      <c r="A985" s="8" t="n">
        <v>374</v>
      </c>
      <c r="B985" s="8" t="inlineStr">
        <is>
          <t>CASH_OUT</t>
        </is>
      </c>
      <c r="C985" s="9" t="n">
        <v>156000.28</v>
      </c>
      <c r="D985" s="8" t="inlineStr">
        <is>
          <t>C346725476</t>
        </is>
      </c>
      <c r="E985" s="9" t="n">
        <v>0</v>
      </c>
      <c r="F985" s="9" t="n">
        <v>0</v>
      </c>
      <c r="G985" s="8" t="inlineStr">
        <is>
          <t>C896978560</t>
        </is>
      </c>
      <c r="H985" s="9" t="n">
        <v>2935696.41</v>
      </c>
      <c r="I985" s="9" t="n">
        <v>3091696.69</v>
      </c>
      <c r="J985" s="10" t="n">
        <v>0</v>
      </c>
      <c r="K985" s="8" t="n">
        <v>0</v>
      </c>
      <c r="L985" s="8" t="n">
        <v>1</v>
      </c>
      <c r="M985" s="9" t="n">
        <v>2935696.41</v>
      </c>
      <c r="N985" s="9" t="n">
        <v>156000.28</v>
      </c>
      <c r="O985" s="9" t="n">
        <v>0</v>
      </c>
      <c r="P985" s="8" t="n">
        <v>1</v>
      </c>
      <c r="Q985" s="8" t="n">
        <v>0</v>
      </c>
    </row>
    <row r="986">
      <c r="A986" s="8" t="n">
        <v>275</v>
      </c>
      <c r="B986" s="8" t="inlineStr">
        <is>
          <t>CASH_OUT</t>
        </is>
      </c>
      <c r="C986" s="9" t="n">
        <v>211496.63</v>
      </c>
      <c r="D986" s="8" t="inlineStr">
        <is>
          <t>C1761885111</t>
        </is>
      </c>
      <c r="E986" s="9" t="n">
        <v>30707</v>
      </c>
      <c r="F986" s="9" t="n">
        <v>0</v>
      </c>
      <c r="G986" s="8" t="inlineStr">
        <is>
          <t>C530152245</t>
        </is>
      </c>
      <c r="H986" s="9" t="n">
        <v>582916.8199999999</v>
      </c>
      <c r="I986" s="9" t="n">
        <v>794413.45</v>
      </c>
      <c r="J986" s="10" t="n">
        <v>0</v>
      </c>
      <c r="K986" s="8" t="n">
        <v>0</v>
      </c>
      <c r="L986" s="8" t="n">
        <v>1</v>
      </c>
      <c r="M986" s="9" t="n">
        <v>552209.8199999999</v>
      </c>
      <c r="N986" s="9" t="n">
        <v>180789.63</v>
      </c>
      <c r="O986" s="9" t="n">
        <v>0</v>
      </c>
      <c r="P986" s="8" t="n">
        <v>1</v>
      </c>
      <c r="Q986" s="8" t="n">
        <v>0</v>
      </c>
    </row>
    <row r="987">
      <c r="A987" s="8" t="n">
        <v>323</v>
      </c>
      <c r="B987" s="8" t="inlineStr">
        <is>
          <t>PAYMENT</t>
        </is>
      </c>
      <c r="C987" s="9" t="n">
        <v>742.0599999999999</v>
      </c>
      <c r="D987" s="8" t="inlineStr">
        <is>
          <t>C1002980604</t>
        </is>
      </c>
      <c r="E987" s="9" t="n">
        <v>0</v>
      </c>
      <c r="F987" s="9" t="n">
        <v>0</v>
      </c>
      <c r="G987" s="8" t="inlineStr">
        <is>
          <t>M1797822531</t>
        </is>
      </c>
      <c r="H987" s="9" t="n">
        <v>0</v>
      </c>
      <c r="I987" s="9" t="n">
        <v>0</v>
      </c>
      <c r="J987" s="10" t="n">
        <v>0</v>
      </c>
      <c r="K987" s="8" t="n">
        <v>1</v>
      </c>
      <c r="L987" s="8" t="n">
        <v>0</v>
      </c>
      <c r="M987" s="9" t="n">
        <v>0</v>
      </c>
      <c r="N987" s="9" t="n">
        <v>742.0599999999999</v>
      </c>
      <c r="O987" s="9" t="n">
        <v>742.0599999999999</v>
      </c>
      <c r="P987" s="8" t="n">
        <v>0</v>
      </c>
      <c r="Q987" s="8" t="n">
        <v>0</v>
      </c>
    </row>
    <row r="988">
      <c r="A988" s="8" t="n">
        <v>209</v>
      </c>
      <c r="B988" s="8" t="inlineStr">
        <is>
          <t>CASH_OUT</t>
        </is>
      </c>
      <c r="C988" s="9" t="n">
        <v>329156.43</v>
      </c>
      <c r="D988" s="8" t="inlineStr">
        <is>
          <t>C665359708</t>
        </is>
      </c>
      <c r="E988" s="9" t="n">
        <v>329156.43</v>
      </c>
      <c r="F988" s="9" t="n">
        <v>0</v>
      </c>
      <c r="G988" s="8" t="inlineStr">
        <is>
          <t>C1324874027</t>
        </is>
      </c>
      <c r="H988" s="9" t="n">
        <v>0</v>
      </c>
      <c r="I988" s="9" t="n">
        <v>329156.43</v>
      </c>
      <c r="J988" s="11" t="n">
        <v>1</v>
      </c>
      <c r="K988" s="8" t="n">
        <v>0</v>
      </c>
      <c r="L988" s="8" t="n">
        <v>1</v>
      </c>
      <c r="M988" s="9" t="n">
        <v>329156.43</v>
      </c>
      <c r="N988" s="9" t="n">
        <v>0</v>
      </c>
      <c r="O988" s="9" t="n">
        <v>0</v>
      </c>
      <c r="P988" s="8" t="n">
        <v>1</v>
      </c>
      <c r="Q988" s="8" t="n">
        <v>1</v>
      </c>
    </row>
    <row r="989">
      <c r="A989" s="8" t="n">
        <v>305</v>
      </c>
      <c r="B989" s="8" t="inlineStr">
        <is>
          <t>CASH_IN</t>
        </is>
      </c>
      <c r="C989" s="9" t="n">
        <v>25296.32</v>
      </c>
      <c r="D989" s="8" t="inlineStr">
        <is>
          <t>C1395337546</t>
        </is>
      </c>
      <c r="E989" s="9" t="n">
        <v>6217</v>
      </c>
      <c r="F989" s="9" t="n">
        <v>31513.32</v>
      </c>
      <c r="G989" s="8" t="inlineStr">
        <is>
          <t>C1608830340</t>
        </is>
      </c>
      <c r="H989" s="9" t="n">
        <v>193629.35</v>
      </c>
      <c r="I989" s="9" t="n">
        <v>168333.03</v>
      </c>
      <c r="J989" s="10" t="n">
        <v>0</v>
      </c>
      <c r="K989" s="8" t="n">
        <v>0</v>
      </c>
      <c r="L989" s="8" t="n">
        <v>0</v>
      </c>
      <c r="M989" s="9" t="n">
        <v>187412.35</v>
      </c>
      <c r="N989" s="9" t="n">
        <v>50592.64</v>
      </c>
      <c r="O989" s="9" t="n">
        <v>50592.64</v>
      </c>
      <c r="P989" s="8" t="n">
        <v>1</v>
      </c>
      <c r="Q989" s="8" t="n">
        <v>0</v>
      </c>
    </row>
    <row r="990">
      <c r="A990" s="8" t="n">
        <v>520</v>
      </c>
      <c r="B990" s="8" t="inlineStr">
        <is>
          <t>CASH_OUT</t>
        </is>
      </c>
      <c r="C990" s="9" t="n">
        <v>3283695.97</v>
      </c>
      <c r="D990" s="8" t="inlineStr">
        <is>
          <t>C547834649</t>
        </is>
      </c>
      <c r="E990" s="9" t="n">
        <v>3283695.97</v>
      </c>
      <c r="F990" s="9" t="n">
        <v>0</v>
      </c>
      <c r="G990" s="8" t="inlineStr">
        <is>
          <t>C1618701019</t>
        </is>
      </c>
      <c r="H990" s="9" t="n">
        <v>154559.87</v>
      </c>
      <c r="I990" s="9" t="n">
        <v>3438255.84</v>
      </c>
      <c r="J990" s="11" t="n">
        <v>1</v>
      </c>
      <c r="K990" s="8" t="n">
        <v>0</v>
      </c>
      <c r="L990" s="8" t="n">
        <v>1</v>
      </c>
      <c r="M990" s="9" t="n">
        <v>3129136.1</v>
      </c>
      <c r="N990" s="9" t="n">
        <v>0</v>
      </c>
      <c r="O990" s="9" t="n">
        <v>0</v>
      </c>
      <c r="P990" s="8" t="n">
        <v>1</v>
      </c>
      <c r="Q990" s="8" t="n">
        <v>1</v>
      </c>
    </row>
    <row r="991">
      <c r="A991" s="8" t="n">
        <v>309</v>
      </c>
      <c r="B991" s="8" t="inlineStr">
        <is>
          <t>PAYMENT</t>
        </is>
      </c>
      <c r="C991" s="9" t="n">
        <v>3538.2</v>
      </c>
      <c r="D991" s="8" t="inlineStr">
        <is>
          <t>C2129686508</t>
        </is>
      </c>
      <c r="E991" s="9" t="n">
        <v>11594</v>
      </c>
      <c r="F991" s="9" t="n">
        <v>8055.8</v>
      </c>
      <c r="G991" s="8" t="inlineStr">
        <is>
          <t>M523874055</t>
        </is>
      </c>
      <c r="H991" s="9" t="n">
        <v>0</v>
      </c>
      <c r="I991" s="9" t="n">
        <v>0</v>
      </c>
      <c r="J991" s="10" t="n">
        <v>0</v>
      </c>
      <c r="K991" s="8" t="n">
        <v>1</v>
      </c>
      <c r="L991" s="8" t="n">
        <v>0</v>
      </c>
      <c r="M991" s="9" t="n">
        <v>11594</v>
      </c>
      <c r="N991" s="9" t="n">
        <v>0</v>
      </c>
      <c r="O991" s="9" t="n">
        <v>3538.2</v>
      </c>
      <c r="P991" s="8" t="n">
        <v>0</v>
      </c>
      <c r="Q991" s="8" t="n">
        <v>1</v>
      </c>
    </row>
    <row r="992">
      <c r="A992" s="8" t="n">
        <v>40</v>
      </c>
      <c r="B992" s="8" t="inlineStr">
        <is>
          <t>CASH_OUT</t>
        </is>
      </c>
      <c r="C992" s="9" t="n">
        <v>140331.32</v>
      </c>
      <c r="D992" s="8" t="inlineStr">
        <is>
          <t>C1612475860</t>
        </is>
      </c>
      <c r="E992" s="9" t="n">
        <v>9484.219999999999</v>
      </c>
      <c r="F992" s="9" t="n">
        <v>0</v>
      </c>
      <c r="G992" s="8" t="inlineStr">
        <is>
          <t>C1316886622</t>
        </is>
      </c>
      <c r="H992" s="9" t="n">
        <v>467782.86</v>
      </c>
      <c r="I992" s="9" t="n">
        <v>608114.1800000001</v>
      </c>
      <c r="J992" s="10" t="n">
        <v>0</v>
      </c>
      <c r="K992" s="8" t="n">
        <v>0</v>
      </c>
      <c r="L992" s="8" t="n">
        <v>1</v>
      </c>
      <c r="M992" s="9" t="n">
        <v>458298.64</v>
      </c>
      <c r="N992" s="9" t="n">
        <v>130847.1</v>
      </c>
      <c r="O992" s="9" t="n">
        <v>-0</v>
      </c>
      <c r="P992" s="8" t="n">
        <v>1</v>
      </c>
      <c r="Q992" s="8" t="n">
        <v>0</v>
      </c>
    </row>
    <row r="993">
      <c r="A993" s="8" t="n">
        <v>324</v>
      </c>
      <c r="B993" s="8" t="inlineStr">
        <is>
          <t>CASH_OUT</t>
        </is>
      </c>
      <c r="C993" s="9" t="n">
        <v>115016.67</v>
      </c>
      <c r="D993" s="8" t="inlineStr">
        <is>
          <t>C1954869606</t>
        </is>
      </c>
      <c r="E993" s="9" t="n">
        <v>50263</v>
      </c>
      <c r="F993" s="9" t="n">
        <v>0</v>
      </c>
      <c r="G993" s="8" t="inlineStr">
        <is>
          <t>C1045077474</t>
        </is>
      </c>
      <c r="H993" s="9" t="n">
        <v>68853.33</v>
      </c>
      <c r="I993" s="9" t="n">
        <v>183869.99</v>
      </c>
      <c r="J993" s="10" t="n">
        <v>0</v>
      </c>
      <c r="K993" s="8" t="n">
        <v>0</v>
      </c>
      <c r="L993" s="8" t="n">
        <v>1</v>
      </c>
      <c r="M993" s="9" t="n">
        <v>18590.33</v>
      </c>
      <c r="N993" s="9" t="n">
        <v>64753.67</v>
      </c>
      <c r="O993" s="9" t="n">
        <v>0.01</v>
      </c>
      <c r="P993" s="8" t="n">
        <v>1</v>
      </c>
      <c r="Q993" s="8" t="n">
        <v>0</v>
      </c>
    </row>
    <row r="994">
      <c r="A994" s="8" t="n">
        <v>166</v>
      </c>
      <c r="B994" s="8" t="inlineStr">
        <is>
          <t>PAYMENT</t>
        </is>
      </c>
      <c r="C994" s="9" t="n">
        <v>6283.39</v>
      </c>
      <c r="D994" s="8" t="inlineStr">
        <is>
          <t>C183723951</t>
        </is>
      </c>
      <c r="E994" s="9" t="n">
        <v>7140</v>
      </c>
      <c r="F994" s="9" t="n">
        <v>856.61</v>
      </c>
      <c r="G994" s="8" t="inlineStr">
        <is>
          <t>M257038162</t>
        </is>
      </c>
      <c r="H994" s="9" t="n">
        <v>0</v>
      </c>
      <c r="I994" s="9" t="n">
        <v>0</v>
      </c>
      <c r="J994" s="10" t="n">
        <v>0</v>
      </c>
      <c r="K994" s="8" t="n">
        <v>1</v>
      </c>
      <c r="L994" s="8" t="n">
        <v>0</v>
      </c>
      <c r="M994" s="9" t="n">
        <v>7140</v>
      </c>
      <c r="N994" s="9" t="n">
        <v>0</v>
      </c>
      <c r="O994" s="9" t="n">
        <v>6283.39</v>
      </c>
      <c r="P994" s="8" t="n">
        <v>0</v>
      </c>
      <c r="Q994" s="8" t="n">
        <v>1</v>
      </c>
    </row>
    <row r="995">
      <c r="A995" s="8" t="n">
        <v>207</v>
      </c>
      <c r="B995" s="8" t="inlineStr">
        <is>
          <t>CASH_OUT</t>
        </is>
      </c>
      <c r="C995" s="9" t="n">
        <v>321933.54</v>
      </c>
      <c r="D995" s="8" t="inlineStr">
        <is>
          <t>C337198410</t>
        </is>
      </c>
      <c r="E995" s="9" t="n">
        <v>15895</v>
      </c>
      <c r="F995" s="9" t="n">
        <v>0</v>
      </c>
      <c r="G995" s="8" t="inlineStr">
        <is>
          <t>C2041843525</t>
        </is>
      </c>
      <c r="H995" s="9" t="n">
        <v>341108.49</v>
      </c>
      <c r="I995" s="9" t="n">
        <v>663042.03</v>
      </c>
      <c r="J995" s="10" t="n">
        <v>0</v>
      </c>
      <c r="K995" s="8" t="n">
        <v>0</v>
      </c>
      <c r="L995" s="8" t="n">
        <v>1</v>
      </c>
      <c r="M995" s="9" t="n">
        <v>325213.49</v>
      </c>
      <c r="N995" s="9" t="n">
        <v>306038.54</v>
      </c>
      <c r="O995" s="9" t="n">
        <v>0</v>
      </c>
      <c r="P995" s="8" t="n">
        <v>1</v>
      </c>
      <c r="Q995" s="8" t="n">
        <v>0</v>
      </c>
    </row>
    <row r="996">
      <c r="A996" s="8" t="n">
        <v>164</v>
      </c>
      <c r="B996" s="8" t="inlineStr">
        <is>
          <t>PAYMENT</t>
        </is>
      </c>
      <c r="C996" s="9" t="n">
        <v>5070.8</v>
      </c>
      <c r="D996" s="8" t="inlineStr">
        <is>
          <t>C1817910629</t>
        </is>
      </c>
      <c r="E996" s="9" t="n">
        <v>190</v>
      </c>
      <c r="F996" s="9" t="n">
        <v>0</v>
      </c>
      <c r="G996" s="8" t="inlineStr">
        <is>
          <t>M981339971</t>
        </is>
      </c>
      <c r="H996" s="9" t="n">
        <v>0</v>
      </c>
      <c r="I996" s="9" t="n">
        <v>0</v>
      </c>
      <c r="J996" s="10" t="n">
        <v>0</v>
      </c>
      <c r="K996" s="8" t="n">
        <v>1</v>
      </c>
      <c r="L996" s="8" t="n">
        <v>0</v>
      </c>
      <c r="M996" s="9" t="n">
        <v>190</v>
      </c>
      <c r="N996" s="9" t="n">
        <v>4880.8</v>
      </c>
      <c r="O996" s="9" t="n">
        <v>5070.8</v>
      </c>
      <c r="P996" s="8" t="n">
        <v>0</v>
      </c>
      <c r="Q996" s="8" t="n">
        <v>0</v>
      </c>
    </row>
    <row r="997">
      <c r="A997" s="8" t="n">
        <v>298</v>
      </c>
      <c r="B997" s="8" t="inlineStr">
        <is>
          <t>CASH_OUT</t>
        </is>
      </c>
      <c r="C997" s="9" t="n">
        <v>173833.78</v>
      </c>
      <c r="D997" s="8" t="inlineStr">
        <is>
          <t>C1112634506</t>
        </is>
      </c>
      <c r="E997" s="9" t="n">
        <v>16302</v>
      </c>
      <c r="F997" s="9" t="n">
        <v>0</v>
      </c>
      <c r="G997" s="8" t="inlineStr">
        <is>
          <t>C996800768</t>
        </is>
      </c>
      <c r="H997" s="9" t="n">
        <v>316909.31</v>
      </c>
      <c r="I997" s="9" t="n">
        <v>490743.09</v>
      </c>
      <c r="J997" s="10" t="n">
        <v>0</v>
      </c>
      <c r="K997" s="8" t="n">
        <v>0</v>
      </c>
      <c r="L997" s="8" t="n">
        <v>1</v>
      </c>
      <c r="M997" s="9" t="n">
        <v>300607.31</v>
      </c>
      <c r="N997" s="9" t="n">
        <v>157531.78</v>
      </c>
      <c r="O997" s="9" t="n">
        <v>-0</v>
      </c>
      <c r="P997" s="8" t="n">
        <v>1</v>
      </c>
      <c r="Q997" s="8" t="n">
        <v>0</v>
      </c>
    </row>
    <row r="998">
      <c r="A998" s="8" t="n">
        <v>58</v>
      </c>
      <c r="B998" s="8" t="inlineStr">
        <is>
          <t>TRANSFER</t>
        </is>
      </c>
      <c r="C998" s="9" t="n">
        <v>561948.38</v>
      </c>
      <c r="D998" s="8" t="inlineStr">
        <is>
          <t>C856217790</t>
        </is>
      </c>
      <c r="E998" s="9" t="n">
        <v>561948.38</v>
      </c>
      <c r="F998" s="9" t="n">
        <v>0</v>
      </c>
      <c r="G998" s="8" t="inlineStr">
        <is>
          <t>C1278181974</t>
        </is>
      </c>
      <c r="H998" s="9" t="n">
        <v>0</v>
      </c>
      <c r="I998" s="9" t="n">
        <v>0</v>
      </c>
      <c r="J998" s="11" t="n">
        <v>1</v>
      </c>
      <c r="K998" s="8" t="n">
        <v>0</v>
      </c>
      <c r="L998" s="8" t="n">
        <v>1</v>
      </c>
      <c r="M998" s="9" t="n">
        <v>561948.38</v>
      </c>
      <c r="N998" s="9" t="n">
        <v>0</v>
      </c>
      <c r="O998" s="9" t="n">
        <v>561948.38</v>
      </c>
      <c r="P998" s="8" t="n">
        <v>1</v>
      </c>
      <c r="Q998" s="8" t="n">
        <v>1</v>
      </c>
    </row>
    <row r="999">
      <c r="A999" s="8" t="n">
        <v>72</v>
      </c>
      <c r="B999" s="8" t="inlineStr">
        <is>
          <t>CASH_OUT</t>
        </is>
      </c>
      <c r="C999" s="9" t="n">
        <v>622235.3199999999</v>
      </c>
      <c r="D999" s="8" t="inlineStr">
        <is>
          <t>C615309889</t>
        </is>
      </c>
      <c r="E999" s="9" t="n">
        <v>622235.3199999999</v>
      </c>
      <c r="F999" s="9" t="n">
        <v>0</v>
      </c>
      <c r="G999" s="8" t="inlineStr">
        <is>
          <t>C755984599</t>
        </is>
      </c>
      <c r="H999" s="9" t="n">
        <v>3377968.96</v>
      </c>
      <c r="I999" s="9" t="n">
        <v>4000204.28</v>
      </c>
      <c r="J999" s="11" t="n">
        <v>1</v>
      </c>
      <c r="K999" s="8" t="n">
        <v>0</v>
      </c>
      <c r="L999" s="8" t="n">
        <v>1</v>
      </c>
      <c r="M999" s="9" t="n">
        <v>2755733.64</v>
      </c>
      <c r="N999" s="9" t="n">
        <v>0</v>
      </c>
      <c r="O999" s="9" t="n">
        <v>0</v>
      </c>
      <c r="P999" s="8" t="n">
        <v>1</v>
      </c>
      <c r="Q999" s="8" t="n">
        <v>1</v>
      </c>
    </row>
    <row r="1000">
      <c r="A1000" s="8" t="n">
        <v>178</v>
      </c>
      <c r="B1000" s="8" t="inlineStr">
        <is>
          <t>CASH_OUT</t>
        </is>
      </c>
      <c r="C1000" s="9" t="n">
        <v>119604.13</v>
      </c>
      <c r="D1000" s="8" t="inlineStr">
        <is>
          <t>C42162938</t>
        </is>
      </c>
      <c r="E1000" s="9" t="n">
        <v>30678</v>
      </c>
      <c r="F1000" s="9" t="n">
        <v>0</v>
      </c>
      <c r="G1000" s="8" t="inlineStr">
        <is>
          <t>C540527919</t>
        </is>
      </c>
      <c r="H1000" s="9" t="n">
        <v>22457787.17</v>
      </c>
      <c r="I1000" s="9" t="n">
        <v>22577391.3</v>
      </c>
      <c r="J1000" s="10" t="n">
        <v>0</v>
      </c>
      <c r="K1000" s="8" t="n">
        <v>0</v>
      </c>
      <c r="L1000" s="8" t="n">
        <v>1</v>
      </c>
      <c r="M1000" s="9" t="n">
        <v>22427109.17</v>
      </c>
      <c r="N1000" s="9" t="n">
        <v>88926.13</v>
      </c>
      <c r="O1000" s="9" t="n">
        <v>0</v>
      </c>
      <c r="P1000" s="8" t="n">
        <v>1</v>
      </c>
      <c r="Q1000" s="8" t="n">
        <v>0</v>
      </c>
    </row>
    <row r="1001">
      <c r="A1001" s="8" t="n">
        <v>84</v>
      </c>
      <c r="B1001" s="8" t="inlineStr">
        <is>
          <t>TRANSFER</t>
        </is>
      </c>
      <c r="C1001" s="9" t="n">
        <v>152331.26</v>
      </c>
      <c r="D1001" s="8" t="inlineStr">
        <is>
          <t>C397720555</t>
        </is>
      </c>
      <c r="E1001" s="9" t="n">
        <v>152331.26</v>
      </c>
      <c r="F1001" s="9" t="n">
        <v>0</v>
      </c>
      <c r="G1001" s="8" t="inlineStr">
        <is>
          <t>C1006668962</t>
        </is>
      </c>
      <c r="H1001" s="9" t="n">
        <v>0</v>
      </c>
      <c r="I1001" s="9" t="n">
        <v>0</v>
      </c>
      <c r="J1001" s="11" t="n">
        <v>1</v>
      </c>
      <c r="K1001" s="8" t="n">
        <v>0</v>
      </c>
      <c r="L1001" s="8" t="n">
        <v>1</v>
      </c>
      <c r="M1001" s="9" t="n">
        <v>152331.26</v>
      </c>
      <c r="N1001" s="9" t="n">
        <v>0</v>
      </c>
      <c r="O1001" s="9" t="n">
        <v>152331.26</v>
      </c>
      <c r="P1001" s="8" t="n">
        <v>1</v>
      </c>
      <c r="Q1001" s="8" t="n">
        <v>1</v>
      </c>
    </row>
    <row r="1003">
      <c r="A1003" s="12" t="inlineStr">
        <is>
          <t>Tip: Use the filter arrows in the header row to slice by type, isFraud, isMovement, isFullDrain, amount ranges, etc. This is one of the biggest advantages of a spreadsheet for exploratory fraud analysis.</t>
        </is>
      </c>
    </row>
  </sheetData>
  <autoFilter ref="A1:Q1001"/>
  <mergeCells count="1">
    <mergeCell ref="A1003:H100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FRAUD DETECTION DASHBOARD</t>
        </is>
      </c>
    </row>
    <row r="2">
      <c r="A2" s="12" t="inlineStr">
        <is>
          <t>All metrics below are formula-driven from the Transactions sheet and will update if the data changes.</t>
        </is>
      </c>
    </row>
    <row r="4">
      <c r="B4" s="13">
        <f>COUNTA(Transactions!A2:A1001)</f>
        <v/>
      </c>
      <c r="D4" s="13">
        <f>COUNTIF(Transactions!J:J,1)</f>
        <v/>
      </c>
      <c r="F4" s="14">
        <f>COUNTIF(Transactions!J:J,1)/COUNTA(Transactions!A2:A1001)</f>
        <v/>
      </c>
      <c r="H4" s="15">
        <f>AVERAGEIF(Transactions!J:J,1,Transactions!C:C)</f>
        <v/>
      </c>
    </row>
    <row r="5">
      <c r="B5" s="16" t="inlineStr">
        <is>
          <t>Total Transactions</t>
        </is>
      </c>
      <c r="D5" s="16" t="inlineStr">
        <is>
          <t>Fraud Cases</t>
        </is>
      </c>
      <c r="F5" s="16" t="inlineStr">
        <is>
          <t>Fraud Rate</t>
        </is>
      </c>
      <c r="H5" s="16" t="inlineStr">
        <is>
          <t>Avg Fraud Amount</t>
        </is>
      </c>
    </row>
    <row r="7">
      <c r="B7" s="17">
        <f>AVERAGEIF(Transactions!J:J,0,Transactions!C:C)</f>
        <v/>
      </c>
      <c r="D7" s="18">
        <f>COUNTIF(Transactions!Q:Q,1)</f>
        <v/>
      </c>
      <c r="F7" s="19">
        <f>COUNTIFS(Transactions!Q:Q,1,Transactions!J:J,1)/COUNTIF(Transactions!Q:Q,1)</f>
        <v/>
      </c>
    </row>
    <row r="8">
      <c r="B8" s="16" t="inlineStr">
        <is>
          <t>Avg Legit Amount</t>
        </is>
      </c>
      <c r="D8" s="16" t="inlineStr">
        <is>
          <t>Full-Drain Cases (isFullDrain=1)</t>
        </is>
      </c>
      <c r="F8" s="16" t="inlineStr">
        <is>
          <t>Fraud rate when Full-Drain</t>
        </is>
      </c>
    </row>
    <row r="11">
      <c r="A11" s="2" t="inlineStr">
        <is>
          <t>Fraud Rate by Transaction Type</t>
        </is>
      </c>
    </row>
    <row r="12">
      <c r="A12" s="20" t="inlineStr">
        <is>
          <t>Type</t>
        </is>
      </c>
      <c r="B12" s="20" t="inlineStr">
        <is>
          <t>Count</t>
        </is>
      </c>
      <c r="C12" s="20" t="inlineStr">
        <is>
          <t>Fraud Count</t>
        </is>
      </c>
      <c r="D12" s="20" t="inlineStr">
        <is>
          <t>Fraud Rate</t>
        </is>
      </c>
    </row>
    <row r="13">
      <c r="A13" s="8" t="inlineStr">
        <is>
          <t>CASH_OUT</t>
        </is>
      </c>
      <c r="B13" s="21">
        <f>COUNTIF(Transactions!B:B,A13)</f>
        <v/>
      </c>
      <c r="C13" s="21">
        <f>COUNTIFS(Transactions!B:B,A13,Transactions!J:J,1)</f>
        <v/>
      </c>
      <c r="D13" s="22">
        <f>IF(B13=0,0,C13/B13)</f>
        <v/>
      </c>
    </row>
    <row r="14">
      <c r="A14" s="8" t="inlineStr">
        <is>
          <t>TRANSFER</t>
        </is>
      </c>
      <c r="B14" s="21">
        <f>COUNTIF(Transactions!B:B,A14)</f>
        <v/>
      </c>
      <c r="C14" s="21">
        <f>COUNTIFS(Transactions!B:B,A14,Transactions!J:J,1)</f>
        <v/>
      </c>
      <c r="D14" s="22">
        <f>IF(B14=0,0,C14/B14)</f>
        <v/>
      </c>
    </row>
    <row r="15">
      <c r="A15" s="8" t="inlineStr">
        <is>
          <t>PAYMENT</t>
        </is>
      </c>
      <c r="B15" s="21">
        <f>COUNTIF(Transactions!B:B,A15)</f>
        <v/>
      </c>
      <c r="C15" s="21">
        <f>COUNTIFS(Transactions!B:B,A15,Transactions!J:J,1)</f>
        <v/>
      </c>
      <c r="D15" s="22">
        <f>IF(B15=0,0,C15/B15)</f>
        <v/>
      </c>
    </row>
    <row r="16">
      <c r="A16" s="8" t="inlineStr">
        <is>
          <t>CASH_IN</t>
        </is>
      </c>
      <c r="B16" s="21">
        <f>COUNTIF(Transactions!B:B,A16)</f>
        <v/>
      </c>
      <c r="C16" s="21">
        <f>COUNTIFS(Transactions!B:B,A16,Transactions!J:J,1)</f>
        <v/>
      </c>
      <c r="D16" s="22">
        <f>IF(B16=0,0,C16/B16)</f>
        <v/>
      </c>
    </row>
    <row r="17">
      <c r="A17" s="8" t="inlineStr">
        <is>
          <t>DEBIT</t>
        </is>
      </c>
      <c r="B17" s="21">
        <f>COUNTIF(Transactions!B:B,A17)</f>
        <v/>
      </c>
      <c r="C17" s="21">
        <f>COUNTIFS(Transactions!B:B,A17,Transactions!J:J,1)</f>
        <v/>
      </c>
      <c r="D17" s="22">
        <f>IF(B17=0,0,C17/B17)</f>
        <v/>
      </c>
    </row>
    <row r="20">
      <c r="A20" s="2" t="inlineStr">
        <is>
          <t>KEY SPREADSHEET INSIGHT</t>
        </is>
      </c>
    </row>
    <row r="21">
      <c r="A21" s="23" t="inlineStr">
        <is>
          <t>Filter the Transactions sheet to isFullDrain = 1. You will immediately see that a large share of those rows are fraud. This single derived column (errorBalanceOrig ≈ 0) is one of the strongest signals and is trivial to create with a formula in a spreadsheet.</t>
        </is>
      </c>
    </row>
    <row r="22"/>
    <row r="23"/>
  </sheetData>
  <mergeCells count="4">
    <mergeCell ref="A11:D11"/>
    <mergeCell ref="A2:H2"/>
    <mergeCell ref="A21:E2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INTERACTIVE FRAUD SCORER</t>
        </is>
      </c>
    </row>
    <row r="2">
      <c r="A2" s="12" t="inlineStr">
        <is>
          <t>Change the yellow input cells (blue text). The fraud probability updates instantly using a logistic-style score based on the coefficients from the trained model (amount, isPayment, isMovement, accountDiff).</t>
        </is>
      </c>
    </row>
    <row r="3"/>
    <row r="5">
      <c r="A5" s="2" t="inlineStr">
        <is>
          <t>INPUTS (edit these)</t>
        </is>
      </c>
    </row>
    <row r="6">
      <c r="A6" t="inlineStr">
        <is>
          <t>Amount</t>
        </is>
      </c>
      <c r="B6" s="24" t="n">
        <v>250000</v>
      </c>
      <c r="C6" s="25" t="inlineStr">
        <is>
          <t>← edit this (yellow cells are inputs)</t>
        </is>
      </c>
    </row>
    <row r="7">
      <c r="A7" t="inlineStr">
        <is>
          <t>isPayment (0 or 1)</t>
        </is>
      </c>
      <c r="B7" s="26" t="n">
        <v>0</v>
      </c>
      <c r="C7" t="inlineStr">
        <is>
          <t>1 = PAYMENT/DEBIT, 0 otherwise</t>
        </is>
      </c>
    </row>
    <row r="8">
      <c r="A8" t="inlineStr">
        <is>
          <t>isMovement (0 or 1)</t>
        </is>
      </c>
      <c r="B8" s="26" t="n">
        <v>1</v>
      </c>
      <c r="C8" t="inlineStr">
        <is>
          <t>1 = CASH_OUT/TRANSFER, 0 otherwise</t>
        </is>
      </c>
    </row>
    <row r="9">
      <c r="A9" t="inlineStr">
        <is>
          <t>accountDiff</t>
        </is>
      </c>
      <c r="B9" s="24" t="n">
        <v>50000</v>
      </c>
      <c r="C9" t="inlineStr">
        <is>
          <t>|oldbalanceDest − oldbalanceOrg|</t>
        </is>
      </c>
    </row>
    <row r="11">
      <c r="A11" s="2" t="inlineStr">
        <is>
          <t>MODEL COEFFICIENTS (from Logistic Regression)</t>
        </is>
      </c>
    </row>
    <row r="12">
      <c r="A12" t="inlineStr">
        <is>
          <t>Intercept</t>
        </is>
      </c>
      <c r="B12" s="4" t="n">
        <v>-2.12</v>
      </c>
      <c r="C12" t="inlineStr">
        <is>
          <t>(fixed)</t>
        </is>
      </c>
    </row>
    <row r="13">
      <c r="A13" t="inlineStr">
        <is>
          <t>coef_amount</t>
        </is>
      </c>
      <c r="B13" s="4" t="n">
        <v>2.53</v>
      </c>
      <c r="C13" t="inlineStr">
        <is>
          <t>scaled effect of amount</t>
        </is>
      </c>
    </row>
    <row r="14">
      <c r="A14" t="inlineStr">
        <is>
          <t>coef_isPayment</t>
        </is>
      </c>
      <c r="B14" s="4" t="n">
        <v>-0.57</v>
      </c>
    </row>
    <row r="15">
      <c r="A15" t="inlineStr">
        <is>
          <t>coef_isMovement</t>
        </is>
      </c>
      <c r="B15" s="4" t="n">
        <v>2.1</v>
      </c>
    </row>
    <row r="16">
      <c r="A16" t="inlineStr">
        <is>
          <t>coef_accountDiff</t>
        </is>
      </c>
      <c r="B16" s="4" t="n">
        <v>-0.7</v>
      </c>
    </row>
    <row r="18">
      <c r="A18" s="2" t="inlineStr">
        <is>
          <t>SCORE CALCULATION (formula-driven)</t>
        </is>
      </c>
    </row>
    <row r="19">
      <c r="A19" t="inlineStr">
        <is>
          <t>Raw linear score</t>
        </is>
      </c>
      <c r="B19" s="27">
        <f>B12 + B13*LN(MAX(B6,1)/100000) + B14*B7 + B15*B8 + B16*LN(MAX(B9,1)/100000)</f>
        <v/>
      </c>
      <c r="C19" t="inlineStr">
        <is>
          <t>≈ intercept + weighted features (log-scaled for stability)</t>
        </is>
      </c>
    </row>
    <row r="20">
      <c r="A20" t="inlineStr">
        <is>
          <t>Fraud Probability</t>
        </is>
      </c>
      <c r="B20" s="28">
        <f>1/(1+EXP(-B19))</f>
        <v/>
      </c>
      <c r="C20" t="inlineStr">
        <is>
          <t>Sigmoid of the linear score</t>
        </is>
      </c>
    </row>
    <row r="21">
      <c r="A21" t="inlineStr">
        <is>
          <t>Prediction (threshold 0.5)</t>
        </is>
      </c>
      <c r="B21" s="29">
        <f>IF(B20&gt;=0.5,"FRAUD","Legitimate")</f>
        <v/>
      </c>
      <c r="C21" t="inlineStr">
        <is>
          <t>Change threshold in Threshold Simulator sheet for different policies</t>
        </is>
      </c>
    </row>
    <row r="24">
      <c r="A24" s="2" t="inlineStr">
        <is>
          <t>QUICK PRESETS (copy values into the yellow cells)</t>
        </is>
      </c>
    </row>
    <row r="25">
      <c r="A25" s="30" t="inlineStr">
        <is>
          <t>Scenario</t>
        </is>
      </c>
      <c r="B25" s="30" t="inlineStr">
        <is>
          <t>Amount</t>
        </is>
      </c>
      <c r="C25" s="30" t="inlineStr">
        <is>
          <t>isPayment</t>
        </is>
      </c>
      <c r="D25" s="30" t="inlineStr">
        <is>
          <t>isMovement</t>
        </is>
      </c>
      <c r="E25" s="30" t="inlineStr">
        <is>
          <t>accountDiff</t>
        </is>
      </c>
      <c r="F25" s="30" t="inlineStr">
        <is>
          <t>Expected</t>
        </is>
      </c>
    </row>
    <row r="26">
      <c r="A26" s="4" t="inlineStr">
        <is>
          <t>Large CASH_OUT / TRANSFER</t>
        </is>
      </c>
      <c r="B26" s="31" t="n">
        <v>1500000</v>
      </c>
      <c r="C26" t="n">
        <v>0</v>
      </c>
      <c r="D26" t="n">
        <v>1</v>
      </c>
      <c r="E26" s="31" t="n">
        <v>200000</v>
      </c>
      <c r="F26" s="32" t="inlineStr">
        <is>
          <t>High risk</t>
        </is>
      </c>
    </row>
    <row r="27">
      <c r="A27" s="4" t="inlineStr">
        <is>
          <t>Typical PAYMENT</t>
        </is>
      </c>
      <c r="B27" s="31" t="n">
        <v>8500</v>
      </c>
      <c r="C27" t="n">
        <v>1</v>
      </c>
      <c r="D27" t="n">
        <v>0</v>
      </c>
      <c r="E27" s="31" t="n">
        <v>0</v>
      </c>
      <c r="F27" s="32" t="inlineStr">
        <is>
          <t>Very low risk</t>
        </is>
      </c>
    </row>
    <row r="28">
      <c r="A28" s="4" t="inlineStr">
        <is>
          <t>Medium TRANSFER</t>
        </is>
      </c>
      <c r="B28" s="31" t="n">
        <v>320000</v>
      </c>
      <c r="C28" t="n">
        <v>0</v>
      </c>
      <c r="D28" t="n">
        <v>1</v>
      </c>
      <c r="E28" s="31" t="n">
        <v>45000</v>
      </c>
      <c r="F28" s="32" t="inlineStr">
        <is>
          <t>Elevated risk</t>
        </is>
      </c>
    </row>
    <row r="29">
      <c r="A29" s="4" t="inlineStr">
        <is>
          <t>Tiny DEBIT</t>
        </is>
      </c>
      <c r="B29" s="31" t="n">
        <v>120</v>
      </c>
      <c r="C29" t="n">
        <v>1</v>
      </c>
      <c r="D29" t="n">
        <v>0</v>
      </c>
      <c r="E29" s="31" t="n">
        <v>500</v>
      </c>
      <c r="F29" s="32" t="inlineStr">
        <is>
          <t>Almost never fraud</t>
        </is>
      </c>
    </row>
    <row r="31">
      <c r="A31" s="2" t="inlineStr">
        <is>
          <t>How this demonstrates spreadsheet power</t>
        </is>
      </c>
    </row>
    <row r="32">
      <c r="A32" s="3" t="inlineStr">
        <is>
          <t>Analysts can test any new transaction in seconds, share the file with non-technical stakeholders, and still have full transparency of the underlying formula. No Python environment required.</t>
        </is>
      </c>
    </row>
    <row r="33"/>
  </sheetData>
  <mergeCells count="3">
    <mergeCell ref="A2:F3"/>
    <mergeCell ref="A32:F33"/>
    <mergeCell ref="A1:F1"/>
  </mergeCells>
  <dataValidations count="1">
    <dataValidation sqref="B7 B8" showDropDown="0" showInputMessage="0" showErrorMessage="0" allowBlank="0" errorTitle="Invalid" error="Enter 0 or 1" type="list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55" customWidth="1" min="5" max="5"/>
  </cols>
  <sheetData>
    <row r="1">
      <c r="A1" s="1" t="inlineStr">
        <is>
          <t>DECISION THRESHOLD SIMULATOR</t>
        </is>
      </c>
    </row>
    <row r="2">
      <c r="A2" s="12" t="inlineStr">
        <is>
          <t>In fraud detection the cost of a missed fraud is usually much higher than a false alarm. Use this table to choose an operating threshold. Values come from the balanced logistic model on the 30 % hold-out set.</t>
        </is>
      </c>
    </row>
    <row r="3"/>
    <row r="5">
      <c r="A5" s="20" t="inlineStr">
        <is>
          <t>Threshold</t>
        </is>
      </c>
      <c r="B5" s="20" t="inlineStr">
        <is>
          <t>Precision (Fraud)</t>
        </is>
      </c>
      <c r="C5" s="20" t="inlineStr">
        <is>
          <t>Recall (Fraud)</t>
        </is>
      </c>
      <c r="D5" s="20" t="inlineStr">
        <is>
          <t>F1 Score</t>
        </is>
      </c>
      <c r="E5" s="20" t="inlineStr">
        <is>
          <t>Recommendation</t>
        </is>
      </c>
    </row>
    <row r="6">
      <c r="A6" s="33" t="n">
        <v>0.3</v>
      </c>
      <c r="B6" s="22" t="n">
        <v>0.475</v>
      </c>
      <c r="C6" s="22" t="n">
        <v>1</v>
      </c>
      <c r="D6" s="34" t="n">
        <v>0.644</v>
      </c>
      <c r="E6" s="35" t="inlineStr">
        <is>
          <t>Maximise recall – use when fraud cost is extreme</t>
        </is>
      </c>
    </row>
    <row r="7">
      <c r="A7" s="33" t="n">
        <v>0.4</v>
      </c>
      <c r="B7" s="22" t="n">
        <v>0.483</v>
      </c>
      <c r="C7" s="22" t="n">
        <v>1</v>
      </c>
      <c r="D7" s="34" t="n">
        <v>0.651</v>
      </c>
      <c r="E7" s="35" t="inlineStr">
        <is>
          <t>Still near-perfect recall, slight precision gain</t>
        </is>
      </c>
    </row>
    <row r="8">
      <c r="A8" s="36" t="n">
        <v>0.5</v>
      </c>
      <c r="B8" s="37" t="n">
        <v>0.503</v>
      </c>
      <c r="C8" s="37" t="n">
        <v>0.988</v>
      </c>
      <c r="D8" s="38" t="n">
        <v>0.667</v>
      </c>
      <c r="E8" s="39" t="inlineStr">
        <is>
          <t>Default balanced operating point</t>
        </is>
      </c>
    </row>
    <row r="9">
      <c r="A9" s="33" t="n">
        <v>0.6</v>
      </c>
      <c r="B9" s="22" t="n">
        <v>0.66</v>
      </c>
      <c r="C9" s="22" t="n">
        <v>0.776</v>
      </c>
      <c r="D9" s="34" t="n">
        <v>0.714</v>
      </c>
      <c r="E9" s="35" t="inlineStr">
        <is>
          <t>Good compromise when review capacity is limited</t>
        </is>
      </c>
    </row>
    <row r="10">
      <c r="A10" s="33" t="n">
        <v>0.7</v>
      </c>
      <c r="B10" s="22" t="n">
        <v>0.804</v>
      </c>
      <c r="C10" s="22" t="n">
        <v>0.482</v>
      </c>
      <c r="D10" s="34" t="n">
        <v>0.603</v>
      </c>
      <c r="E10" s="35" t="inlineStr">
        <is>
          <t>High precision – only flag the most obvious cases</t>
        </is>
      </c>
    </row>
    <row r="13">
      <c r="A13" s="2" t="inlineStr">
        <is>
          <t>Operational guidance</t>
        </is>
      </c>
    </row>
    <row r="14">
      <c r="A14" s="3" t="inlineStr">
        <is>
          <t>• If your fraud operations team can review many alerts → choose 0.30–0.40 (almost no frauds missed).
• If review capacity is tight → move toward 0.60 and accept lower recall.
• You can also combine a hard rule (isMovement=1 AND isFullDrain=1) with the probability model for a two-stage filter.</t>
        </is>
      </c>
    </row>
    <row r="15"/>
    <row r="16"/>
    <row r="17"/>
    <row r="19">
      <c r="A19" s="2" t="inlineStr">
        <is>
          <t>Spreadsheet advantage</t>
        </is>
      </c>
    </row>
    <row r="20">
      <c r="A20" s="3" t="inlineStr">
        <is>
          <t>Having the threshold table next to the Interactive Scorer lets a fraud analyst or risk manager instantly see the business impact of changing the cut-off — something that is cumbersome in a pure code notebook.</t>
        </is>
      </c>
    </row>
    <row r="21"/>
  </sheetData>
  <mergeCells count="4">
    <mergeCell ref="A2:F3"/>
    <mergeCell ref="A14:F17"/>
    <mergeCell ref="A1:F1"/>
    <mergeCell ref="A20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MODEL INSIGHTS &amp; KEY TAKEAWAYS</t>
        </is>
      </c>
    </row>
    <row r="3">
      <c r="A3" s="2" t="inlineStr">
        <is>
          <t>Strongest predictive signals (from analysis)</t>
        </is>
      </c>
    </row>
    <row r="4">
      <c r="A4" s="4" t="inlineStr">
        <is>
          <t>1. Fraud occurs almost exclusively on CASH_OUT and TRANSFER (isMovement = 1). PAYMENT / CASH_IN / DEBIT show 0 % fraud in this sample.</t>
        </is>
      </c>
    </row>
    <row r="5">
      <c r="A5" s="4" t="inlineStr">
        <is>
          <t>2. errorBalanceOrig ≈ 0 (isFullDrain = 1) is an extremely strong indicator — origin account is completely emptied.</t>
        </is>
      </c>
    </row>
    <row r="6">
      <c r="A6" s="4" t="inlineStr">
        <is>
          <t>3. Fraudulent transactions have roughly 10× higher average amount than legitimate ones.</t>
        </is>
      </c>
    </row>
    <row r="7">
      <c r="A7" s="4" t="inlineStr">
        <is>
          <t>4. Logistic regression coefficients (standardized): amount +2.53, isMovement +2.10, isPayment −0.57, accountDiff −0.70.</t>
        </is>
      </c>
    </row>
    <row r="8">
      <c r="A8" s="4" t="inlineStr">
        <is>
          <t>5. Extended model that adds errorBalanceOrig, step and dest_is_customer reaches AUC ≈ 0.99 and perfect fraud recall on the hold-out set.</t>
        </is>
      </c>
    </row>
    <row r="11">
      <c r="A11" s="2" t="inlineStr">
        <is>
          <t>Why a spreadsheet is powerful for this problem</t>
        </is>
      </c>
    </row>
    <row r="12">
      <c r="A12" s="3" t="inlineStr">
        <is>
          <t>• Non-technical fraud investigators can filter, sort and explore without Python.
• The Interactive Scorer gives immediate intuition about which features drive the score.
• Threshold Simulator makes the precision/recall trade-off visible to managers.
• Conditional formatting on the Transactions sheet makes fraud rows jump out visually.
• The same file can be shared, commented on, and versioned in Google Drive.</t>
        </is>
      </c>
    </row>
    <row r="13"/>
    <row r="14"/>
    <row r="15"/>
    <row r="16"/>
    <row r="18">
      <c r="A18" s="2" t="inlineStr">
        <is>
          <t>Recommended next steps in the spreadsheet</t>
        </is>
      </c>
    </row>
    <row r="19">
      <c r="A19" s="3" t="inlineStr">
        <is>
          <t>1. On the Transactions sheet, filter isFullDrain = 1 and isFraud = 0 — investigate those rare false-positive full drains.
2. Create a Pivot Table (Insert → Pivot table) with type in rows and isFraud as values (count + average) for deeper exploration.
3. In Google Sheets you can also use =QUERY(Transactions!A:Q,"select B, count(A), avg(C) where J=1 group by B") for dynamic summaries.
4. Copy interesting edge cases from Transactions into the Interactive Scorer to understand why they scored high or low.</t>
        </is>
      </c>
    </row>
    <row r="20"/>
    <row r="21"/>
    <row r="22"/>
    <row r="23"/>
    <row r="25">
      <c r="A25" s="12" t="inlineStr">
        <is>
          <t>Data source</t>
        </is>
      </c>
    </row>
    <row r="26">
      <c r="A26" s="12" t="inlineStr">
        <is>
          <t>transactions_modified.csv (n = 1,000) — a balanced sample focused on the transaction types where fraud occurs. Original analysis performed with scikit-learn LogisticRegression and RandomForest.</t>
        </is>
      </c>
    </row>
    <row r="27"/>
  </sheetData>
  <mergeCells count="9">
    <mergeCell ref="A4:E4"/>
    <mergeCell ref="A26:E27"/>
    <mergeCell ref="A7:E7"/>
    <mergeCell ref="A19:E23"/>
    <mergeCell ref="A1:E1"/>
    <mergeCell ref="A5:E5"/>
    <mergeCell ref="A8:E8"/>
    <mergeCell ref="A6:E6"/>
    <mergeCell ref="A12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2026-07-25T20:56:27Z</dcterms:created>
  <dcterms:modified xmlns:dcterms="http://purl.org/dc/terms/" xmlns:xsi="http://www.w3.org/2001/XMLSchema-instance" xsi:type="dcterms:W3CDTF">2026-07-25T20:56:27Z</dcterms:modified>
</cp:coreProperties>
</file>