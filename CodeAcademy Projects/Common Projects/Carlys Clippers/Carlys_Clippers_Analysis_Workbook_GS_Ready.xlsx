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ource Data" sheetId="2" state="visible" r:id="rId4"/>
    <sheet name="Calculations" sheetId="3" state="visible" r:id="rId5"/>
    <sheet name="Simulator" sheetId="4" state="visible" r:id="rId6"/>
    <sheet name="Charts Data" sheetId="5" state="visible" r:id="rId7"/>
    <sheet name="Notes &amp; GS Guid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<sst xmlns="http://schemas.openxmlformats.org/spreadsheetml/2006/main" count="127" uniqueCount="114">
  <si>
    <t xml:space="preserve">Carly's Clippers — Spreadsheet Analysis Dashboard</t>
  </si>
  <si>
    <t xml:space="preserve">Google Sheets compatible · All key metrics use live formulas · Yellow cells are editable inputs (see Simulator sheet)</t>
  </si>
  <si>
    <t xml:space="preserve">RECOMMENDATION FOR CARLY</t>
  </si>
  <si>
    <t xml:space="preserve">KEY METRICS AT A GLANCE</t>
  </si>
  <si>
    <t xml:space="preserve">Advertise the four styles under $30 after the $5 discount (bouffant, pixie, crew, bowl). Protect the high-margin mohawk ($300 last week). Monitor crew volume (most popular). Test a smaller discount ($3) first — a flat $5 cut costs ~$680 over 4 weeks if volume is unchanged.</t>
  </si>
  <si>
    <t xml:space="preserve">Metric</t>
  </si>
  <si>
    <t xml:space="preserve">Value</t>
  </si>
  <si>
    <t xml:space="preserve">Average Price (original)</t>
  </si>
  <si>
    <t xml:space="preserve">Total Revenue (last week)</t>
  </si>
  <si>
    <t xml:space="preserve">Avg Daily Revenue</t>
  </si>
  <si>
    <t xml:space="preserve">Styles under $30 (new prices)</t>
  </si>
  <si>
    <t xml:space="preserve">CUTS CURRENTLY UNDER $30 (default $5 discount)</t>
  </si>
  <si>
    <t xml:space="preserve">Most popular style</t>
  </si>
  <si>
    <t xml:space="preserve">These four styles are under $30 at the default discount. Change Discount on Simulator → check Source Data “Under $30?” column for the live list.</t>
  </si>
  <si>
    <t xml:space="preserve">Highest-revenue style</t>
  </si>
  <si>
    <t xml:space="preserve">Total haircuts last week</t>
  </si>
  <si>
    <t xml:space="preserve">Style</t>
  </si>
  <si>
    <t xml:space="preserve">New Price</t>
  </si>
  <si>
    <t xml:space="preserve">Units Sold</t>
  </si>
  <si>
    <t xml:space="preserve">Rev @ New Price</t>
  </si>
  <si>
    <t xml:space="preserve">HOW TO USE THIS WORKBOOK</t>
  </si>
  <si>
    <t xml:space="preserve">1. Go to Simulator sheet → change the yellow Discount ($) or Sales Multiplier cells.
2. Source Data and Dashboard recalculate automatically via formulas.
3. Charts Data feeds the embedded charts; they refresh when values change.
4. Upload to Google Sheets: File → Import → Upload → Replace spreadsheet. Yellow input cells stay editable.</t>
  </si>
  <si>
    <t xml:space="preserve">Source Data — Hairstyles, Prices &amp; Last Week Sales</t>
  </si>
  <si>
    <t xml:space="preserve">Blue text + yellow background = editable inputs. Black/green formulas recalculate everything. Discount is controlled on Simulator!B3.</t>
  </si>
  <si>
    <t xml:space="preserve">Original Price ($)</t>
  </si>
  <si>
    <t xml:space="preserve">Units Last Week</t>
  </si>
  <si>
    <t xml:space="preserve">Revenue ($)</t>
  </si>
  <si>
    <t xml:space="preserve">New Price ($)</t>
  </si>
  <si>
    <t xml:space="preserve">Under $30?</t>
  </si>
  <si>
    <t xml:space="preserve">Revenue @ New Price ($)</t>
  </si>
  <si>
    <t xml:space="preserve">bouffant</t>
  </si>
  <si>
    <t xml:space="preserve">pixie</t>
  </si>
  <si>
    <t xml:space="preserve">dreadlocks</t>
  </si>
  <si>
    <t xml:space="preserve">crew</t>
  </si>
  <si>
    <t xml:space="preserve">bowl</t>
  </si>
  <si>
    <t xml:space="preserve">bob</t>
  </si>
  <si>
    <t xml:space="preserve">mohawk</t>
  </si>
  <si>
    <t xml:space="preserve">flattop</t>
  </si>
  <si>
    <t xml:space="preserve">TOTAL / AVERAGE</t>
  </si>
  <si>
    <t xml:space="preserve">Avg Daily Revenue (Total Rev / 7)</t>
  </si>
  <si>
    <t xml:space="preserve">Edit yellow cells (price or units) or change Discount on Simulator. All formulas + Dashboard update automatically. This is the spreadsheet equivalent of the Python lists + loops + list comprehensions.</t>
  </si>
  <si>
    <t xml:space="preserve">Step-by-Step Calculations (Spreadsheet equivalents of the Python notebook tasks)</t>
  </si>
  <si>
    <t xml:space="preserve">Each block shows the classic approach and the compact formula. Values are live and linked to Source Data / Simulator.</t>
  </si>
  <si>
    <t xml:space="preserve">1. AVERAGE HAIRCUT PRICE</t>
  </si>
  <si>
    <t xml:space="preserve">total_price (SUM of prices)</t>
  </si>
  <si>
    <t xml:space="preserve">← =SUM(...)   equivalent to the for-loop that adds each price</t>
  </si>
  <si>
    <t xml:space="preserve">average_price</t>
  </si>
  <si>
    <t xml:space="preserve">← total_price / number of styles   (len(prices) in Python)</t>
  </si>
  <si>
    <t xml:space="preserve">Notebook-style print</t>
  </si>
  <si>
    <t xml:space="preserve">Matches the required print format from the original project</t>
  </si>
  <si>
    <t xml:space="preserve">2. NEW PRICES (all reduced by Discount)</t>
  </si>
  <si>
    <t xml:space="preserve">Discount amount (live from Simulator)</t>
  </si>
  <si>
    <t xml:space="preserve">Change this on the Simulator sheet (yellow cell B3)</t>
  </si>
  <si>
    <t xml:space="preserve">new_prices live in Source Data column E</t>
  </si>
  <si>
    <t xml:space="preserve">Each cell: =OriginalPrice − Discount   (list-comprehension equivalent)</t>
  </si>
  <si>
    <t xml:space="preserve">3. TOTAL REVENUE LAST WEEK</t>
  </si>
  <si>
    <t xml:space="preserve">total_revenue</t>
  </si>
  <si>
    <t xml:space="preserve">← SUM of (price × units) for each style   (indexed for-loop equivalent)</t>
  </si>
  <si>
    <t xml:space="preserve">4. AVERAGE DAILY REVENUE</t>
  </si>
  <si>
    <t xml:space="preserve">average_daily_revenue</t>
  </si>
  <si>
    <t xml:space="preserve">total_revenue / 7</t>
  </si>
  <si>
    <t xml:space="preserve">5. CUTS UNDER $30 AFTER DISCOUNT</t>
  </si>
  <si>
    <t xml:space="preserve">Count of styles with New Price &lt; 30</t>
  </si>
  <si>
    <t xml:space="preserve">COUNTIF on the Under $30? column (filter / list-comp equivalent)</t>
  </si>
  <si>
    <t xml:space="preserve">Full list is on the Source Data sheet. Apply a filter (Data → Create a filter) on the Under $30? column to see only the Yes rows.</t>
  </si>
  <si>
    <t xml:space="preserve">WHAT SPREADSHEETS SHOW ESPECIALLY WELL</t>
  </si>
  <si>
    <t xml:space="preserve">• Instant recalculation when any price or unit count changes (no need to re-run a script).
• Conditional formatting that paints “Yes/No” and low prices automatically.
• What-if analysis is just editing one yellow cell (Simulator).
• Charts stay linked to the data ranges and update live.
• Easy to share with non-coders — Carly can open this in Google Sheets on her phone.
• INDEX/MATCH and SUMPRODUCT replace many of the manual loops used in the Python version.</t>
  </si>
  <si>
    <t xml:space="preserve">What-If Simulator — Change Inputs, Watch Metrics Update</t>
  </si>
  <si>
    <t xml:space="preserve">Yellow cells with blue text are the only inputs you need to edit. Everything else is formula-driven and updates across the whole workbook.</t>
  </si>
  <si>
    <t xml:space="preserve">Discount amount ($)</t>
  </si>
  <si>
    <t xml:space="preserve">← Change this (try 3, 5, 8, 10). New prices &amp; Under-$30 flags update everywhere.</t>
  </si>
  <si>
    <t xml:space="preserve">Sales multiplier</t>
  </si>
  <si>
    <t xml:space="preserve">← 1.0 = last week as-is; 1.5 = 50% busier; 0.7 = slower week. Scales projected revenue.</t>
  </si>
  <si>
    <t xml:space="preserve">SIMULATED RESULTS (current Source Data prices × multiplier + Discount above)</t>
  </si>
  <si>
    <t xml:space="preserve">Simulated total units</t>
  </si>
  <si>
    <t xml:space="preserve">Original total units × multiplier</t>
  </si>
  <si>
    <t xml:space="preserve">Simulated total revenue (at ORIGINAL prices)</t>
  </si>
  <si>
    <t xml:space="preserve">Volume scales; price list unchanged</t>
  </si>
  <si>
    <t xml:space="preserve">Simulated avg daily revenue</t>
  </si>
  <si>
    <t xml:space="preserve">Average NEW price after discount</t>
  </si>
  <si>
    <t xml:space="preserve">Live from Source Data (already uses Discount)</t>
  </si>
  <si>
    <t xml:space="preserve"># Styles under $30 after discount</t>
  </si>
  <si>
    <t xml:space="preserve">Live count</t>
  </si>
  <si>
    <t xml:space="preserve">Projected 4-week revenue @ original prices</t>
  </si>
  <si>
    <t xml:space="preserve">Projected 4-week revenue @ new prices (same volume)</t>
  </si>
  <si>
    <t xml:space="preserve">Cost of the discount (4 weeks, same volume)</t>
  </si>
  <si>
    <t xml:space="preserve">SENSITIVITY TABLE — Effect of different discount amounts (volume held at last-week levels)</t>
  </si>
  <si>
    <t xml:space="preserve">Discount ($)</t>
  </si>
  <si>
    <t xml:space="preserve">Avg New Price</t>
  </si>
  <si>
    <t xml:space="preserve"># Under $30</t>
  </si>
  <si>
    <t xml:space="preserve">4-wk Rev @ New Prices</t>
  </si>
  <si>
    <t xml:space="preserve">Cost of Discount (4 wk)</t>
  </si>
  <si>
    <t xml:space="preserve">Tip: The green row is the current default ($5). Change B3 above and the live metrics update; this table always shows the full range for comparison.</t>
  </si>
  <si>
    <t xml:space="preserve">PRACTICE IDEA</t>
  </si>
  <si>
    <t xml:space="preserve">Try Discount = 3 and Multiplier = 1.2. Does the number of under-$30 styles increase enough, and does the extra volume offset the smaller per-cut discount? Discuss with Carly which combination fits her brand.</t>
  </si>
  <si>
    <t xml:space="preserve">Helper data for charts (linked to Source Data so charts stay live)</t>
  </si>
  <si>
    <t xml:space="preserve">Original Price</t>
  </si>
  <si>
    <t xml:space="preserve">Revenue (original)</t>
  </si>
  <si>
    <t xml:space="preserve">Data Dictionary, Method Notes &amp; Google Sheets Compatibility</t>
  </si>
  <si>
    <t xml:space="preserve">Data Dictionary</t>
  </si>
  <si>
    <t xml:space="preserve">Name of the haircut offered at Carly’s Clippers</t>
  </si>
  <si>
    <t xml:space="preserve">List price before any promotional discount (editable yellow cells)</t>
  </si>
  <si>
    <t xml:space="preserve">Number of times that style was purchased in the past 7 days (editable)</t>
  </si>
  <si>
    <t xml:space="preserve">Original Price × Units (formula)</t>
  </si>
  <si>
    <t xml:space="preserve">Original Price − Discount (Discount lives on Simulator!B3)</t>
  </si>
  <si>
    <t xml:space="preserve">Yes if New Price &lt; 30; used for the advertising list</t>
  </si>
  <si>
    <t xml:space="preserve">Revenue @ New Price</t>
  </si>
  <si>
    <t xml:space="preserve">What revenue would have been if the discounted price had been charged last week</t>
  </si>
  <si>
    <t xml:space="preserve">Why a spreadsheet version?</t>
  </si>
  <si>
    <t xml:space="preserve">The Python notebooks are ideal for learning loops, list comprehensions and reproducible analysis. This workbook shows the same business questions answered with spreadsheet strengths:
• Instant what-if (edit Discount or a single price → everything updates)
• Conditional formatting that flags under-$30 styles automatically
• Charts that non-technical stakeholders (Carly) can open on a phone
• No need to re-execute code; formulas are the source of truth
• Easy collaboration via Google Sheets sharing links</t>
  </si>
  <si>
    <t xml:space="preserve">Google Sheets import instructions</t>
  </si>
  <si>
    <t xml:space="preserve">1. In Google Drive click New → File upload → select this .xlsx
2. Open the uploaded file with Google Sheets
3. (Optional) File → Save as Google Sheets for full native editing
4. Yellow input cells remain editable; charts may need a slight resize
5. All SUM / AVERAGE / IF / SUMPRODUCT / INDEX-MATCH formulas used here are fully supported in Sheets</t>
  </si>
  <si>
    <t xml:space="preserve">Relationship to the Jupyter notebooks</t>
  </si>
  <si>
    <t xml:space="preserve">Practice Skeleton &amp; Solution notebooks contain the Python loops, list comprehensions, alternate zip/dict solutions, matplotlib charts and the interactive simulation cell. Use the notebooks to learn the programming patterns; use this workbook to explore the business numbers with Carly or other non-coding stakeholders and to perform rapid what-if analysis.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</si>
</sst>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General"/>
    <numFmt numFmtId="167" formatCode="0.00"/>
    <numFmt numFmtId="168" formatCode="\$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D6E3F0"/>
      </patternFill>
    </fill>
    <fill>
      <patternFill patternType="solid">
        <fgColor rgb="FF2E75B6"/>
        <bgColor rgb="FF4F81BD"/>
      </patternFill>
    </fill>
    <fill>
      <patternFill patternType="solid">
        <fgColor rgb="FFD6E3F0"/>
        <bgColor rgb="FFD9D9D9"/>
      </patternFill>
    </fill>
    <fill>
      <patternFill patternType="solid">
        <fgColor rgb="FF548235"/>
        <bgColor rgb="FF666666"/>
      </patternFill>
    </fill>
    <fill>
      <patternFill patternType="solid">
        <fgColor rgb="FFC6EFCE"/>
        <bgColor rgb="FFE2EFDA"/>
      </patternFill>
    </fill>
    <fill>
      <patternFill patternType="solid">
        <fgColor rgb="FFFFFF99"/>
        <bgColor rgb="FFFFEB9C"/>
      </patternFill>
    </fill>
    <fill>
      <patternFill patternType="solid">
        <fgColor rgb="FFFFEB9C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EB9C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0B0B0"/>
      <rgbColor rgb="FF878787"/>
      <rgbColor rgb="FF9999FF"/>
      <rgbColor rgb="FFC0504D"/>
      <rgbColor rgb="FFF9F9F9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3F0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Prices: Original vs After Discount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'Charts Data'!B3</c:f>
              <c:strCache>
                <c:ptCount val="1"/>
                <c:pt idx="0">
                  <c:v>Original Price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Data'!$A$4:$A$11</c:f>
              <c:strCache>
                <c:ptCount val="8"/>
                <c:pt idx="0">
                  <c:v>bouffant</c:v>
                </c:pt>
                <c:pt idx="1">
                  <c:v>pixie</c:v>
                </c:pt>
                <c:pt idx="2">
                  <c:v>dreadlocks</c:v>
                </c:pt>
                <c:pt idx="3">
                  <c:v>crew</c:v>
                </c:pt>
                <c:pt idx="4">
                  <c:v>bowl</c:v>
                </c:pt>
                <c:pt idx="5">
                  <c:v>bob</c:v>
                </c:pt>
                <c:pt idx="6">
                  <c:v>mohawk</c:v>
                </c:pt>
                <c:pt idx="7">
                  <c:v>flattop</c:v>
                </c:pt>
              </c:strCache>
            </c:strRef>
          </c:cat>
          <c:val>
            <c:numRef>
              <c:f>'Charts Data'!$B$4:$B$11</c:f>
              <c:numCache>
                <c:formatCode>\$#,##0</c:formatCode>
                <c:ptCount val="8"/>
                <c:pt idx="0">
                  <c:v>30</c:v>
                </c:pt>
                <c:pt idx="1">
                  <c:v>25</c:v>
                </c:pt>
                <c:pt idx="2">
                  <c:v>40</c:v>
                </c:pt>
                <c:pt idx="3">
                  <c:v>20</c:v>
                </c:pt>
                <c:pt idx="4">
                  <c:v>20</c:v>
                </c:pt>
                <c:pt idx="5">
                  <c:v>35</c:v>
                </c:pt>
                <c:pt idx="6">
                  <c:v>50</c:v>
                </c:pt>
                <c:pt idx="7">
                  <c:v>35</c:v>
                </c:pt>
              </c:numCache>
            </c:numRef>
          </c:val>
        </c:ser>
        <c:ser>
          <c:idx val="1"/>
          <c:order val="1"/>
          <c:tx>
            <c:strRef>
              <c:f>'Charts Data'!C3</c:f>
              <c:strCache>
                <c:ptCount val="1"/>
                <c:pt idx="0">
                  <c:v>New Price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Data'!$A$4:$A$11</c:f>
              <c:strCache>
                <c:ptCount val="8"/>
                <c:pt idx="0">
                  <c:v>bouffant</c:v>
                </c:pt>
                <c:pt idx="1">
                  <c:v>pixie</c:v>
                </c:pt>
                <c:pt idx="2">
                  <c:v>dreadlocks</c:v>
                </c:pt>
                <c:pt idx="3">
                  <c:v>crew</c:v>
                </c:pt>
                <c:pt idx="4">
                  <c:v>bowl</c:v>
                </c:pt>
                <c:pt idx="5">
                  <c:v>bob</c:v>
                </c:pt>
                <c:pt idx="6">
                  <c:v>mohawk</c:v>
                </c:pt>
                <c:pt idx="7">
                  <c:v>flattop</c:v>
                </c:pt>
              </c:strCache>
            </c:strRef>
          </c:cat>
          <c:val>
            <c:numRef>
              <c:f>'Charts Data'!$C$4:$C$11</c:f>
              <c:numCache>
                <c:formatCode>\$#,##0</c:formatCode>
                <c:ptCount val="8"/>
                <c:pt idx="0">
                  <c:v>25</c:v>
                </c:pt>
                <c:pt idx="1">
                  <c:v>20</c:v>
                </c:pt>
                <c:pt idx="2">
                  <c:v>35</c:v>
                </c:pt>
                <c:pt idx="3">
                  <c:v>15</c:v>
                </c:pt>
                <c:pt idx="4">
                  <c:v>15</c:v>
                </c:pt>
                <c:pt idx="5">
                  <c:v>30</c:v>
                </c:pt>
                <c:pt idx="6">
                  <c:v>45</c:v>
                </c:pt>
                <c:pt idx="7">
                  <c:v>30</c:v>
                </c:pt>
              </c:numCache>
            </c:numRef>
          </c:val>
        </c:ser>
        <c:gapWidth val="150"/>
        <c:overlap val="0"/>
        <c:axId val="1544662"/>
        <c:axId val="98881128"/>
      </c:barChart>
      <c:catAx>
        <c:axId val="15446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881128"/>
        <c:crosses val="autoZero"/>
        <c:auto val="1"/>
        <c:lblAlgn val="ctr"/>
        <c:lblOffset val="100"/>
        <c:noMultiLvlLbl val="0"/>
      </c:catAx>
      <c:valAx>
        <c:axId val="988811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446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Hairstyle (Last Week)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'Charts Data'!E3</c:f>
              <c:strCache>
                <c:ptCount val="1"/>
                <c:pt idx="0">
                  <c:v>Revenue (original)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Data'!$A$4:$A$11</c:f>
              <c:strCache>
                <c:ptCount val="8"/>
                <c:pt idx="0">
                  <c:v>bouffant</c:v>
                </c:pt>
                <c:pt idx="1">
                  <c:v>pixie</c:v>
                </c:pt>
                <c:pt idx="2">
                  <c:v>dreadlocks</c:v>
                </c:pt>
                <c:pt idx="3">
                  <c:v>crew</c:v>
                </c:pt>
                <c:pt idx="4">
                  <c:v>bowl</c:v>
                </c:pt>
                <c:pt idx="5">
                  <c:v>bob</c:v>
                </c:pt>
                <c:pt idx="6">
                  <c:v>mohawk</c:v>
                </c:pt>
                <c:pt idx="7">
                  <c:v>flattop</c:v>
                </c:pt>
              </c:strCache>
            </c:strRef>
          </c:cat>
          <c:val>
            <c:numRef>
              <c:f>'Charts Data'!$E$4:$E$11</c:f>
              <c:numCache>
                <c:formatCode>\$#,##0</c:formatCode>
                <c:ptCount val="8"/>
                <c:pt idx="0">
                  <c:v>60</c:v>
                </c:pt>
                <c:pt idx="1">
                  <c:v>75</c:v>
                </c:pt>
                <c:pt idx="2">
                  <c:v>200</c:v>
                </c:pt>
                <c:pt idx="3">
                  <c:v>160</c:v>
                </c:pt>
                <c:pt idx="4">
                  <c:v>80</c:v>
                </c:pt>
                <c:pt idx="5">
                  <c:v>140</c:v>
                </c:pt>
                <c:pt idx="6">
                  <c:v>300</c:v>
                </c:pt>
                <c:pt idx="7">
                  <c:v>70</c:v>
                </c:pt>
              </c:numCache>
            </c:numRef>
          </c:val>
        </c:ser>
        <c:gapWidth val="150"/>
        <c:overlap val="0"/>
        <c:axId val="58363982"/>
        <c:axId val="26609545"/>
      </c:barChart>
      <c:catAx>
        <c:axId val="583639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609545"/>
        <c:crosses val="autoZero"/>
        <c:auto val="1"/>
        <c:lblAlgn val="ctr"/>
        <c:lblOffset val="100"/>
        <c:noMultiLvlLbl val="0"/>
      </c:catAx>
      <c:valAx>
        <c:axId val="266095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3639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14</xdr:col>
      <xdr:colOff>507600</xdr:colOff>
      <xdr:row>17</xdr:row>
      <xdr:rowOff>21960</xdr:rowOff>
    </xdr:to>
    <xdr:graphicFrame>
      <xdr:nvGraphicFramePr>
        <xdr:cNvPr id="0" name="Chart 1"/>
        <xdr:cNvGraphicFramePr/>
      </xdr:nvGraphicFramePr>
      <xdr:xfrm>
        <a:off x="5404320" y="3808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17</xdr:row>
      <xdr:rowOff>0</xdr:rowOff>
    </xdr:from>
    <xdr:to>
      <xdr:col>14</xdr:col>
      <xdr:colOff>507600</xdr:colOff>
      <xdr:row>32</xdr:row>
      <xdr:rowOff>22320</xdr:rowOff>
    </xdr:to>
    <xdr:graphicFrame>
      <xdr:nvGraphicFramePr>
        <xdr:cNvPr id="1" name="Chart 2"/>
        <xdr:cNvGraphicFramePr/>
      </xdr:nvGraphicFramePr>
      <xdr:xfrm>
        <a:off x="5404320" y="323856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3"/>
    <col collapsed="false" customWidth="true" hidden="false" outlineLevel="0" max="6" min="6" style="0" width="30"/>
    <col collapsed="false" customWidth="true" hidden="false" outlineLevel="0" max="7" min="7" style="0" width="18"/>
    <col collapsed="false" customWidth="true" hidden="false" outlineLevel="0" max="8" min="8" style="0" width="1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/>
      <c r="C4" s="3"/>
      <c r="D4" s="3"/>
      <c r="F4" s="3" t="s">
        <v>3</v>
      </c>
      <c r="G4" s="3"/>
      <c r="H4" s="3"/>
    </row>
    <row r="5" customFormat="false" ht="49.5" hidden="false" customHeight="true" outlineLevel="0" collapsed="false">
      <c r="A5" s="4" t="s">
        <v>4</v>
      </c>
      <c r="B5" s="4"/>
      <c r="C5" s="4"/>
      <c r="D5" s="4"/>
      <c r="F5" s="5" t="s">
        <v>5</v>
      </c>
      <c r="G5" s="5" t="s">
        <v>6</v>
      </c>
    </row>
    <row r="6" customFormat="false" ht="15" hidden="false" customHeight="false" outlineLevel="0" collapsed="false">
      <c r="A6" s="4"/>
      <c r="B6" s="4"/>
      <c r="C6" s="4"/>
      <c r="D6" s="4"/>
      <c r="F6" s="6" t="s">
        <v>7</v>
      </c>
      <c r="G6" s="7" t="n">
        <f aca="false">'Source Data'!B12</f>
        <v>31.875</v>
      </c>
    </row>
    <row r="7" customFormat="false" ht="15" hidden="false" customHeight="false" outlineLevel="0" collapsed="false">
      <c r="A7" s="4"/>
      <c r="B7" s="4"/>
      <c r="C7" s="4"/>
      <c r="D7" s="4"/>
      <c r="F7" s="6" t="s">
        <v>8</v>
      </c>
      <c r="G7" s="7" t="n">
        <f aca="false">'Source Data'!D12</f>
        <v>1085</v>
      </c>
    </row>
    <row r="8" customFormat="false" ht="15" hidden="false" customHeight="false" outlineLevel="0" collapsed="false">
      <c r="A8" s="4"/>
      <c r="B8" s="4"/>
      <c r="C8" s="4"/>
      <c r="D8" s="4"/>
      <c r="F8" s="6" t="s">
        <v>9</v>
      </c>
      <c r="G8" s="7" t="n">
        <f aca="false">'Source Data'!D13</f>
        <v>155</v>
      </c>
    </row>
    <row r="9" customFormat="false" ht="15" hidden="false" customHeight="false" outlineLevel="0" collapsed="false">
      <c r="F9" s="6" t="s">
        <v>10</v>
      </c>
      <c r="G9" s="8" t="n">
        <f aca="false">'Source Data'!F12</f>
        <v>4</v>
      </c>
    </row>
    <row r="10" customFormat="false" ht="15" hidden="false" customHeight="false" outlineLevel="0" collapsed="false">
      <c r="A10" s="9" t="s">
        <v>11</v>
      </c>
      <c r="B10" s="9"/>
      <c r="C10" s="9"/>
      <c r="D10" s="9"/>
      <c r="F10" s="6" t="s">
        <v>12</v>
      </c>
      <c r="G10" s="8" t="str">
        <f aca="false">'Source Data'!B14</f>
        <v>crew</v>
      </c>
    </row>
    <row r="11" customFormat="false" ht="15" hidden="false" customHeight="false" outlineLevel="0" collapsed="false">
      <c r="A11" s="10" t="s">
        <v>13</v>
      </c>
      <c r="B11" s="10"/>
      <c r="C11" s="10"/>
      <c r="D11" s="10"/>
      <c r="F11" s="6" t="s">
        <v>14</v>
      </c>
      <c r="G11" s="8" t="str">
        <f aca="false">'Source Data'!B15</f>
        <v>mohawk</v>
      </c>
    </row>
    <row r="12" customFormat="false" ht="15" hidden="false" customHeight="false" outlineLevel="0" collapsed="false">
      <c r="F12" s="6" t="s">
        <v>15</v>
      </c>
      <c r="G12" s="8" t="n">
        <f aca="false">'Source Data'!C12</f>
        <v>34</v>
      </c>
    </row>
    <row r="13" customFormat="false" ht="26.85" hidden="false" customHeight="false" outlineLevel="0" collapsed="false">
      <c r="A13" s="11" t="s">
        <v>16</v>
      </c>
      <c r="B13" s="11" t="s">
        <v>17</v>
      </c>
      <c r="C13" s="11" t="s">
        <v>18</v>
      </c>
      <c r="D13" s="11" t="s">
        <v>19</v>
      </c>
    </row>
    <row r="14" customFormat="false" ht="15" hidden="false" customHeight="false" outlineLevel="0" collapsed="false">
      <c r="A14" s="12" t="str">
        <f aca="false">'Source Data'!A4</f>
        <v>bouffant</v>
      </c>
      <c r="B14" s="13" t="n">
        <f aca="false">'Source Data'!E4</f>
        <v>25</v>
      </c>
      <c r="C14" s="12" t="n">
        <f aca="false">'Source Data'!C4</f>
        <v>2</v>
      </c>
      <c r="D14" s="13" t="n">
        <f aca="false">'Source Data'!E4*'Source Data'!C4</f>
        <v>50</v>
      </c>
    </row>
    <row r="15" customFormat="false" ht="15" hidden="false" customHeight="false" outlineLevel="0" collapsed="false">
      <c r="A15" s="12" t="str">
        <f aca="false">'Source Data'!A5</f>
        <v>pixie</v>
      </c>
      <c r="B15" s="13" t="n">
        <f aca="false">'Source Data'!E5</f>
        <v>20</v>
      </c>
      <c r="C15" s="12" t="n">
        <f aca="false">'Source Data'!C5</f>
        <v>3</v>
      </c>
      <c r="D15" s="13" t="n">
        <f aca="false">'Source Data'!E5*'Source Data'!C5</f>
        <v>60</v>
      </c>
    </row>
    <row r="16" customFormat="false" ht="15" hidden="false" customHeight="false" outlineLevel="0" collapsed="false">
      <c r="A16" s="12" t="str">
        <f aca="false">'Source Data'!A7</f>
        <v>crew</v>
      </c>
      <c r="B16" s="13" t="n">
        <f aca="false">'Source Data'!E7</f>
        <v>15</v>
      </c>
      <c r="C16" s="12" t="n">
        <f aca="false">'Source Data'!C7</f>
        <v>8</v>
      </c>
      <c r="D16" s="13" t="n">
        <f aca="false">'Source Data'!E7*'Source Data'!C7</f>
        <v>120</v>
      </c>
    </row>
    <row r="17" customFormat="false" ht="15" hidden="false" customHeight="false" outlineLevel="0" collapsed="false">
      <c r="A17" s="12" t="str">
        <f aca="false">'Source Data'!A8</f>
        <v>bowl</v>
      </c>
      <c r="B17" s="13" t="n">
        <f aca="false">'Source Data'!E8</f>
        <v>15</v>
      </c>
      <c r="C17" s="12" t="n">
        <f aca="false">'Source Data'!C8</f>
        <v>4</v>
      </c>
      <c r="D17" s="13" t="n">
        <f aca="false">'Source Data'!E8*'Source Data'!C8</f>
        <v>60</v>
      </c>
    </row>
    <row r="19" customFormat="false" ht="15" hidden="false" customHeight="false" outlineLevel="0" collapsed="false">
      <c r="A19" s="9" t="s">
        <v>20</v>
      </c>
      <c r="B19" s="9"/>
      <c r="C19" s="9"/>
      <c r="D19" s="9"/>
    </row>
    <row r="20" customFormat="false" ht="15" hidden="false" customHeight="true" outlineLevel="0" collapsed="false">
      <c r="A20" s="14" t="s">
        <v>21</v>
      </c>
      <c r="B20" s="14"/>
      <c r="C20" s="14"/>
      <c r="D20" s="14"/>
      <c r="E20" s="14"/>
      <c r="F20" s="14"/>
      <c r="G20" s="14"/>
      <c r="H20" s="14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  <c r="G21" s="14"/>
      <c r="H21" s="1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14"/>
      <c r="H22" s="14"/>
    </row>
  </sheetData>
  <mergeCells count="9">
    <mergeCell ref="A1:H1"/>
    <mergeCell ref="A2:H2"/>
    <mergeCell ref="A4:D4"/>
    <mergeCell ref="F4:H4"/>
    <mergeCell ref="A5:D8"/>
    <mergeCell ref="A10:D10"/>
    <mergeCell ref="A11:D11"/>
    <mergeCell ref="A19:D19"/>
    <mergeCell ref="A20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5" min="3" style="0" width="14"/>
    <col collapsed="false" customWidth="true" hidden="false" outlineLevel="0" max="6" min="6" style="0" width="12"/>
    <col collapsed="false" customWidth="true" hidden="false" outlineLevel="0" max="7" min="7" style="0" width="22"/>
  </cols>
  <sheetData>
    <row r="1" customFormat="false" ht="19.7" hidden="false" customHeight="false" outlineLevel="0" collapsed="false">
      <c r="A1" s="1" t="s">
        <v>22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23</v>
      </c>
      <c r="B2" s="2"/>
      <c r="C2" s="2"/>
      <c r="D2" s="2"/>
      <c r="E2" s="2"/>
      <c r="F2" s="2"/>
      <c r="G2" s="2"/>
    </row>
    <row r="3" customFormat="false" ht="26.85" hidden="false" customHeight="false" outlineLevel="0" collapsed="false">
      <c r="A3" s="15" t="s">
        <v>16</v>
      </c>
      <c r="B3" s="15" t="s">
        <v>24</v>
      </c>
      <c r="C3" s="15" t="s">
        <v>25</v>
      </c>
      <c r="D3" s="15" t="s">
        <v>26</v>
      </c>
      <c r="E3" s="15" t="s">
        <v>27</v>
      </c>
      <c r="F3" s="15" t="s">
        <v>28</v>
      </c>
      <c r="G3" s="15" t="s">
        <v>29</v>
      </c>
    </row>
    <row r="4" customFormat="false" ht="15" hidden="false" customHeight="false" outlineLevel="0" collapsed="false">
      <c r="A4" s="16" t="s">
        <v>30</v>
      </c>
      <c r="B4" s="17" t="n">
        <v>30</v>
      </c>
      <c r="C4" s="18" t="n">
        <v>2</v>
      </c>
      <c r="D4" s="19" t="n">
        <f aca="false">B4*C4</f>
        <v>60</v>
      </c>
      <c r="E4" s="7" t="n">
        <f aca="false">B4-Simulator!$B$3</f>
        <v>25</v>
      </c>
      <c r="F4" s="20" t="str">
        <f aca="false">IF(E4&lt;30,"Yes","No")</f>
        <v>Yes</v>
      </c>
      <c r="G4" s="19" t="n">
        <f aca="false">E4*C4</f>
        <v>50</v>
      </c>
    </row>
    <row r="5" customFormat="false" ht="15" hidden="false" customHeight="false" outlineLevel="0" collapsed="false">
      <c r="A5" s="16" t="s">
        <v>31</v>
      </c>
      <c r="B5" s="17" t="n">
        <v>25</v>
      </c>
      <c r="C5" s="18" t="n">
        <v>3</v>
      </c>
      <c r="D5" s="19" t="n">
        <f aca="false">B5*C5</f>
        <v>75</v>
      </c>
      <c r="E5" s="7" t="n">
        <f aca="false">B5-Simulator!$B$3</f>
        <v>20</v>
      </c>
      <c r="F5" s="20" t="str">
        <f aca="false">IF(E5&lt;30,"Yes","No")</f>
        <v>Yes</v>
      </c>
      <c r="G5" s="19" t="n">
        <f aca="false">E5*C5</f>
        <v>60</v>
      </c>
    </row>
    <row r="6" customFormat="false" ht="15" hidden="false" customHeight="false" outlineLevel="0" collapsed="false">
      <c r="A6" s="16" t="s">
        <v>32</v>
      </c>
      <c r="B6" s="17" t="n">
        <v>40</v>
      </c>
      <c r="C6" s="18" t="n">
        <v>5</v>
      </c>
      <c r="D6" s="19" t="n">
        <f aca="false">B6*C6</f>
        <v>200</v>
      </c>
      <c r="E6" s="7" t="n">
        <f aca="false">B6-Simulator!$B$3</f>
        <v>35</v>
      </c>
      <c r="F6" s="20" t="str">
        <f aca="false">IF(E6&lt;30,"Yes","No")</f>
        <v>No</v>
      </c>
      <c r="G6" s="19" t="n">
        <f aca="false">E6*C6</f>
        <v>175</v>
      </c>
    </row>
    <row r="7" customFormat="false" ht="15" hidden="false" customHeight="false" outlineLevel="0" collapsed="false">
      <c r="A7" s="16" t="s">
        <v>33</v>
      </c>
      <c r="B7" s="17" t="n">
        <v>20</v>
      </c>
      <c r="C7" s="18" t="n">
        <v>8</v>
      </c>
      <c r="D7" s="19" t="n">
        <f aca="false">B7*C7</f>
        <v>160</v>
      </c>
      <c r="E7" s="7" t="n">
        <f aca="false">B7-Simulator!$B$3</f>
        <v>15</v>
      </c>
      <c r="F7" s="20" t="str">
        <f aca="false">IF(E7&lt;30,"Yes","No")</f>
        <v>Yes</v>
      </c>
      <c r="G7" s="19" t="n">
        <f aca="false">E7*C7</f>
        <v>120</v>
      </c>
    </row>
    <row r="8" customFormat="false" ht="15" hidden="false" customHeight="false" outlineLevel="0" collapsed="false">
      <c r="A8" s="16" t="s">
        <v>34</v>
      </c>
      <c r="B8" s="17" t="n">
        <v>20</v>
      </c>
      <c r="C8" s="18" t="n">
        <v>4</v>
      </c>
      <c r="D8" s="19" t="n">
        <f aca="false">B8*C8</f>
        <v>80</v>
      </c>
      <c r="E8" s="7" t="n">
        <f aca="false">B8-Simulator!$B$3</f>
        <v>15</v>
      </c>
      <c r="F8" s="20" t="str">
        <f aca="false">IF(E8&lt;30,"Yes","No")</f>
        <v>Yes</v>
      </c>
      <c r="G8" s="19" t="n">
        <f aca="false">E8*C8</f>
        <v>60</v>
      </c>
    </row>
    <row r="9" customFormat="false" ht="15" hidden="false" customHeight="false" outlineLevel="0" collapsed="false">
      <c r="A9" s="16" t="s">
        <v>35</v>
      </c>
      <c r="B9" s="17" t="n">
        <v>35</v>
      </c>
      <c r="C9" s="18" t="n">
        <v>4</v>
      </c>
      <c r="D9" s="19" t="n">
        <f aca="false">B9*C9</f>
        <v>140</v>
      </c>
      <c r="E9" s="7" t="n">
        <f aca="false">B9-Simulator!$B$3</f>
        <v>30</v>
      </c>
      <c r="F9" s="20" t="str">
        <f aca="false">IF(E9&lt;30,"Yes","No")</f>
        <v>No</v>
      </c>
      <c r="G9" s="19" t="n">
        <f aca="false">E9*C9</f>
        <v>120</v>
      </c>
    </row>
    <row r="10" customFormat="false" ht="15" hidden="false" customHeight="false" outlineLevel="0" collapsed="false">
      <c r="A10" s="16" t="s">
        <v>36</v>
      </c>
      <c r="B10" s="17" t="n">
        <v>50</v>
      </c>
      <c r="C10" s="18" t="n">
        <v>6</v>
      </c>
      <c r="D10" s="19" t="n">
        <f aca="false">B10*C10</f>
        <v>300</v>
      </c>
      <c r="E10" s="7" t="n">
        <f aca="false">B10-Simulator!$B$3</f>
        <v>45</v>
      </c>
      <c r="F10" s="20" t="str">
        <f aca="false">IF(E10&lt;30,"Yes","No")</f>
        <v>No</v>
      </c>
      <c r="G10" s="19" t="n">
        <f aca="false">E10*C10</f>
        <v>270</v>
      </c>
    </row>
    <row r="11" customFormat="false" ht="15" hidden="false" customHeight="false" outlineLevel="0" collapsed="false">
      <c r="A11" s="16" t="s">
        <v>37</v>
      </c>
      <c r="B11" s="17" t="n">
        <v>35</v>
      </c>
      <c r="C11" s="18" t="n">
        <v>2</v>
      </c>
      <c r="D11" s="19" t="n">
        <f aca="false">B11*C11</f>
        <v>70</v>
      </c>
      <c r="E11" s="7" t="n">
        <f aca="false">B11-Simulator!$B$3</f>
        <v>30</v>
      </c>
      <c r="F11" s="20" t="str">
        <f aca="false">IF(E11&lt;30,"Yes","No")</f>
        <v>No</v>
      </c>
      <c r="G11" s="19" t="n">
        <f aca="false">E11*C11</f>
        <v>60</v>
      </c>
    </row>
    <row r="12" customFormat="false" ht="15" hidden="false" customHeight="false" outlineLevel="0" collapsed="false">
      <c r="A12" s="21" t="s">
        <v>38</v>
      </c>
      <c r="B12" s="22" t="n">
        <f aca="false">AVERAGE(B4:B11)</f>
        <v>31.875</v>
      </c>
      <c r="C12" s="21" t="n">
        <f aca="false">SUM(C4:C11)</f>
        <v>34</v>
      </c>
      <c r="D12" s="22" t="n">
        <f aca="false">SUM(D4:D11)</f>
        <v>1085</v>
      </c>
      <c r="E12" s="22" t="n">
        <f aca="false">AVERAGE(E4:E11)</f>
        <v>26.875</v>
      </c>
      <c r="F12" s="21" t="n">
        <f aca="false">COUNTIF(F4:F11,"Yes")</f>
        <v>4</v>
      </c>
      <c r="G12" s="22" t="n">
        <f aca="false">SUM(G4:G11)</f>
        <v>915</v>
      </c>
    </row>
    <row r="13" customFormat="false" ht="15" hidden="false" customHeight="false" outlineLevel="0" collapsed="false">
      <c r="A13" s="0" t="s">
        <v>39</v>
      </c>
      <c r="D13" s="23" t="n">
        <f aca="false">D12/7</f>
        <v>155</v>
      </c>
    </row>
    <row r="14" customFormat="false" ht="15" hidden="false" customHeight="false" outlineLevel="0" collapsed="false">
      <c r="A14" s="24" t="s">
        <v>12</v>
      </c>
      <c r="B14" s="25" t="str">
        <f aca="false">INDEX(A4:A11,MATCH(MAX(C4:C11),C4:C11,0))</f>
        <v>crew</v>
      </c>
      <c r="C14" s="26" t="n">
        <f aca="false">MAX(C4:C11)</f>
        <v>8</v>
      </c>
    </row>
    <row r="15" customFormat="false" ht="15" hidden="false" customHeight="false" outlineLevel="0" collapsed="false">
      <c r="A15" s="24" t="s">
        <v>14</v>
      </c>
      <c r="B15" s="25" t="str">
        <f aca="false">INDEX(A4:A11,MATCH(MAX(D4:D11),D4:D11,0))</f>
        <v>mohawk</v>
      </c>
      <c r="C15" s="27" t="n">
        <f aca="false">MAX(D4:D11)</f>
        <v>300</v>
      </c>
    </row>
    <row r="17" customFormat="false" ht="15" hidden="false" customHeight="false" outlineLevel="0" collapsed="false">
      <c r="A17" s="2" t="s">
        <v>40</v>
      </c>
      <c r="B17" s="2"/>
      <c r="C17" s="2"/>
      <c r="D17" s="2"/>
      <c r="E17" s="2"/>
      <c r="F17" s="2"/>
      <c r="G17" s="2"/>
    </row>
  </sheetData>
  <mergeCells count="3">
    <mergeCell ref="A1:G1"/>
    <mergeCell ref="A2:G2"/>
    <mergeCell ref="A17:G17"/>
  </mergeCells>
  <conditionalFormatting sqref="F4:F11">
    <cfRule type="expression" priority="2" aboveAverage="0" equalAverage="0" bottom="0" percent="0" rank="0" text="" dxfId="0">
      <formula>F4="Yes"</formula>
    </cfRule>
    <cfRule type="expression" priority="3" aboveAverage="0" equalAverage="0" bottom="0" percent="0" rank="0" text="" dxfId="1">
      <formula>F4="No"</formula>
    </cfRule>
  </conditionalFormatting>
  <conditionalFormatting sqref="E4:E11">
    <cfRule type="cellIs" priority="4" operator="lessThan" aboveAverage="0" equalAverage="0" bottom="0" percent="0" rank="0" text="" dxfId="0">
      <formula>30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55"/>
  </cols>
  <sheetData>
    <row r="1" customFormat="false" ht="19.7" hidden="false" customHeight="false" outlineLevel="0" collapsed="false">
      <c r="A1" s="1" t="s">
        <v>41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8" t="s">
        <v>42</v>
      </c>
    </row>
    <row r="4" customFormat="false" ht="15" hidden="false" customHeight="false" outlineLevel="0" collapsed="false">
      <c r="A4" s="9" t="s">
        <v>43</v>
      </c>
      <c r="B4" s="9"/>
      <c r="C4" s="9"/>
    </row>
    <row r="5" customFormat="false" ht="15" hidden="false" customHeight="false" outlineLevel="0" collapsed="false">
      <c r="A5" s="0" t="s">
        <v>44</v>
      </c>
      <c r="B5" s="27" t="n">
        <f aca="false">SUM('Source Data'!B4:B11)</f>
        <v>255</v>
      </c>
      <c r="C5" s="26" t="s">
        <v>45</v>
      </c>
    </row>
    <row r="6" customFormat="false" ht="15" hidden="false" customHeight="false" outlineLevel="0" collapsed="false">
      <c r="A6" s="0" t="s">
        <v>46</v>
      </c>
      <c r="B6" s="27" t="n">
        <f aca="false">B5/COUNTA('Source Data'!A4:A11)</f>
        <v>31.875</v>
      </c>
      <c r="C6" s="26" t="s">
        <v>47</v>
      </c>
    </row>
    <row r="7" customFormat="false" ht="15" hidden="false" customHeight="false" outlineLevel="0" collapsed="false">
      <c r="A7" s="0" t="s">
        <v>48</v>
      </c>
      <c r="B7" s="0" t="str">
        <f aca="false">CONCATENATE("Average Haircut Price: ", TEXT(B6,"0.000"))</f>
        <v>Average Haircut Price: 31.875</v>
      </c>
      <c r="C7" s="0" t="s">
        <v>49</v>
      </c>
    </row>
    <row r="9" customFormat="false" ht="15" hidden="false" customHeight="false" outlineLevel="0" collapsed="false">
      <c r="A9" s="9" t="s">
        <v>50</v>
      </c>
      <c r="B9" s="9"/>
      <c r="C9" s="9"/>
    </row>
    <row r="10" customFormat="false" ht="15" hidden="false" customHeight="false" outlineLevel="0" collapsed="false">
      <c r="A10" s="0" t="s">
        <v>51</v>
      </c>
      <c r="B10" s="29" t="n">
        <f aca="false">Simulator!B3</f>
        <v>5</v>
      </c>
      <c r="C10" s="26" t="s">
        <v>52</v>
      </c>
    </row>
    <row r="11" customFormat="false" ht="15" hidden="false" customHeight="false" outlineLevel="0" collapsed="false">
      <c r="A11" s="0" t="s">
        <v>53</v>
      </c>
      <c r="C11" s="0" t="s">
        <v>54</v>
      </c>
    </row>
    <row r="13" customFormat="false" ht="15" hidden="false" customHeight="false" outlineLevel="0" collapsed="false">
      <c r="A13" s="9" t="s">
        <v>55</v>
      </c>
      <c r="B13" s="9"/>
      <c r="C13" s="9"/>
    </row>
    <row r="14" customFormat="false" ht="15" hidden="false" customHeight="false" outlineLevel="0" collapsed="false">
      <c r="A14" s="0" t="s">
        <v>56</v>
      </c>
      <c r="B14" s="27" t="n">
        <f aca="false">'Source Data'!D12</f>
        <v>1085</v>
      </c>
      <c r="C14" s="26" t="s">
        <v>57</v>
      </c>
    </row>
    <row r="15" customFormat="false" ht="15" hidden="false" customHeight="false" outlineLevel="0" collapsed="false">
      <c r="A15" s="0" t="s">
        <v>48</v>
      </c>
      <c r="B15" s="0" t="str">
        <f aca="false">CONCATENATE("Total Revenue: ", TEXT(B14,"0"))</f>
        <v>Total Revenue: 1085</v>
      </c>
    </row>
    <row r="17" customFormat="false" ht="15" hidden="false" customHeight="false" outlineLevel="0" collapsed="false">
      <c r="A17" s="9" t="s">
        <v>58</v>
      </c>
      <c r="B17" s="9"/>
      <c r="C17" s="9"/>
    </row>
    <row r="18" customFormat="false" ht="15" hidden="false" customHeight="false" outlineLevel="0" collapsed="false">
      <c r="A18" s="0" t="s">
        <v>59</v>
      </c>
      <c r="B18" s="27" t="n">
        <f aca="false">B14/7</f>
        <v>155</v>
      </c>
      <c r="C18" s="26" t="s">
        <v>60</v>
      </c>
    </row>
    <row r="20" customFormat="false" ht="15" hidden="false" customHeight="false" outlineLevel="0" collapsed="false">
      <c r="A20" s="9" t="s">
        <v>61</v>
      </c>
      <c r="B20" s="9"/>
      <c r="C20" s="9"/>
    </row>
    <row r="21" customFormat="false" ht="15" hidden="false" customHeight="false" outlineLevel="0" collapsed="false">
      <c r="A21" s="0" t="s">
        <v>62</v>
      </c>
      <c r="B21" s="0" t="n">
        <f aca="false">'Source Data'!F12</f>
        <v>4</v>
      </c>
      <c r="C21" s="0" t="s">
        <v>63</v>
      </c>
    </row>
    <row r="22" customFormat="false" ht="15" hidden="false" customHeight="false" outlineLevel="0" collapsed="false">
      <c r="A22" s="0" t="s">
        <v>64</v>
      </c>
    </row>
    <row r="24" customFormat="false" ht="15" hidden="false" customHeight="false" outlineLevel="0" collapsed="false">
      <c r="A24" s="9" t="s">
        <v>65</v>
      </c>
      <c r="B24" s="9"/>
      <c r="C24" s="9"/>
    </row>
    <row r="25" customFormat="false" ht="15" hidden="false" customHeight="true" outlineLevel="0" collapsed="false">
      <c r="A25" s="14" t="s">
        <v>66</v>
      </c>
      <c r="B25" s="14"/>
      <c r="C25" s="14"/>
      <c r="D25" s="14"/>
      <c r="E25" s="14"/>
      <c r="F25" s="14"/>
    </row>
    <row r="26" customFormat="false" ht="15" hidden="false" customHeight="false" outlineLevel="0" collapsed="false">
      <c r="A26" s="14"/>
      <c r="B26" s="14"/>
      <c r="C26" s="14"/>
      <c r="D26" s="14"/>
      <c r="E26" s="14"/>
      <c r="F26" s="14"/>
    </row>
    <row r="27" customFormat="false" ht="15" hidden="false" customHeight="false" outlineLevel="0" collapsed="false">
      <c r="A27" s="14"/>
      <c r="B27" s="14"/>
      <c r="C27" s="14"/>
      <c r="D27" s="14"/>
      <c r="E27" s="14"/>
      <c r="F27" s="14"/>
    </row>
    <row r="28" customFormat="false" ht="15" hidden="false" customHeight="false" outlineLevel="0" collapsed="false">
      <c r="A28" s="14"/>
      <c r="B28" s="14"/>
      <c r="C28" s="14"/>
      <c r="D28" s="14"/>
      <c r="E28" s="14"/>
      <c r="F28" s="14"/>
    </row>
    <row r="29" customFormat="false" ht="15" hidden="false" customHeight="false" outlineLevel="0" collapsed="false">
      <c r="A29" s="14"/>
      <c r="B29" s="14"/>
      <c r="C29" s="14"/>
      <c r="D29" s="14"/>
      <c r="E29" s="14"/>
      <c r="F29" s="14"/>
    </row>
  </sheetData>
  <mergeCells count="8">
    <mergeCell ref="A1:F1"/>
    <mergeCell ref="A4:C4"/>
    <mergeCell ref="A9:C9"/>
    <mergeCell ref="A13:C13"/>
    <mergeCell ref="A17:C17"/>
    <mergeCell ref="A20:C20"/>
    <mergeCell ref="A24:C24"/>
    <mergeCell ref="A25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5" min="4" style="0" width="22"/>
  </cols>
  <sheetData>
    <row r="1" customFormat="false" ht="19.7" hidden="false" customHeight="false" outlineLevel="0" collapsed="false">
      <c r="A1" s="1" t="s">
        <v>67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8" t="s">
        <v>68</v>
      </c>
    </row>
    <row r="3" customFormat="false" ht="15" hidden="false" customHeight="false" outlineLevel="0" collapsed="false">
      <c r="A3" s="0" t="s">
        <v>69</v>
      </c>
      <c r="B3" s="17" t="n">
        <v>5</v>
      </c>
      <c r="C3" s="26" t="s">
        <v>70</v>
      </c>
    </row>
    <row r="4" customFormat="false" ht="15" hidden="false" customHeight="false" outlineLevel="0" collapsed="false">
      <c r="A4" s="0" t="s">
        <v>71</v>
      </c>
      <c r="B4" s="30" t="n">
        <v>1</v>
      </c>
      <c r="C4" s="26" t="s">
        <v>72</v>
      </c>
    </row>
    <row r="6" customFormat="false" ht="15" hidden="false" customHeight="false" outlineLevel="0" collapsed="false">
      <c r="A6" s="9" t="s">
        <v>73</v>
      </c>
      <c r="B6" s="9"/>
      <c r="C6" s="9"/>
      <c r="D6" s="9"/>
    </row>
    <row r="7" customFormat="false" ht="15" hidden="false" customHeight="false" outlineLevel="0" collapsed="false">
      <c r="A7" s="0" t="s">
        <v>74</v>
      </c>
      <c r="B7" s="0" t="n">
        <f aca="false">ROUND('Source Data'!C12*B4,0)</f>
        <v>34</v>
      </c>
      <c r="C7" s="0" t="s">
        <v>75</v>
      </c>
    </row>
    <row r="8" customFormat="false" ht="15" hidden="false" customHeight="false" outlineLevel="0" collapsed="false">
      <c r="A8" s="0" t="s">
        <v>76</v>
      </c>
      <c r="B8" s="27" t="n">
        <f aca="false">'Source Data'!D12*B4</f>
        <v>1085</v>
      </c>
      <c r="C8" s="26" t="s">
        <v>77</v>
      </c>
    </row>
    <row r="9" customFormat="false" ht="15" hidden="false" customHeight="false" outlineLevel="0" collapsed="false">
      <c r="A9" s="0" t="s">
        <v>78</v>
      </c>
      <c r="B9" s="27" t="n">
        <f aca="false">B8/7</f>
        <v>155</v>
      </c>
    </row>
    <row r="10" customFormat="false" ht="15" hidden="false" customHeight="false" outlineLevel="0" collapsed="false">
      <c r="A10" s="0" t="s">
        <v>79</v>
      </c>
      <c r="B10" s="27" t="n">
        <f aca="false">'Source Data'!E12</f>
        <v>26.875</v>
      </c>
      <c r="C10" s="26" t="s">
        <v>80</v>
      </c>
    </row>
    <row r="11" customFormat="false" ht="15" hidden="false" customHeight="false" outlineLevel="0" collapsed="false">
      <c r="A11" s="0" t="s">
        <v>81</v>
      </c>
      <c r="B11" s="0" t="n">
        <f aca="false">'Source Data'!F12</f>
        <v>4</v>
      </c>
      <c r="C11" s="0" t="s">
        <v>82</v>
      </c>
    </row>
    <row r="12" customFormat="false" ht="15" hidden="false" customHeight="false" outlineLevel="0" collapsed="false">
      <c r="A12" s="0" t="s">
        <v>83</v>
      </c>
      <c r="B12" s="27" t="n">
        <f aca="false">B8*4</f>
        <v>4340</v>
      </c>
    </row>
    <row r="13" customFormat="false" ht="15" hidden="false" customHeight="false" outlineLevel="0" collapsed="false">
      <c r="A13" s="0" t="s">
        <v>84</v>
      </c>
      <c r="B13" s="27" t="n">
        <f aca="false">'Source Data'!G12*B4*4</f>
        <v>3660</v>
      </c>
    </row>
    <row r="14" customFormat="false" ht="15" hidden="false" customHeight="false" outlineLevel="0" collapsed="false">
      <c r="A14" s="0" t="s">
        <v>85</v>
      </c>
      <c r="B14" s="31" t="n">
        <f aca="false">B12-B13</f>
        <v>680</v>
      </c>
    </row>
    <row r="16" customFormat="false" ht="15" hidden="false" customHeight="false" outlineLevel="0" collapsed="false">
      <c r="A16" s="9" t="s">
        <v>86</v>
      </c>
      <c r="B16" s="9"/>
      <c r="C16" s="9"/>
      <c r="D16" s="9"/>
      <c r="E16" s="9"/>
    </row>
    <row r="17" customFormat="false" ht="26.85" hidden="false" customHeight="false" outlineLevel="0" collapsed="false">
      <c r="A17" s="32" t="s">
        <v>87</v>
      </c>
      <c r="B17" s="32" t="s">
        <v>88</v>
      </c>
      <c r="C17" s="32" t="s">
        <v>89</v>
      </c>
      <c r="D17" s="32" t="s">
        <v>90</v>
      </c>
      <c r="E17" s="32" t="s">
        <v>91</v>
      </c>
    </row>
    <row r="18" customFormat="false" ht="15" hidden="false" customHeight="false" outlineLevel="0" collapsed="false">
      <c r="A18" s="33" t="n">
        <v>0</v>
      </c>
      <c r="B18" s="19" t="n">
        <f aca="false">'Source Data'!B12-0</f>
        <v>31.875</v>
      </c>
      <c r="C18" s="34" t="n">
        <f aca="false">SUMPRODUCT(--(('Source Data'!B4:B11-0)&lt;30))</f>
        <v>3</v>
      </c>
      <c r="D18" s="19" t="n">
        <f aca="false">4*SUMPRODUCT(('Source Data'!B4:B11-0)*'Source Data'!C4:C11)</f>
        <v>4340</v>
      </c>
      <c r="E18" s="19" t="n">
        <f aca="false">4*'Source Data'!D12-D18</f>
        <v>0</v>
      </c>
    </row>
    <row r="19" customFormat="false" ht="15" hidden="false" customHeight="false" outlineLevel="0" collapsed="false">
      <c r="A19" s="33" t="n">
        <v>3</v>
      </c>
      <c r="B19" s="19" t="n">
        <f aca="false">'Source Data'!B12-3</f>
        <v>28.875</v>
      </c>
      <c r="C19" s="34" t="n">
        <f aca="false">SUMPRODUCT(--(('Source Data'!B4:B11-3)&lt;30))</f>
        <v>4</v>
      </c>
      <c r="D19" s="19" t="n">
        <f aca="false">4*SUMPRODUCT(('Source Data'!B4:B11-3)*'Source Data'!C4:C11)</f>
        <v>3932</v>
      </c>
      <c r="E19" s="19" t="n">
        <f aca="false">4*'Source Data'!D12-D19</f>
        <v>408</v>
      </c>
    </row>
    <row r="20" customFormat="false" ht="15" hidden="false" customHeight="false" outlineLevel="0" collapsed="false">
      <c r="A20" s="35" t="n">
        <v>5</v>
      </c>
      <c r="B20" s="36" t="n">
        <f aca="false">'Source Data'!B12-5</f>
        <v>26.875</v>
      </c>
      <c r="C20" s="37" t="n">
        <f aca="false">SUMPRODUCT(--(('Source Data'!B4:B11-5)&lt;30))</f>
        <v>4</v>
      </c>
      <c r="D20" s="36" t="n">
        <f aca="false">4*SUMPRODUCT(('Source Data'!B4:B11-5)*'Source Data'!C4:C11)</f>
        <v>3660</v>
      </c>
      <c r="E20" s="36" t="n">
        <f aca="false">4*'Source Data'!D12-D20</f>
        <v>680</v>
      </c>
    </row>
    <row r="21" customFormat="false" ht="15" hidden="false" customHeight="false" outlineLevel="0" collapsed="false">
      <c r="A21" s="33" t="n">
        <v>8</v>
      </c>
      <c r="B21" s="19" t="n">
        <f aca="false">'Source Data'!B12-8</f>
        <v>23.875</v>
      </c>
      <c r="C21" s="34" t="n">
        <f aca="false">SUMPRODUCT(--(('Source Data'!B4:B11-8)&lt;30))</f>
        <v>6</v>
      </c>
      <c r="D21" s="19" t="n">
        <f aca="false">4*SUMPRODUCT(('Source Data'!B4:B11-8)*'Source Data'!C4:C11)</f>
        <v>3252</v>
      </c>
      <c r="E21" s="19" t="n">
        <f aca="false">4*'Source Data'!D12-D21</f>
        <v>1088</v>
      </c>
    </row>
    <row r="22" customFormat="false" ht="15" hidden="false" customHeight="false" outlineLevel="0" collapsed="false">
      <c r="A22" s="33" t="n">
        <v>10</v>
      </c>
      <c r="B22" s="19" t="n">
        <f aca="false">'Source Data'!B12-10</f>
        <v>21.875</v>
      </c>
      <c r="C22" s="34" t="n">
        <f aca="false">SUMPRODUCT(--(('Source Data'!B4:B11-10)&lt;30))</f>
        <v>6</v>
      </c>
      <c r="D22" s="19" t="n">
        <f aca="false">4*SUMPRODUCT(('Source Data'!B4:B11-10)*'Source Data'!C4:C11)</f>
        <v>2980</v>
      </c>
      <c r="E22" s="19" t="n">
        <f aca="false">4*'Source Data'!D12-D22</f>
        <v>1360</v>
      </c>
    </row>
    <row r="24" customFormat="false" ht="15" hidden="false" customHeight="false" outlineLevel="0" collapsed="false">
      <c r="A24" s="2" t="s">
        <v>92</v>
      </c>
      <c r="B24" s="2"/>
      <c r="C24" s="2"/>
      <c r="D24" s="2"/>
      <c r="E24" s="2"/>
    </row>
    <row r="26" customFormat="false" ht="15" hidden="false" customHeight="false" outlineLevel="0" collapsed="false">
      <c r="A26" s="38" t="s">
        <v>93</v>
      </c>
    </row>
    <row r="27" customFormat="false" ht="15" hidden="false" customHeight="false" outlineLevel="0" collapsed="false">
      <c r="A27" s="39" t="s">
        <v>94</v>
      </c>
      <c r="B27" s="39"/>
      <c r="C27" s="39"/>
      <c r="D27" s="39"/>
      <c r="E27" s="39"/>
    </row>
    <row r="28" customFormat="false" ht="15" hidden="false" customHeight="false" outlineLevel="0" collapsed="false">
      <c r="A28" s="39"/>
      <c r="B28" s="39"/>
      <c r="C28" s="39"/>
      <c r="D28" s="39"/>
      <c r="E28" s="39"/>
    </row>
  </sheetData>
  <mergeCells count="5">
    <mergeCell ref="A1:F1"/>
    <mergeCell ref="A6:D6"/>
    <mergeCell ref="A16:E16"/>
    <mergeCell ref="A24:E24"/>
    <mergeCell ref="A27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4" min="3" style="0" width="12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40" t="s">
        <v>95</v>
      </c>
    </row>
    <row r="3" customFormat="false" ht="15" hidden="false" customHeight="false" outlineLevel="0" collapsed="false">
      <c r="A3" s="41" t="s">
        <v>16</v>
      </c>
      <c r="B3" s="41" t="s">
        <v>96</v>
      </c>
      <c r="C3" s="41" t="s">
        <v>17</v>
      </c>
      <c r="D3" s="41" t="s">
        <v>18</v>
      </c>
      <c r="E3" s="41" t="s">
        <v>97</v>
      </c>
    </row>
    <row r="4" customFormat="false" ht="15" hidden="false" customHeight="false" outlineLevel="0" collapsed="false">
      <c r="A4" s="8" t="str">
        <f aca="false">'Source Data'!A4</f>
        <v>bouffant</v>
      </c>
      <c r="B4" s="42" t="n">
        <f aca="false">'Source Data'!B4</f>
        <v>30</v>
      </c>
      <c r="C4" s="42" t="n">
        <f aca="false">'Source Data'!E4</f>
        <v>25</v>
      </c>
      <c r="D4" s="8" t="n">
        <f aca="false">'Source Data'!C4</f>
        <v>2</v>
      </c>
      <c r="E4" s="42" t="n">
        <f aca="false">'Source Data'!D4</f>
        <v>60</v>
      </c>
    </row>
    <row r="5" customFormat="false" ht="15" hidden="false" customHeight="false" outlineLevel="0" collapsed="false">
      <c r="A5" s="8" t="str">
        <f aca="false">'Source Data'!A5</f>
        <v>pixie</v>
      </c>
      <c r="B5" s="42" t="n">
        <f aca="false">'Source Data'!B5</f>
        <v>25</v>
      </c>
      <c r="C5" s="42" t="n">
        <f aca="false">'Source Data'!E5</f>
        <v>20</v>
      </c>
      <c r="D5" s="8" t="n">
        <f aca="false">'Source Data'!C5</f>
        <v>3</v>
      </c>
      <c r="E5" s="42" t="n">
        <f aca="false">'Source Data'!D5</f>
        <v>75</v>
      </c>
    </row>
    <row r="6" customFormat="false" ht="15" hidden="false" customHeight="false" outlineLevel="0" collapsed="false">
      <c r="A6" s="8" t="str">
        <f aca="false">'Source Data'!A6</f>
        <v>dreadlocks</v>
      </c>
      <c r="B6" s="42" t="n">
        <f aca="false">'Source Data'!B6</f>
        <v>40</v>
      </c>
      <c r="C6" s="42" t="n">
        <f aca="false">'Source Data'!E6</f>
        <v>35</v>
      </c>
      <c r="D6" s="8" t="n">
        <f aca="false">'Source Data'!C6</f>
        <v>5</v>
      </c>
      <c r="E6" s="42" t="n">
        <f aca="false">'Source Data'!D6</f>
        <v>200</v>
      </c>
    </row>
    <row r="7" customFormat="false" ht="15" hidden="false" customHeight="false" outlineLevel="0" collapsed="false">
      <c r="A7" s="8" t="str">
        <f aca="false">'Source Data'!A7</f>
        <v>crew</v>
      </c>
      <c r="B7" s="42" t="n">
        <f aca="false">'Source Data'!B7</f>
        <v>20</v>
      </c>
      <c r="C7" s="42" t="n">
        <f aca="false">'Source Data'!E7</f>
        <v>15</v>
      </c>
      <c r="D7" s="8" t="n">
        <f aca="false">'Source Data'!C7</f>
        <v>8</v>
      </c>
      <c r="E7" s="42" t="n">
        <f aca="false">'Source Data'!D7</f>
        <v>160</v>
      </c>
    </row>
    <row r="8" customFormat="false" ht="15" hidden="false" customHeight="false" outlineLevel="0" collapsed="false">
      <c r="A8" s="8" t="str">
        <f aca="false">'Source Data'!A8</f>
        <v>bowl</v>
      </c>
      <c r="B8" s="42" t="n">
        <f aca="false">'Source Data'!B8</f>
        <v>20</v>
      </c>
      <c r="C8" s="42" t="n">
        <f aca="false">'Source Data'!E8</f>
        <v>15</v>
      </c>
      <c r="D8" s="8" t="n">
        <f aca="false">'Source Data'!C8</f>
        <v>4</v>
      </c>
      <c r="E8" s="42" t="n">
        <f aca="false">'Source Data'!D8</f>
        <v>80</v>
      </c>
    </row>
    <row r="9" customFormat="false" ht="15" hidden="false" customHeight="false" outlineLevel="0" collapsed="false">
      <c r="A9" s="8" t="str">
        <f aca="false">'Source Data'!A9</f>
        <v>bob</v>
      </c>
      <c r="B9" s="42" t="n">
        <f aca="false">'Source Data'!B9</f>
        <v>35</v>
      </c>
      <c r="C9" s="42" t="n">
        <f aca="false">'Source Data'!E9</f>
        <v>30</v>
      </c>
      <c r="D9" s="8" t="n">
        <f aca="false">'Source Data'!C9</f>
        <v>4</v>
      </c>
      <c r="E9" s="42" t="n">
        <f aca="false">'Source Data'!D9</f>
        <v>140</v>
      </c>
    </row>
    <row r="10" customFormat="false" ht="15" hidden="false" customHeight="false" outlineLevel="0" collapsed="false">
      <c r="A10" s="8" t="str">
        <f aca="false">'Source Data'!A10</f>
        <v>mohawk</v>
      </c>
      <c r="B10" s="42" t="n">
        <f aca="false">'Source Data'!B10</f>
        <v>50</v>
      </c>
      <c r="C10" s="42" t="n">
        <f aca="false">'Source Data'!E10</f>
        <v>45</v>
      </c>
      <c r="D10" s="8" t="n">
        <f aca="false">'Source Data'!C10</f>
        <v>6</v>
      </c>
      <c r="E10" s="42" t="n">
        <f aca="false">'Source Data'!D10</f>
        <v>300</v>
      </c>
    </row>
    <row r="11" customFormat="false" ht="15" hidden="false" customHeight="false" outlineLevel="0" collapsed="false">
      <c r="A11" s="8" t="str">
        <f aca="false">'Source Data'!A11</f>
        <v>flattop</v>
      </c>
      <c r="B11" s="42" t="n">
        <f aca="false">'Source Data'!B11</f>
        <v>35</v>
      </c>
      <c r="C11" s="42" t="n">
        <f aca="false">'Source Data'!E11</f>
        <v>30</v>
      </c>
      <c r="D11" s="8" t="n">
        <f aca="false">'Source Data'!C11</f>
        <v>2</v>
      </c>
      <c r="E11" s="42" t="n">
        <f aca="false">'Source Data'!D11</f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5"/>
  </cols>
  <sheetData>
    <row r="1" customFormat="false" ht="19.7" hidden="false" customHeight="false" outlineLevel="0" collapsed="false">
      <c r="A1" s="1" t="s">
        <v>98</v>
      </c>
      <c r="B1" s="1"/>
    </row>
    <row r="3" customFormat="false" ht="15" hidden="false" customHeight="false" outlineLevel="0" collapsed="false">
      <c r="A3" s="38" t="s">
        <v>99</v>
      </c>
    </row>
    <row r="4" customFormat="false" ht="15" hidden="false" customHeight="false" outlineLevel="0" collapsed="false">
      <c r="A4" s="24" t="s">
        <v>16</v>
      </c>
      <c r="B4" s="43" t="s">
        <v>100</v>
      </c>
    </row>
    <row r="5" customFormat="false" ht="15" hidden="false" customHeight="false" outlineLevel="0" collapsed="false">
      <c r="A5" s="24" t="s">
        <v>24</v>
      </c>
      <c r="B5" s="43" t="s">
        <v>101</v>
      </c>
    </row>
    <row r="6" customFormat="false" ht="15" hidden="false" customHeight="false" outlineLevel="0" collapsed="false">
      <c r="A6" s="24" t="s">
        <v>25</v>
      </c>
      <c r="B6" s="43" t="s">
        <v>102</v>
      </c>
    </row>
    <row r="7" customFormat="false" ht="15" hidden="false" customHeight="false" outlineLevel="0" collapsed="false">
      <c r="A7" s="24" t="s">
        <v>26</v>
      </c>
      <c r="B7" s="43" t="s">
        <v>103</v>
      </c>
    </row>
    <row r="8" customFormat="false" ht="15" hidden="false" customHeight="false" outlineLevel="0" collapsed="false">
      <c r="A8" s="24" t="s">
        <v>27</v>
      </c>
      <c r="B8" s="43" t="s">
        <v>104</v>
      </c>
    </row>
    <row r="9" customFormat="false" ht="15" hidden="false" customHeight="false" outlineLevel="0" collapsed="false">
      <c r="A9" s="24" t="s">
        <v>28</v>
      </c>
      <c r="B9" s="43" t="s">
        <v>105</v>
      </c>
    </row>
    <row r="10" customFormat="false" ht="15" hidden="false" customHeight="false" outlineLevel="0" collapsed="false">
      <c r="A10" s="24" t="s">
        <v>106</v>
      </c>
      <c r="B10" s="43" t="s">
        <v>107</v>
      </c>
    </row>
    <row r="12" customFormat="false" ht="15" hidden="false" customHeight="false" outlineLevel="0" collapsed="false">
      <c r="A12" s="38" t="s">
        <v>108</v>
      </c>
    </row>
    <row r="13" customFormat="false" ht="15" hidden="false" customHeight="true" outlineLevel="0" collapsed="false">
      <c r="A13" s="44" t="s">
        <v>109</v>
      </c>
      <c r="B13" s="44"/>
    </row>
    <row r="14" customFormat="false" ht="15" hidden="false" customHeight="false" outlineLevel="0" collapsed="false">
      <c r="A14" s="44"/>
      <c r="B14" s="44"/>
    </row>
    <row r="15" customFormat="false" ht="15" hidden="false" customHeight="false" outlineLevel="0" collapsed="false">
      <c r="A15" s="44"/>
      <c r="B15" s="44"/>
    </row>
    <row r="16" customFormat="false" ht="15" hidden="false" customHeight="false" outlineLevel="0" collapsed="false">
      <c r="A16" s="44"/>
      <c r="B16" s="44"/>
    </row>
    <row r="17" customFormat="false" ht="15" hidden="false" customHeight="false" outlineLevel="0" collapsed="false">
      <c r="A17" s="44"/>
      <c r="B17" s="44"/>
    </row>
    <row r="19" customFormat="false" ht="15" hidden="false" customHeight="false" outlineLevel="0" collapsed="false">
      <c r="A19" s="38" t="s">
        <v>110</v>
      </c>
    </row>
    <row r="20" customFormat="false" ht="15" hidden="false" customHeight="true" outlineLevel="0" collapsed="false">
      <c r="A20" s="44" t="s">
        <v>111</v>
      </c>
      <c r="B20" s="44"/>
    </row>
    <row r="21" customFormat="false" ht="15" hidden="false" customHeight="false" outlineLevel="0" collapsed="false">
      <c r="A21" s="44"/>
      <c r="B21" s="44"/>
    </row>
    <row r="22" customFormat="false" ht="15" hidden="false" customHeight="false" outlineLevel="0" collapsed="false">
      <c r="A22" s="44"/>
      <c r="B22" s="44"/>
    </row>
    <row r="23" customFormat="false" ht="15" hidden="false" customHeight="false" outlineLevel="0" collapsed="false">
      <c r="A23" s="44"/>
      <c r="B23" s="44"/>
    </row>
    <row r="24" customFormat="false" ht="15" hidden="false" customHeight="false" outlineLevel="0" collapsed="false">
      <c r="A24" s="44"/>
      <c r="B24" s="44"/>
    </row>
    <row r="26" customFormat="false" ht="15" hidden="false" customHeight="false" outlineLevel="0" collapsed="false">
      <c r="A26" s="38" t="s">
        <v>112</v>
      </c>
    </row>
    <row r="27" customFormat="false" ht="15" hidden="false" customHeight="true" outlineLevel="0" collapsed="false">
      <c r="A27" s="44" t="s">
        <v>113</v>
      </c>
      <c r="B27" s="44"/>
    </row>
    <row r="28" customFormat="false" ht="15" hidden="false" customHeight="false" outlineLevel="0" collapsed="false">
      <c r="A28" s="44"/>
      <c r="B28" s="44"/>
    </row>
    <row r="29" customFormat="false" ht="15" hidden="false" customHeight="false" outlineLevel="0" collapsed="false">
      <c r="A29" s="44"/>
      <c r="B29" s="44"/>
    </row>
  </sheetData>
  <mergeCells count="4">
    <mergeCell ref="A1:B1"/>
    <mergeCell ref="A13:B17"/>
    <mergeCell ref="A20:B24"/>
    <mergeCell ref="A27:B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2026-07-27T01:46:23Z</dcterms:created>
  <dc:creator>openpyxl</dc:creator>
  <dc:description/>
  <dc:language>en-US</dc:language>
  <cp:lastModifiedBy/>
  <dcterms:modified xsi:type="dcterms:W3CDTF">2026-07-27T01:46:29Z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