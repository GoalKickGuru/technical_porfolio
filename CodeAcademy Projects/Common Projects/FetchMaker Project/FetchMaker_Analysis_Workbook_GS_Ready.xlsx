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Breed Summary" sheetId="3" state="visible" r:id="rId5"/>
    <sheet name="Rescue Analysis" sheetId="4" state="visible" r:id="rId6"/>
    <sheet name="Weight Analysis" sheetId="5" state="visible" r:id="rId7"/>
    <sheet name="Color Contingency" sheetId="6" state="visible" r:id="rId8"/>
    <sheet name="Traits Deep Dive" sheetId="7" state="visible" r:id="rId9"/>
    <sheet name="Tool Comparison GS-Python-R"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Grouped SD pre-computed in Python. Array STDEV formulas are fragile across spreadsheet engines. Blue/yellow = transcribed.</t>
        </r>
      </text>
    </comment>
    <comment ref="F6" authorId="0">
      <text>
        <r>
          <rPr>
            <sz val="10"/>
            <rFont val="Arial"/>
            <family val="2"/>
          </rPr>
          <t xml:space="preserve">Grouped SD pre-computed in Python. Array STDEV formulas are fragile across spreadsheet engines. Blue/yellow = transcribed.</t>
        </r>
      </text>
    </comment>
    <comment ref="F7" authorId="0">
      <text>
        <r>
          <rPr>
            <sz val="10"/>
            <rFont val="Arial"/>
            <family val="2"/>
          </rPr>
          <t xml:space="preserve">Grouped SD pre-computed in Python. Array STDEV formulas are fragile across spreadsheet engines. Blue/yellow = transcribed.</t>
        </r>
      </text>
    </comment>
    <comment ref="F8" authorId="0">
      <text>
        <r>
          <rPr>
            <sz val="10"/>
            <rFont val="Arial"/>
            <family val="2"/>
          </rPr>
          <t xml:space="preserve">Grouped SD pre-computed in Python. Array STDEV formulas are fragile across spreadsheet engines. Blue/yellow = transcribed.</t>
        </r>
      </text>
    </comment>
    <comment ref="F9" authorId="0">
      <text>
        <r>
          <rPr>
            <sz val="10"/>
            <rFont val="Arial"/>
            <family val="2"/>
          </rPr>
          <t xml:space="preserve">Grouped SD pre-computed in Python. Array STDEV formulas are fragile across spreadsheet engines. Blue/yellow = transcribed.</t>
        </r>
      </text>
    </comment>
    <comment ref="F10" authorId="0">
      <text>
        <r>
          <rPr>
            <sz val="10"/>
            <rFont val="Arial"/>
            <family val="2"/>
          </rPr>
          <t xml:space="preserve">Grouped SD pre-computed in Python. Array STDEV formulas are fragile across spreadsheet engines. Blue/yellow = transcribed.</t>
        </r>
      </text>
    </comment>
    <comment ref="F11" authorId="0">
      <text>
        <r>
          <rPr>
            <sz val="10"/>
            <rFont val="Arial"/>
            <family val="2"/>
          </rPr>
          <t xml:space="preserve">Grouped SD pre-computed in Python. Array STDEV formulas are fragile across spreadsheet engines. Blue/yellow = transcribed.</t>
        </r>
      </text>
    </comment>
    <comment ref="F12" authorId="0">
      <text>
        <r>
          <rPr>
            <sz val="10"/>
            <rFont val="Arial"/>
            <family val="2"/>
          </rPr>
          <t xml:space="preserve">Grouped SD pre-computed in Python. Array STDEV formulas are fragile across spreadsheet engines. Blue/yellow = transcribed.</t>
        </r>
      </text>
    </comment>
    <comment ref="H5" authorId="0">
      <text>
        <r>
          <rPr>
            <sz val="10"/>
            <rFont val="Arial"/>
            <family val="2"/>
          </rPr>
          <t xml:space="preserve">SD pre-computed in Python. Blue/yellow = transcribed.</t>
        </r>
      </text>
    </comment>
    <comment ref="H6" authorId="0">
      <text>
        <r>
          <rPr>
            <sz val="10"/>
            <rFont val="Arial"/>
            <family val="2"/>
          </rPr>
          <t xml:space="preserve">SD pre-computed in Python. Blue/yellow = transcribed.</t>
        </r>
      </text>
    </comment>
    <comment ref="H7" authorId="0">
      <text>
        <r>
          <rPr>
            <sz val="10"/>
            <rFont val="Arial"/>
            <family val="2"/>
          </rPr>
          <t xml:space="preserve">SD pre-computed in Python. Blue/yellow = transcribed.</t>
        </r>
      </text>
    </comment>
    <comment ref="H8" authorId="0">
      <text>
        <r>
          <rPr>
            <sz val="10"/>
            <rFont val="Arial"/>
            <family val="2"/>
          </rPr>
          <t xml:space="preserve">SD pre-computed in Python. Blue/yellow = transcribed.</t>
        </r>
      </text>
    </comment>
    <comment ref="H9" authorId="0">
      <text>
        <r>
          <rPr>
            <sz val="10"/>
            <rFont val="Arial"/>
            <family val="2"/>
          </rPr>
          <t xml:space="preserve">SD pre-computed in Python. Blue/yellow = transcribed.</t>
        </r>
      </text>
    </comment>
    <comment ref="H10" authorId="0">
      <text>
        <r>
          <rPr>
            <sz val="10"/>
            <rFont val="Arial"/>
            <family val="2"/>
          </rPr>
          <t xml:space="preserve">SD pre-computed in Python. Blue/yellow = transcribed.</t>
        </r>
      </text>
    </comment>
    <comment ref="H11" authorId="0">
      <text>
        <r>
          <rPr>
            <sz val="10"/>
            <rFont val="Arial"/>
            <family val="2"/>
          </rPr>
          <t xml:space="preserve">SD pre-computed in Python. Blue/yellow = transcribed.</t>
        </r>
      </text>
    </comment>
    <comment ref="H12" authorId="0">
      <text>
        <r>
          <rPr>
            <sz val="10"/>
            <rFont val="Arial"/>
            <family val="2"/>
          </rPr>
          <t xml:space="preserve">SD pre-computed in Python. Blue/yellow = transcribed.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Exact binomial test is not available as a native Excel function. BINOM.DIST can approximate one-sided probabilities but the two-sided exact test + CI require Python/R or specialized add-ins.</t>
        </r>
      </text>
    </comment>
  </commentList>
</comments>
</file>

<file path=xl/sharedStrings.xml><?xml version="1.0" encoding="utf-8"?>
<sst xmlns="http://schemas.openxmlformats.org/spreadsheetml/2006/main" count="2733" uniqueCount="992">
  <si>
    <t xml:space="preserve">FetchMaker Dog Matching — Analysis Dashboard</t>
  </si>
  <si>
    <t xml:space="preserve">Interactive spreadsheet companion to the Python/Jupyter analysis. Yellow cells = key assumptions or results transcribed from rigorous Python tests. Blue text = editable inputs.</t>
  </si>
  <si>
    <t xml:space="preserve">KEY PERFORMANCE INDICATORS</t>
  </si>
  <si>
    <t xml:space="preserve">Sample Size</t>
  </si>
  <si>
    <t xml:space="preserve">Breeds</t>
  </si>
  <si>
    <t xml:space="preserve">Overall Rescue Rate</t>
  </si>
  <si>
    <t xml:space="preserve">Historical Benchmark</t>
  </si>
  <si>
    <t xml:space="preserve">800</t>
  </si>
  <si>
    <t xml:space="preserve">8</t>
  </si>
  <si>
    <t xml:space="preserve">9.1%</t>
  </si>
  <si>
    <t xml:space="preserve">8.0%</t>
  </si>
  <si>
    <t xml:space="preserve">HEADLINE FINDINGS (from Python statistical tests)</t>
  </si>
  <si>
    <t xml:space="preserve">Finding</t>
  </si>
  <si>
    <t xml:space="preserve">Observed</t>
  </si>
  <si>
    <t xml:space="preserve">Statistical Decision / Implication</t>
  </si>
  <si>
    <t xml:space="preserve">1. Whippet Rescue Rate</t>
  </si>
  <si>
    <t xml:space="preserve">6 / 100 = 6.0%</t>
  </si>
  <si>
    <t xml:space="preserve">Exact binomial p = 0.581 → NOT significantly different from 8% benchmark (α=0.05)</t>
  </si>
  <si>
    <t xml:space="preserve">2. Mid-size Weights</t>
  </si>
  <si>
    <t xml:space="preserve">Terrier 30.9 lb | Whippet 40.8 lb | Pitbull 44.2 lb</t>
  </si>
  <si>
    <t xml:space="preserve">ANOVA p ≪ 0.001; Tukey: terrier differs from both; pitbull ≈ whippet (p≈0.064)</t>
  </si>
  <si>
    <t xml:space="preserve">3. Poodle vs Shihtzu Colors</t>
  </si>
  <si>
    <t xml:space="preserve">χ² = 14.73, p = 0.0053</t>
  </si>
  <si>
    <t xml:space="preserve">Significant association — color preferences can be breed-aware</t>
  </si>
  <si>
    <t xml:space="preserve">4. High-value Traits</t>
  </si>
  <si>
    <t xml:space="preserve">Shihtzu likes-children 81%; Greyhound/Whippet hypoallergenic ~70%</t>
  </si>
  <si>
    <t xml:space="preserve">Strong matching signals for family vs allergy-sensitive adopters</t>
  </si>
  <si>
    <t xml:space="preserve">BREED TRAIT SNAPSHOT (sorted by rescue rate)</t>
  </si>
  <si>
    <t xml:space="preserve">Breed</t>
  </si>
  <si>
    <t xml:space="preserve">N</t>
  </si>
  <si>
    <t xml:space="preserve">Rescue %</t>
  </si>
  <si>
    <t xml:space="preserve">Weight Mean (lb)</t>
  </si>
  <si>
    <t xml:space="preserve">Age Mean</t>
  </si>
  <si>
    <t xml:space="preserve">Tail Mean (in)</t>
  </si>
  <si>
    <t xml:space="preserve">Likes Children %</t>
  </si>
  <si>
    <t xml:space="preserve">Hypoallergenic %</t>
  </si>
  <si>
    <t xml:space="preserve">rottweiler</t>
  </si>
  <si>
    <t xml:space="preserve">poodle</t>
  </si>
  <si>
    <t xml:space="preserve">pitbull</t>
  </si>
  <si>
    <t xml:space="preserve">chihuahua</t>
  </si>
  <si>
    <t xml:space="preserve">shihtzu</t>
  </si>
  <si>
    <t xml:space="preserve">whippet</t>
  </si>
  <si>
    <t xml:space="preserve">terrier</t>
  </si>
  <si>
    <t xml:space="preserve">greyhound</t>
  </si>
  <si>
    <t xml:space="preserve">HOW TO USE THIS WORKBOOK</t>
  </si>
  <si>
    <t xml:space="preserve">• Dashboard = executive view of the most important decisions.
• Breed Summary = full descriptive statistics calculated with Excel formulas (AVERAGEIF / COUNTIF) from the Data sheet.
• Rescue / Weight / Color / Traits sheets contain the core hypothesis-test results (p-values transcribed from Python) plus supporting tables and charts.
• Spreadsheet vs Python sheet explains when to use each tool for this type of inferential project.
• Yellow cells mark results that cannot be obtained with pure Excel formulas (exact binomial, ANOVA + Tukey HSD, bootstrap, power simulations).</t>
  </si>
  <si>
    <t xml:space="preserve">GOOGLE SHEETS COMPATIBILITY</t>
  </si>
  <si>
    <t xml:space="preserve">This .xlsx opens cleanly in Google Sheets. All live formulas (COUNTIF, SUMIF, AVERAGEIF, COUNTIFS, IF) are fully supported and will recalculate. Charts import (minor style differences possible). Yellow cells remain static values (intentional — they hold results from Python statistical tests that Google Sheets cannot compute natively). Comments appear as Notes. No separate Google-Sheets-only file is required.</t>
  </si>
  <si>
    <t xml:space="preserve">Raw FetchMaker dog_data (800 rows). All summary formulas on other sheets reference this sheet.</t>
  </si>
  <si>
    <t xml:space="preserve">is_rescue</t>
  </si>
  <si>
    <t xml:space="preserve">weight</t>
  </si>
  <si>
    <t xml:space="preserve">tail_length</t>
  </si>
  <si>
    <t xml:space="preserve">age</t>
  </si>
  <si>
    <t xml:space="preserve">color</t>
  </si>
  <si>
    <t xml:space="preserve">likes_children</t>
  </si>
  <si>
    <t xml:space="preserve">is_hypoallergenic</t>
  </si>
  <si>
    <t xml:space="preserve">name</t>
  </si>
  <si>
    <t xml:space="preserve">breed</t>
  </si>
  <si>
    <t xml:space="preserve">black</t>
  </si>
  <si>
    <t xml:space="preserve">Huey</t>
  </si>
  <si>
    <t xml:space="preserve">Cherish</t>
  </si>
  <si>
    <t xml:space="preserve">Becka</t>
  </si>
  <si>
    <t xml:space="preserve">Addie</t>
  </si>
  <si>
    <t xml:space="preserve">Beverlee</t>
  </si>
  <si>
    <t xml:space="preserve">Lesley</t>
  </si>
  <si>
    <t xml:space="preserve">Christine</t>
  </si>
  <si>
    <t xml:space="preserve">Verena</t>
  </si>
  <si>
    <t xml:space="preserve">Benedetta</t>
  </si>
  <si>
    <t xml:space="preserve">Filmore</t>
  </si>
  <si>
    <t xml:space="preserve">Cary</t>
  </si>
  <si>
    <t xml:space="preserve">Gwenneth</t>
  </si>
  <si>
    <t xml:space="preserve">Albina</t>
  </si>
  <si>
    <t xml:space="preserve">brown</t>
  </si>
  <si>
    <t xml:space="preserve">Wilhelm</t>
  </si>
  <si>
    <t xml:space="preserve">Dela</t>
  </si>
  <si>
    <t xml:space="preserve">Davis</t>
  </si>
  <si>
    <t xml:space="preserve">Felisha</t>
  </si>
  <si>
    <t xml:space="preserve">Jakie</t>
  </si>
  <si>
    <t xml:space="preserve">Winni</t>
  </si>
  <si>
    <t xml:space="preserve">Janie</t>
  </si>
  <si>
    <t xml:space="preserve">Jocelyn</t>
  </si>
  <si>
    <t xml:space="preserve">Seth</t>
  </si>
  <si>
    <t xml:space="preserve">Etta</t>
  </si>
  <si>
    <t xml:space="preserve">Trefor</t>
  </si>
  <si>
    <t xml:space="preserve">Avie</t>
  </si>
  <si>
    <t xml:space="preserve">Elianore</t>
  </si>
  <si>
    <t xml:space="preserve">Nanci</t>
  </si>
  <si>
    <t xml:space="preserve">Inness</t>
  </si>
  <si>
    <t xml:space="preserve">Morissa</t>
  </si>
  <si>
    <t xml:space="preserve">Ariana</t>
  </si>
  <si>
    <t xml:space="preserve">Loretta</t>
  </si>
  <si>
    <t xml:space="preserve">Celestyn</t>
  </si>
  <si>
    <t xml:space="preserve">Dame</t>
  </si>
  <si>
    <t xml:space="preserve">Shannan</t>
  </si>
  <si>
    <t xml:space="preserve">Claudianus</t>
  </si>
  <si>
    <t xml:space="preserve">Aldin</t>
  </si>
  <si>
    <t xml:space="preserve">Gerry</t>
  </si>
  <si>
    <t xml:space="preserve">Zonnya</t>
  </si>
  <si>
    <t xml:space="preserve">Bobbe</t>
  </si>
  <si>
    <t xml:space="preserve">Hadria</t>
  </si>
  <si>
    <t xml:space="preserve">Freedman</t>
  </si>
  <si>
    <t xml:space="preserve">Idalina</t>
  </si>
  <si>
    <t xml:space="preserve">Kristian</t>
  </si>
  <si>
    <t xml:space="preserve">Jeramey</t>
  </si>
  <si>
    <t xml:space="preserve">Merrill</t>
  </si>
  <si>
    <t xml:space="preserve">gold</t>
  </si>
  <si>
    <t xml:space="preserve">Esta</t>
  </si>
  <si>
    <t xml:space="preserve">Amandi</t>
  </si>
  <si>
    <t xml:space="preserve">Ana</t>
  </si>
  <si>
    <t xml:space="preserve">Peirce</t>
  </si>
  <si>
    <t xml:space="preserve">Dorian</t>
  </si>
  <si>
    <t xml:space="preserve">Kelbee</t>
  </si>
  <si>
    <t xml:space="preserve">Alessandro</t>
  </si>
  <si>
    <t xml:space="preserve">Noble</t>
  </si>
  <si>
    <t xml:space="preserve">Patrizio</t>
  </si>
  <si>
    <t xml:space="preserve">Raynard</t>
  </si>
  <si>
    <t xml:space="preserve">grey</t>
  </si>
  <si>
    <t xml:space="preserve">Loleta</t>
  </si>
  <si>
    <t xml:space="preserve">Lexy</t>
  </si>
  <si>
    <t xml:space="preserve">Wylma</t>
  </si>
  <si>
    <t xml:space="preserve">Iosep</t>
  </si>
  <si>
    <t xml:space="preserve">Bamby</t>
  </si>
  <si>
    <t xml:space="preserve">Torey</t>
  </si>
  <si>
    <t xml:space="preserve">Cooper</t>
  </si>
  <si>
    <t xml:space="preserve">Ermengarde</t>
  </si>
  <si>
    <t xml:space="preserve">Ezri</t>
  </si>
  <si>
    <t xml:space="preserve">Janeta</t>
  </si>
  <si>
    <t xml:space="preserve">Jarred</t>
  </si>
  <si>
    <t xml:space="preserve">Cherie</t>
  </si>
  <si>
    <t xml:space="preserve">Bobbye</t>
  </si>
  <si>
    <t xml:space="preserve">Dolph</t>
  </si>
  <si>
    <t xml:space="preserve">Nonah</t>
  </si>
  <si>
    <t xml:space="preserve">Kai</t>
  </si>
  <si>
    <t xml:space="preserve">Janith</t>
  </si>
  <si>
    <t xml:space="preserve">Nicky</t>
  </si>
  <si>
    <t xml:space="preserve">Tobe</t>
  </si>
  <si>
    <t xml:space="preserve">Carroll</t>
  </si>
  <si>
    <t xml:space="preserve">Bjorn</t>
  </si>
  <si>
    <t xml:space="preserve">Janina</t>
  </si>
  <si>
    <t xml:space="preserve">Vick</t>
  </si>
  <si>
    <t xml:space="preserve">Gunilla</t>
  </si>
  <si>
    <t xml:space="preserve">Kahaleel</t>
  </si>
  <si>
    <t xml:space="preserve">Brook</t>
  </si>
  <si>
    <t xml:space="preserve">Janine</t>
  </si>
  <si>
    <t xml:space="preserve">Tilly</t>
  </si>
  <si>
    <t xml:space="preserve">Oren</t>
  </si>
  <si>
    <t xml:space="preserve">Hadleigh</t>
  </si>
  <si>
    <t xml:space="preserve">Zorina</t>
  </si>
  <si>
    <t xml:space="preserve">Gasparo</t>
  </si>
  <si>
    <t xml:space="preserve">Lowrance</t>
  </si>
  <si>
    <t xml:space="preserve">Keelia</t>
  </si>
  <si>
    <t xml:space="preserve">Jannel</t>
  </si>
  <si>
    <t xml:space="preserve">Perkin</t>
  </si>
  <si>
    <t xml:space="preserve">Chrissy</t>
  </si>
  <si>
    <t xml:space="preserve">Robena</t>
  </si>
  <si>
    <t xml:space="preserve">Glenden</t>
  </si>
  <si>
    <t xml:space="preserve">Inez</t>
  </si>
  <si>
    <t xml:space="preserve">white</t>
  </si>
  <si>
    <t xml:space="preserve">Zed</t>
  </si>
  <si>
    <t xml:space="preserve">Silvio</t>
  </si>
  <si>
    <t xml:space="preserve">Weber</t>
  </si>
  <si>
    <t xml:space="preserve">Domenic</t>
  </si>
  <si>
    <t xml:space="preserve">Talbert</t>
  </si>
  <si>
    <t xml:space="preserve">Brandtr</t>
  </si>
  <si>
    <t xml:space="preserve">Dorthea</t>
  </si>
  <si>
    <t xml:space="preserve">Kip</t>
  </si>
  <si>
    <t xml:space="preserve">Stephanus</t>
  </si>
  <si>
    <t xml:space="preserve">Stephanie</t>
  </si>
  <si>
    <t xml:space="preserve">Lorenzo</t>
  </si>
  <si>
    <t xml:space="preserve">Eadmund</t>
  </si>
  <si>
    <t xml:space="preserve">Tyne</t>
  </si>
  <si>
    <t xml:space="preserve">Evania</t>
  </si>
  <si>
    <t xml:space="preserve">Morgan</t>
  </si>
  <si>
    <t xml:space="preserve">Thorndike</t>
  </si>
  <si>
    <t xml:space="preserve">Bethany</t>
  </si>
  <si>
    <t xml:space="preserve">Hermina</t>
  </si>
  <si>
    <t xml:space="preserve">Gus</t>
  </si>
  <si>
    <t xml:space="preserve">Ivonne</t>
  </si>
  <si>
    <t xml:space="preserve">Claudell</t>
  </si>
  <si>
    <t xml:space="preserve">Mac</t>
  </si>
  <si>
    <t xml:space="preserve">Hewett</t>
  </si>
  <si>
    <t xml:space="preserve">Drugi</t>
  </si>
  <si>
    <t xml:space="preserve">Issie</t>
  </si>
  <si>
    <t xml:space="preserve">Mandy</t>
  </si>
  <si>
    <t xml:space="preserve">Suzanne</t>
  </si>
  <si>
    <t xml:space="preserve">Tara</t>
  </si>
  <si>
    <t xml:space="preserve">Leonerd</t>
  </si>
  <si>
    <t xml:space="preserve">Sven</t>
  </si>
  <si>
    <t xml:space="preserve">Lenka</t>
  </si>
  <si>
    <t xml:space="preserve">Mario</t>
  </si>
  <si>
    <t xml:space="preserve">Constantine</t>
  </si>
  <si>
    <t xml:space="preserve">Edita</t>
  </si>
  <si>
    <t xml:space="preserve">Paco</t>
  </si>
  <si>
    <t xml:space="preserve">Tiffi</t>
  </si>
  <si>
    <t xml:space="preserve">Constance</t>
  </si>
  <si>
    <t xml:space="preserve">Philip</t>
  </si>
  <si>
    <t xml:space="preserve">Cherida</t>
  </si>
  <si>
    <t xml:space="preserve">Nike</t>
  </si>
  <si>
    <t xml:space="preserve">Marilyn</t>
  </si>
  <si>
    <t xml:space="preserve">Ruthe</t>
  </si>
  <si>
    <t xml:space="preserve">Pavel</t>
  </si>
  <si>
    <t xml:space="preserve">Beatrisa</t>
  </si>
  <si>
    <t xml:space="preserve">Kristyn</t>
  </si>
  <si>
    <t xml:space="preserve">Belinda</t>
  </si>
  <si>
    <t xml:space="preserve">Kimmie</t>
  </si>
  <si>
    <t xml:space="preserve">Hurlee</t>
  </si>
  <si>
    <t xml:space="preserve">Alexandros</t>
  </si>
  <si>
    <t xml:space="preserve">Lila</t>
  </si>
  <si>
    <t xml:space="preserve">Corey</t>
  </si>
  <si>
    <t xml:space="preserve">Gabriel</t>
  </si>
  <si>
    <t xml:space="preserve">Tuesday</t>
  </si>
  <si>
    <t xml:space="preserve">Blakelee</t>
  </si>
  <si>
    <t xml:space="preserve">Fayette</t>
  </si>
  <si>
    <t xml:space="preserve">Merla</t>
  </si>
  <si>
    <t xml:space="preserve">Bevin</t>
  </si>
  <si>
    <t xml:space="preserve">Maurizia</t>
  </si>
  <si>
    <t xml:space="preserve">Ailis</t>
  </si>
  <si>
    <t xml:space="preserve">Stafford</t>
  </si>
  <si>
    <t xml:space="preserve">Derrik</t>
  </si>
  <si>
    <t xml:space="preserve">Hervey</t>
  </si>
  <si>
    <t xml:space="preserve">Tobie</t>
  </si>
  <si>
    <t xml:space="preserve">Say</t>
  </si>
  <si>
    <t xml:space="preserve">Winne</t>
  </si>
  <si>
    <t xml:space="preserve">Lyn</t>
  </si>
  <si>
    <t xml:space="preserve">Shelia</t>
  </si>
  <si>
    <t xml:space="preserve">Shep</t>
  </si>
  <si>
    <t xml:space="preserve">Chrystel</t>
  </si>
  <si>
    <t xml:space="preserve">Sheff</t>
  </si>
  <si>
    <t xml:space="preserve">Verla</t>
  </si>
  <si>
    <t xml:space="preserve">Jarrett</t>
  </si>
  <si>
    <t xml:space="preserve">Julius</t>
  </si>
  <si>
    <t xml:space="preserve">Mack</t>
  </si>
  <si>
    <t xml:space="preserve">Anallise</t>
  </si>
  <si>
    <t xml:space="preserve">Jenifer</t>
  </si>
  <si>
    <t xml:space="preserve">Ransell</t>
  </si>
  <si>
    <t xml:space="preserve">Sher</t>
  </si>
  <si>
    <t xml:space="preserve">Lianna</t>
  </si>
  <si>
    <t xml:space="preserve">Steward</t>
  </si>
  <si>
    <t xml:space="preserve">Farly</t>
  </si>
  <si>
    <t xml:space="preserve">Addi</t>
  </si>
  <si>
    <t xml:space="preserve">Finn</t>
  </si>
  <si>
    <t xml:space="preserve">Betteann</t>
  </si>
  <si>
    <t xml:space="preserve">Fey</t>
  </si>
  <si>
    <t xml:space="preserve">Estrellita</t>
  </si>
  <si>
    <t xml:space="preserve">Floyd</t>
  </si>
  <si>
    <t xml:space="preserve">Anders</t>
  </si>
  <si>
    <t xml:space="preserve">Berkly</t>
  </si>
  <si>
    <t xml:space="preserve">Jennifer</t>
  </si>
  <si>
    <t xml:space="preserve">Desi</t>
  </si>
  <si>
    <t xml:space="preserve">Goldy</t>
  </si>
  <si>
    <t xml:space="preserve">Belia</t>
  </si>
  <si>
    <t xml:space="preserve">Anastasia</t>
  </si>
  <si>
    <t xml:space="preserve">Kenn</t>
  </si>
  <si>
    <t xml:space="preserve">Allen</t>
  </si>
  <si>
    <t xml:space="preserve">Teddy</t>
  </si>
  <si>
    <t xml:space="preserve">Alysia</t>
  </si>
  <si>
    <t xml:space="preserve">Theodor</t>
  </si>
  <si>
    <t xml:space="preserve">Richmond</t>
  </si>
  <si>
    <t xml:space="preserve">Dena</t>
  </si>
  <si>
    <t xml:space="preserve">Terese</t>
  </si>
  <si>
    <t xml:space="preserve">Charlot</t>
  </si>
  <si>
    <t xml:space="preserve">Jud</t>
  </si>
  <si>
    <t xml:space="preserve">Rosamund</t>
  </si>
  <si>
    <t xml:space="preserve">Ruthann</t>
  </si>
  <si>
    <t xml:space="preserve">Bryon</t>
  </si>
  <si>
    <t xml:space="preserve">Concordia</t>
  </si>
  <si>
    <t xml:space="preserve">Brnaba</t>
  </si>
  <si>
    <t xml:space="preserve">Olivette</t>
  </si>
  <si>
    <t xml:space="preserve">Rodolfo</t>
  </si>
  <si>
    <t xml:space="preserve">Colan</t>
  </si>
  <si>
    <t xml:space="preserve">Tymothy</t>
  </si>
  <si>
    <t xml:space="preserve">Ev</t>
  </si>
  <si>
    <t xml:space="preserve">Dita</t>
  </si>
  <si>
    <t xml:space="preserve">Had</t>
  </si>
  <si>
    <t xml:space="preserve">Hugo</t>
  </si>
  <si>
    <t xml:space="preserve">Reuven</t>
  </si>
  <si>
    <t xml:space="preserve">Kippy</t>
  </si>
  <si>
    <t xml:space="preserve">Berkley</t>
  </si>
  <si>
    <t xml:space="preserve">Vanya</t>
  </si>
  <si>
    <t xml:space="preserve">Marc</t>
  </si>
  <si>
    <t xml:space="preserve">Inessa</t>
  </si>
  <si>
    <t xml:space="preserve">Jerrome</t>
  </si>
  <si>
    <t xml:space="preserve">Osbourne</t>
  </si>
  <si>
    <t xml:space="preserve">Richardo</t>
  </si>
  <si>
    <t xml:space="preserve">Sileas</t>
  </si>
  <si>
    <t xml:space="preserve">Gannon</t>
  </si>
  <si>
    <t xml:space="preserve">Lydia</t>
  </si>
  <si>
    <t xml:space="preserve">Meris</t>
  </si>
  <si>
    <t xml:space="preserve">Glen</t>
  </si>
  <si>
    <t xml:space="preserve">Emogene</t>
  </si>
  <si>
    <t xml:space="preserve">Ignatius</t>
  </si>
  <si>
    <t xml:space="preserve">Asa</t>
  </si>
  <si>
    <t xml:space="preserve">Rod</t>
  </si>
  <si>
    <t xml:space="preserve">Artie</t>
  </si>
  <si>
    <t xml:space="preserve">Mayer</t>
  </si>
  <si>
    <t xml:space="preserve">Godard</t>
  </si>
  <si>
    <t xml:space="preserve">Odelinda</t>
  </si>
  <si>
    <t xml:space="preserve">Woody</t>
  </si>
  <si>
    <t xml:space="preserve">Cart</t>
  </si>
  <si>
    <t xml:space="preserve">Giacomo</t>
  </si>
  <si>
    <t xml:space="preserve">See</t>
  </si>
  <si>
    <t xml:space="preserve">Rubetta</t>
  </si>
  <si>
    <t xml:space="preserve">Dimitri</t>
  </si>
  <si>
    <t xml:space="preserve">Herve</t>
  </si>
  <si>
    <t xml:space="preserve">Donnamarie</t>
  </si>
  <si>
    <t xml:space="preserve">Carlin</t>
  </si>
  <si>
    <t xml:space="preserve">Meridel</t>
  </si>
  <si>
    <t xml:space="preserve">Jorgan</t>
  </si>
  <si>
    <t xml:space="preserve">Antin</t>
  </si>
  <si>
    <t xml:space="preserve">Roderich</t>
  </si>
  <si>
    <t xml:space="preserve">Parnell</t>
  </si>
  <si>
    <t xml:space="preserve">Samantha</t>
  </si>
  <si>
    <t xml:space="preserve">Lincoln</t>
  </si>
  <si>
    <t xml:space="preserve">Phineas</t>
  </si>
  <si>
    <t xml:space="preserve">Nealon</t>
  </si>
  <si>
    <t xml:space="preserve">Mercy</t>
  </si>
  <si>
    <t xml:space="preserve">Aurlie</t>
  </si>
  <si>
    <t xml:space="preserve">Marys</t>
  </si>
  <si>
    <t xml:space="preserve">Flint</t>
  </si>
  <si>
    <t xml:space="preserve">Shela</t>
  </si>
  <si>
    <t xml:space="preserve">Peterus</t>
  </si>
  <si>
    <t xml:space="preserve">Travis</t>
  </si>
  <si>
    <t xml:space="preserve">Hugh</t>
  </si>
  <si>
    <t xml:space="preserve">Janna</t>
  </si>
  <si>
    <t xml:space="preserve">Patrizia</t>
  </si>
  <si>
    <t xml:space="preserve">Karleen</t>
  </si>
  <si>
    <t xml:space="preserve">Joscelin</t>
  </si>
  <si>
    <t xml:space="preserve">Dreddy</t>
  </si>
  <si>
    <t xml:space="preserve">Jeramie</t>
  </si>
  <si>
    <t xml:space="preserve">Mano</t>
  </si>
  <si>
    <t xml:space="preserve">Jemima</t>
  </si>
  <si>
    <t xml:space="preserve">Matty</t>
  </si>
  <si>
    <t xml:space="preserve">Martha</t>
  </si>
  <si>
    <t xml:space="preserve">Thelma</t>
  </si>
  <si>
    <t xml:space="preserve">Julie</t>
  </si>
  <si>
    <t xml:space="preserve">Boothe</t>
  </si>
  <si>
    <t xml:space="preserve">Bunnie</t>
  </si>
  <si>
    <t xml:space="preserve">Ivar</t>
  </si>
  <si>
    <t xml:space="preserve">Taber</t>
  </si>
  <si>
    <t xml:space="preserve">Meggy</t>
  </si>
  <si>
    <t xml:space="preserve">Rog</t>
  </si>
  <si>
    <t xml:space="preserve">Natasha</t>
  </si>
  <si>
    <t xml:space="preserve">Jay</t>
  </si>
  <si>
    <t xml:space="preserve">Adlai</t>
  </si>
  <si>
    <t xml:space="preserve">Vachel</t>
  </si>
  <si>
    <t xml:space="preserve">Harley</t>
  </si>
  <si>
    <t xml:space="preserve">Lidia</t>
  </si>
  <si>
    <t xml:space="preserve">Tremayne</t>
  </si>
  <si>
    <t xml:space="preserve">Constanta</t>
  </si>
  <si>
    <t xml:space="preserve">Nellie</t>
  </si>
  <si>
    <t xml:space="preserve">Faye</t>
  </si>
  <si>
    <t xml:space="preserve">Michel</t>
  </si>
  <si>
    <t xml:space="preserve">Hamish</t>
  </si>
  <si>
    <t xml:space="preserve">Walsh</t>
  </si>
  <si>
    <t xml:space="preserve">Robert</t>
  </si>
  <si>
    <t xml:space="preserve">Raynor</t>
  </si>
  <si>
    <t xml:space="preserve">Rene</t>
  </si>
  <si>
    <t xml:space="preserve">Jolene</t>
  </si>
  <si>
    <t xml:space="preserve">Alicea</t>
  </si>
  <si>
    <t xml:space="preserve">Moise</t>
  </si>
  <si>
    <t xml:space="preserve">Boote</t>
  </si>
  <si>
    <t xml:space="preserve">Beatrix</t>
  </si>
  <si>
    <t xml:space="preserve">Rabbi</t>
  </si>
  <si>
    <t xml:space="preserve">Tallou</t>
  </si>
  <si>
    <t xml:space="preserve">Evvie</t>
  </si>
  <si>
    <t xml:space="preserve">Sayers</t>
  </si>
  <si>
    <t xml:space="preserve">Hillie</t>
  </si>
  <si>
    <t xml:space="preserve">Kath</t>
  </si>
  <si>
    <t xml:space="preserve">Joelly</t>
  </si>
  <si>
    <t xml:space="preserve">Kellen</t>
  </si>
  <si>
    <t xml:space="preserve">Arch</t>
  </si>
  <si>
    <t xml:space="preserve">Gerik</t>
  </si>
  <si>
    <t xml:space="preserve">Ned</t>
  </si>
  <si>
    <t xml:space="preserve">Chere</t>
  </si>
  <si>
    <t xml:space="preserve">Ardis</t>
  </si>
  <si>
    <t xml:space="preserve">Ryun</t>
  </si>
  <si>
    <t xml:space="preserve">Stephine</t>
  </si>
  <si>
    <t xml:space="preserve">Garner</t>
  </si>
  <si>
    <t xml:space="preserve">Shandeigh</t>
  </si>
  <si>
    <t xml:space="preserve">Bobine</t>
  </si>
  <si>
    <t xml:space="preserve">Benyamin</t>
  </si>
  <si>
    <t xml:space="preserve">Milicent</t>
  </si>
  <si>
    <t xml:space="preserve">Trina</t>
  </si>
  <si>
    <t xml:space="preserve">Linzy</t>
  </si>
  <si>
    <t xml:space="preserve">Katerine</t>
  </si>
  <si>
    <t xml:space="preserve">Gertruda</t>
  </si>
  <si>
    <t xml:space="preserve">Neely</t>
  </si>
  <si>
    <t xml:space="preserve">Hallie</t>
  </si>
  <si>
    <t xml:space="preserve">Fredrick</t>
  </si>
  <si>
    <t xml:space="preserve">Caroline</t>
  </si>
  <si>
    <t xml:space="preserve">Holmes</t>
  </si>
  <si>
    <t xml:space="preserve">Evangeline</t>
  </si>
  <si>
    <t xml:space="preserve">Gannie</t>
  </si>
  <si>
    <t xml:space="preserve">Edgard</t>
  </si>
  <si>
    <t xml:space="preserve">Caprice</t>
  </si>
  <si>
    <t xml:space="preserve">Ware</t>
  </si>
  <si>
    <t xml:space="preserve">Minny</t>
  </si>
  <si>
    <t xml:space="preserve">Brew</t>
  </si>
  <si>
    <t xml:space="preserve">Ericka</t>
  </si>
  <si>
    <t xml:space="preserve">Candy</t>
  </si>
  <si>
    <t xml:space="preserve">Cobbie</t>
  </si>
  <si>
    <t xml:space="preserve">Celie</t>
  </si>
  <si>
    <t xml:space="preserve">Kirsteni</t>
  </si>
  <si>
    <t xml:space="preserve">Harlan</t>
  </si>
  <si>
    <t xml:space="preserve">Nadia</t>
  </si>
  <si>
    <t xml:space="preserve">Shaine</t>
  </si>
  <si>
    <t xml:space="preserve">Ardyth</t>
  </si>
  <si>
    <t xml:space="preserve">Marwin</t>
  </si>
  <si>
    <t xml:space="preserve">Kamila</t>
  </si>
  <si>
    <t xml:space="preserve">Karissa</t>
  </si>
  <si>
    <t xml:space="preserve">Leonie</t>
  </si>
  <si>
    <t xml:space="preserve">Barbara</t>
  </si>
  <si>
    <t xml:space="preserve">Kevan</t>
  </si>
  <si>
    <t xml:space="preserve">Chrissie</t>
  </si>
  <si>
    <t xml:space="preserve">Dasya</t>
  </si>
  <si>
    <t xml:space="preserve">Leshia</t>
  </si>
  <si>
    <t xml:space="preserve">Jillayne</t>
  </si>
  <si>
    <t xml:space="preserve">Kellina</t>
  </si>
  <si>
    <t xml:space="preserve">Denni</t>
  </si>
  <si>
    <t xml:space="preserve">Aigneis</t>
  </si>
  <si>
    <t xml:space="preserve">Ainsley</t>
  </si>
  <si>
    <t xml:space="preserve">Shurlock</t>
  </si>
  <si>
    <t xml:space="preserve">Brana</t>
  </si>
  <si>
    <t xml:space="preserve">Dacy</t>
  </si>
  <si>
    <t xml:space="preserve">Dulce</t>
  </si>
  <si>
    <t xml:space="preserve">Astrix</t>
  </si>
  <si>
    <t xml:space="preserve">Abbe</t>
  </si>
  <si>
    <t xml:space="preserve">Modestine</t>
  </si>
  <si>
    <t xml:space="preserve">Roy</t>
  </si>
  <si>
    <t xml:space="preserve">Mycah</t>
  </si>
  <si>
    <t xml:space="preserve">Johna</t>
  </si>
  <si>
    <t xml:space="preserve">Rice</t>
  </si>
  <si>
    <t xml:space="preserve">Norbert</t>
  </si>
  <si>
    <t xml:space="preserve">Gav</t>
  </si>
  <si>
    <t xml:space="preserve">Ava</t>
  </si>
  <si>
    <t xml:space="preserve">Rochelle</t>
  </si>
  <si>
    <t xml:space="preserve">Sabrina</t>
  </si>
  <si>
    <t xml:space="preserve">Laurent</t>
  </si>
  <si>
    <t xml:space="preserve">Chelsey</t>
  </si>
  <si>
    <t xml:space="preserve">Polly</t>
  </si>
  <si>
    <t xml:space="preserve">Sibella</t>
  </si>
  <si>
    <t xml:space="preserve">Turner</t>
  </si>
  <si>
    <t xml:space="preserve">Bibby</t>
  </si>
  <si>
    <t xml:space="preserve">Gregg</t>
  </si>
  <si>
    <t xml:space="preserve">Nevin</t>
  </si>
  <si>
    <t xml:space="preserve">Sonny</t>
  </si>
  <si>
    <t xml:space="preserve">Ford</t>
  </si>
  <si>
    <t xml:space="preserve">Haroun</t>
  </si>
  <si>
    <t xml:space="preserve">Almeta</t>
  </si>
  <si>
    <t xml:space="preserve">Elyn</t>
  </si>
  <si>
    <t xml:space="preserve">Dianna</t>
  </si>
  <si>
    <t xml:space="preserve">Maurie</t>
  </si>
  <si>
    <t xml:space="preserve">Costanza</t>
  </si>
  <si>
    <t xml:space="preserve">Archy</t>
  </si>
  <si>
    <t xml:space="preserve">Adriaens</t>
  </si>
  <si>
    <t xml:space="preserve">Jefferson</t>
  </si>
  <si>
    <t xml:space="preserve">Melvin</t>
  </si>
  <si>
    <t xml:space="preserve">Chan</t>
  </si>
  <si>
    <t xml:space="preserve">Chuck</t>
  </si>
  <si>
    <t xml:space="preserve">Sonya</t>
  </si>
  <si>
    <t xml:space="preserve">Adrianne</t>
  </si>
  <si>
    <t xml:space="preserve">Merwin</t>
  </si>
  <si>
    <t xml:space="preserve">Caryn</t>
  </si>
  <si>
    <t xml:space="preserve">Dorotea</t>
  </si>
  <si>
    <t xml:space="preserve">Elsy</t>
  </si>
  <si>
    <t xml:space="preserve">Wolfgang</t>
  </si>
  <si>
    <t xml:space="preserve">Cory</t>
  </si>
  <si>
    <t xml:space="preserve">Humphrey</t>
  </si>
  <si>
    <t xml:space="preserve">Aloysia</t>
  </si>
  <si>
    <t xml:space="preserve">Arman</t>
  </si>
  <si>
    <t xml:space="preserve">Willey</t>
  </si>
  <si>
    <t xml:space="preserve">Reg</t>
  </si>
  <si>
    <t xml:space="preserve">Bram</t>
  </si>
  <si>
    <t xml:space="preserve">Missie</t>
  </si>
  <si>
    <t xml:space="preserve">Merrie</t>
  </si>
  <si>
    <t xml:space="preserve">Jacobo</t>
  </si>
  <si>
    <t xml:space="preserve">Rebecka</t>
  </si>
  <si>
    <t xml:space="preserve">Octavia</t>
  </si>
  <si>
    <t xml:space="preserve">Jillane</t>
  </si>
  <si>
    <t xml:space="preserve">Georges</t>
  </si>
  <si>
    <t xml:space="preserve">Andrea</t>
  </si>
  <si>
    <t xml:space="preserve">Pattie</t>
  </si>
  <si>
    <t xml:space="preserve">Carlo</t>
  </si>
  <si>
    <t xml:space="preserve">Barby</t>
  </si>
  <si>
    <t xml:space="preserve">Courtnay</t>
  </si>
  <si>
    <t xml:space="preserve">Warden</t>
  </si>
  <si>
    <t xml:space="preserve">Gal</t>
  </si>
  <si>
    <t xml:space="preserve">Howie</t>
  </si>
  <si>
    <t xml:space="preserve">Kristoffer</t>
  </si>
  <si>
    <t xml:space="preserve">Jecho</t>
  </si>
  <si>
    <t xml:space="preserve">Kelley</t>
  </si>
  <si>
    <t xml:space="preserve">Koo</t>
  </si>
  <si>
    <t xml:space="preserve">Kessiah</t>
  </si>
  <si>
    <t xml:space="preserve">Bernie</t>
  </si>
  <si>
    <t xml:space="preserve">Dewey</t>
  </si>
  <si>
    <t xml:space="preserve">Simone</t>
  </si>
  <si>
    <t xml:space="preserve">Dorita</t>
  </si>
  <si>
    <t xml:space="preserve">Selig</t>
  </si>
  <si>
    <t xml:space="preserve">Dolly</t>
  </si>
  <si>
    <t xml:space="preserve">Lyda</t>
  </si>
  <si>
    <t xml:space="preserve">Elyse</t>
  </si>
  <si>
    <t xml:space="preserve">Hadlee</t>
  </si>
  <si>
    <t xml:space="preserve">Melisande</t>
  </si>
  <si>
    <t xml:space="preserve">Beret</t>
  </si>
  <si>
    <t xml:space="preserve">Hayden</t>
  </si>
  <si>
    <t xml:space="preserve">Fernanda</t>
  </si>
  <si>
    <t xml:space="preserve">Corbin</t>
  </si>
  <si>
    <t xml:space="preserve">Gaby</t>
  </si>
  <si>
    <t xml:space="preserve">Bea</t>
  </si>
  <si>
    <t xml:space="preserve">Fransisco</t>
  </si>
  <si>
    <t xml:space="preserve">Heindrick</t>
  </si>
  <si>
    <t xml:space="preserve">Lorrin</t>
  </si>
  <si>
    <t xml:space="preserve">Katinka</t>
  </si>
  <si>
    <t xml:space="preserve">Onida</t>
  </si>
  <si>
    <t xml:space="preserve">Jsandye</t>
  </si>
  <si>
    <t xml:space="preserve">Stirling</t>
  </si>
  <si>
    <t xml:space="preserve">Kata</t>
  </si>
  <si>
    <t xml:space="preserve">Bettine</t>
  </si>
  <si>
    <t xml:space="preserve">Conant</t>
  </si>
  <si>
    <t xml:space="preserve">Lucien</t>
  </si>
  <si>
    <t xml:space="preserve">Gladys</t>
  </si>
  <si>
    <t xml:space="preserve">Court</t>
  </si>
  <si>
    <t xml:space="preserve">Niccolo</t>
  </si>
  <si>
    <t xml:space="preserve">Gage</t>
  </si>
  <si>
    <t xml:space="preserve">Bryn</t>
  </si>
  <si>
    <t xml:space="preserve">Paulina</t>
  </si>
  <si>
    <t xml:space="preserve">Northrup</t>
  </si>
  <si>
    <t xml:space="preserve">Cathie</t>
  </si>
  <si>
    <t xml:space="preserve">Colette</t>
  </si>
  <si>
    <t xml:space="preserve">Erminie</t>
  </si>
  <si>
    <t xml:space="preserve">Zebedee</t>
  </si>
  <si>
    <t xml:space="preserve">Temp</t>
  </si>
  <si>
    <t xml:space="preserve">Ches</t>
  </si>
  <si>
    <t xml:space="preserve">Moe</t>
  </si>
  <si>
    <t xml:space="preserve">Ritchie</t>
  </si>
  <si>
    <t xml:space="preserve">Brietta</t>
  </si>
  <si>
    <t xml:space="preserve">Germain</t>
  </si>
  <si>
    <t xml:space="preserve">Marchelle</t>
  </si>
  <si>
    <t xml:space="preserve">Tristan</t>
  </si>
  <si>
    <t xml:space="preserve">Genevra</t>
  </si>
  <si>
    <t xml:space="preserve">Emmett</t>
  </si>
  <si>
    <t xml:space="preserve">Natty</t>
  </si>
  <si>
    <t xml:space="preserve">Park</t>
  </si>
  <si>
    <t xml:space="preserve">Bard</t>
  </si>
  <si>
    <t xml:space="preserve">Stephie</t>
  </si>
  <si>
    <t xml:space="preserve">Frasier</t>
  </si>
  <si>
    <t xml:space="preserve">Emlyn</t>
  </si>
  <si>
    <t xml:space="preserve">Drusie</t>
  </si>
  <si>
    <t xml:space="preserve">Theresita</t>
  </si>
  <si>
    <t xml:space="preserve">Lynda</t>
  </si>
  <si>
    <t xml:space="preserve">Alexander</t>
  </si>
  <si>
    <t xml:space="preserve">Heidie</t>
  </si>
  <si>
    <t xml:space="preserve">Bourke</t>
  </si>
  <si>
    <t xml:space="preserve">Greggory</t>
  </si>
  <si>
    <t xml:space="preserve">Ebony</t>
  </si>
  <si>
    <t xml:space="preserve">Odetta</t>
  </si>
  <si>
    <t xml:space="preserve">Shell</t>
  </si>
  <si>
    <t xml:space="preserve">Othella</t>
  </si>
  <si>
    <t xml:space="preserve">Abigael</t>
  </si>
  <si>
    <t xml:space="preserve">Lynne</t>
  </si>
  <si>
    <t xml:space="preserve">Benjamen</t>
  </si>
  <si>
    <t xml:space="preserve">Ulrike</t>
  </si>
  <si>
    <t xml:space="preserve">Dilly</t>
  </si>
  <si>
    <t xml:space="preserve">Hedda</t>
  </si>
  <si>
    <t xml:space="preserve">Yoshiko</t>
  </si>
  <si>
    <t xml:space="preserve">Paxton</t>
  </si>
  <si>
    <t xml:space="preserve">Oralie</t>
  </si>
  <si>
    <t xml:space="preserve">Horatius</t>
  </si>
  <si>
    <t xml:space="preserve">Karlyn</t>
  </si>
  <si>
    <t xml:space="preserve">Jodie</t>
  </si>
  <si>
    <t xml:space="preserve">Ambrosius</t>
  </si>
  <si>
    <t xml:space="preserve">Correna</t>
  </si>
  <si>
    <t xml:space="preserve">Danya</t>
  </si>
  <si>
    <t xml:space="preserve">Ursulina</t>
  </si>
  <si>
    <t xml:space="preserve">Lind</t>
  </si>
  <si>
    <t xml:space="preserve">Gabriela</t>
  </si>
  <si>
    <t xml:space="preserve">Loralie</t>
  </si>
  <si>
    <t xml:space="preserve">Townie</t>
  </si>
  <si>
    <t xml:space="preserve">Mariquilla</t>
  </si>
  <si>
    <t xml:space="preserve">Tobye</t>
  </si>
  <si>
    <t xml:space="preserve">Mercedes</t>
  </si>
  <si>
    <t xml:space="preserve">Birdie</t>
  </si>
  <si>
    <t xml:space="preserve">Adolpho</t>
  </si>
  <si>
    <t xml:space="preserve">Michaelina</t>
  </si>
  <si>
    <t xml:space="preserve">Stevena</t>
  </si>
  <si>
    <t xml:space="preserve">Davie</t>
  </si>
  <si>
    <t xml:space="preserve">Marilin</t>
  </si>
  <si>
    <t xml:space="preserve">Danny</t>
  </si>
  <si>
    <t xml:space="preserve">Nicko</t>
  </si>
  <si>
    <t xml:space="preserve">Anissa</t>
  </si>
  <si>
    <t xml:space="preserve">Anny</t>
  </si>
  <si>
    <t xml:space="preserve">Norean</t>
  </si>
  <si>
    <t xml:space="preserve">Care</t>
  </si>
  <si>
    <t xml:space="preserve">Avery</t>
  </si>
  <si>
    <t xml:space="preserve">Nancie</t>
  </si>
  <si>
    <t xml:space="preserve">Durward</t>
  </si>
  <si>
    <t xml:space="preserve">Heda</t>
  </si>
  <si>
    <t xml:space="preserve">Augustine</t>
  </si>
  <si>
    <t xml:space="preserve">Idette</t>
  </si>
  <si>
    <t xml:space="preserve">Shannen</t>
  </si>
  <si>
    <t xml:space="preserve">Mary</t>
  </si>
  <si>
    <t xml:space="preserve">Joye</t>
  </si>
  <si>
    <t xml:space="preserve">Jeffie</t>
  </si>
  <si>
    <t xml:space="preserve">West</t>
  </si>
  <si>
    <t xml:space="preserve">Orsa</t>
  </si>
  <si>
    <t xml:space="preserve">Jorrie</t>
  </si>
  <si>
    <t xml:space="preserve">Philbert</t>
  </si>
  <si>
    <t xml:space="preserve">Corrianne</t>
  </si>
  <si>
    <t xml:space="preserve">Redford</t>
  </si>
  <si>
    <t xml:space="preserve">Hildy</t>
  </si>
  <si>
    <t xml:space="preserve">Casar</t>
  </si>
  <si>
    <t xml:space="preserve">Elysee</t>
  </si>
  <si>
    <t xml:space="preserve">Guido</t>
  </si>
  <si>
    <t xml:space="preserve">Hastie</t>
  </si>
  <si>
    <t xml:space="preserve">Jody</t>
  </si>
  <si>
    <t xml:space="preserve">Camellia</t>
  </si>
  <si>
    <t xml:space="preserve">Warner</t>
  </si>
  <si>
    <t xml:space="preserve">Freddi</t>
  </si>
  <si>
    <t xml:space="preserve">Clint</t>
  </si>
  <si>
    <t xml:space="preserve">Brigitte</t>
  </si>
  <si>
    <t xml:space="preserve">Thebault</t>
  </si>
  <si>
    <t xml:space="preserve">Chrysa</t>
  </si>
  <si>
    <t xml:space="preserve">Mitchael</t>
  </si>
  <si>
    <t xml:space="preserve">Anselma</t>
  </si>
  <si>
    <t xml:space="preserve">Lorita</t>
  </si>
  <si>
    <t xml:space="preserve">Lola</t>
  </si>
  <si>
    <t xml:space="preserve">Jonah</t>
  </si>
  <si>
    <t xml:space="preserve">Fanny</t>
  </si>
  <si>
    <t xml:space="preserve">Cammie</t>
  </si>
  <si>
    <t xml:space="preserve">Niven</t>
  </si>
  <si>
    <t xml:space="preserve">Daile</t>
  </si>
  <si>
    <t xml:space="preserve">Felix</t>
  </si>
  <si>
    <t xml:space="preserve">Dolores</t>
  </si>
  <si>
    <t xml:space="preserve">Crystie</t>
  </si>
  <si>
    <t xml:space="preserve">Suzi</t>
  </si>
  <si>
    <t xml:space="preserve">Dalt</t>
  </si>
  <si>
    <t xml:space="preserve">Katusha</t>
  </si>
  <si>
    <t xml:space="preserve">Lucy</t>
  </si>
  <si>
    <t xml:space="preserve">Ingra</t>
  </si>
  <si>
    <t xml:space="preserve">Nadiya</t>
  </si>
  <si>
    <t xml:space="preserve">Harwell</t>
  </si>
  <si>
    <t xml:space="preserve">Shanna</t>
  </si>
  <si>
    <t xml:space="preserve">Brocky</t>
  </si>
  <si>
    <t xml:space="preserve">Benedict</t>
  </si>
  <si>
    <t xml:space="preserve">Emlynn</t>
  </si>
  <si>
    <t xml:space="preserve">Sibelle</t>
  </si>
  <si>
    <t xml:space="preserve">Peyton</t>
  </si>
  <si>
    <t xml:space="preserve">Fonsie</t>
  </si>
  <si>
    <t xml:space="preserve">Weider</t>
  </si>
  <si>
    <t xml:space="preserve">Deb</t>
  </si>
  <si>
    <t xml:space="preserve">Loraine</t>
  </si>
  <si>
    <t xml:space="preserve">Matti</t>
  </si>
  <si>
    <t xml:space="preserve">Andris</t>
  </si>
  <si>
    <t xml:space="preserve">Neel</t>
  </si>
  <si>
    <t xml:space="preserve">Rory</t>
  </si>
  <si>
    <t xml:space="preserve">Dev</t>
  </si>
  <si>
    <t xml:space="preserve">Kennett</t>
  </si>
  <si>
    <t xml:space="preserve">Charlean</t>
  </si>
  <si>
    <t xml:space="preserve">Cassius</t>
  </si>
  <si>
    <t xml:space="preserve">Torie</t>
  </si>
  <si>
    <t xml:space="preserve">Obie</t>
  </si>
  <si>
    <t xml:space="preserve">Ewan</t>
  </si>
  <si>
    <t xml:space="preserve">Berkie</t>
  </si>
  <si>
    <t xml:space="preserve">Lishe</t>
  </si>
  <si>
    <t xml:space="preserve">Jermain</t>
  </si>
  <si>
    <t xml:space="preserve">Orlan</t>
  </si>
  <si>
    <t xml:space="preserve">Alameda</t>
  </si>
  <si>
    <t xml:space="preserve">Cheri</t>
  </si>
  <si>
    <t xml:space="preserve">Leda</t>
  </si>
  <si>
    <t xml:space="preserve">Catherina</t>
  </si>
  <si>
    <t xml:space="preserve">Aguie</t>
  </si>
  <si>
    <t xml:space="preserve">Sosanna</t>
  </si>
  <si>
    <t xml:space="preserve">Levon</t>
  </si>
  <si>
    <t xml:space="preserve">Carola</t>
  </si>
  <si>
    <t xml:space="preserve">Tuckie</t>
  </si>
  <si>
    <t xml:space="preserve">Win</t>
  </si>
  <si>
    <t xml:space="preserve">Perri</t>
  </si>
  <si>
    <t xml:space="preserve">Ciel</t>
  </si>
  <si>
    <t xml:space="preserve">Tandy</t>
  </si>
  <si>
    <t xml:space="preserve">Chen</t>
  </si>
  <si>
    <t xml:space="preserve">Margret</t>
  </si>
  <si>
    <t xml:space="preserve">Nevins</t>
  </si>
  <si>
    <t xml:space="preserve">Nikki</t>
  </si>
  <si>
    <t xml:space="preserve">Ragnar</t>
  </si>
  <si>
    <t xml:space="preserve">Aron</t>
  </si>
  <si>
    <t xml:space="preserve">Sula</t>
  </si>
  <si>
    <t xml:space="preserve">Carlie</t>
  </si>
  <si>
    <t xml:space="preserve">Charla</t>
  </si>
  <si>
    <t xml:space="preserve">Coral</t>
  </si>
  <si>
    <t xml:space="preserve">Sybille</t>
  </si>
  <si>
    <t xml:space="preserve">Neils</t>
  </si>
  <si>
    <t xml:space="preserve">Daisi</t>
  </si>
  <si>
    <t xml:space="preserve">Haleigh</t>
  </si>
  <si>
    <t xml:space="preserve">Porter</t>
  </si>
  <si>
    <t xml:space="preserve">Eva</t>
  </si>
  <si>
    <t xml:space="preserve">Kaitlin</t>
  </si>
  <si>
    <t xml:space="preserve">Anni</t>
  </si>
  <si>
    <t xml:space="preserve">Asher</t>
  </si>
  <si>
    <t xml:space="preserve">Leoine</t>
  </si>
  <si>
    <t xml:space="preserve">Maritsa</t>
  </si>
  <si>
    <t xml:space="preserve">Klarrisa</t>
  </si>
  <si>
    <t xml:space="preserve">Constancia</t>
  </si>
  <si>
    <t xml:space="preserve">Hedy</t>
  </si>
  <si>
    <t xml:space="preserve">Ardith</t>
  </si>
  <si>
    <t xml:space="preserve">Meridith</t>
  </si>
  <si>
    <t xml:space="preserve">Farrell</t>
  </si>
  <si>
    <t xml:space="preserve">Ira</t>
  </si>
  <si>
    <t xml:space="preserve">Eloisa</t>
  </si>
  <si>
    <t xml:space="preserve">Anderson</t>
  </si>
  <si>
    <t xml:space="preserve">Killian</t>
  </si>
  <si>
    <t xml:space="preserve">Sephira</t>
  </si>
  <si>
    <t xml:space="preserve">Vanna</t>
  </si>
  <si>
    <t xml:space="preserve">Corrie</t>
  </si>
  <si>
    <t xml:space="preserve">Tripp</t>
  </si>
  <si>
    <t xml:space="preserve">Curcio</t>
  </si>
  <si>
    <t xml:space="preserve">Aldric</t>
  </si>
  <si>
    <t xml:space="preserve">Sheridan</t>
  </si>
  <si>
    <t xml:space="preserve">Izabel</t>
  </si>
  <si>
    <t xml:space="preserve">Talia</t>
  </si>
  <si>
    <t xml:space="preserve">Gustie</t>
  </si>
  <si>
    <t xml:space="preserve">Hettie</t>
  </si>
  <si>
    <t xml:space="preserve">Fleur</t>
  </si>
  <si>
    <t xml:space="preserve">Elias</t>
  </si>
  <si>
    <t xml:space="preserve">Katey</t>
  </si>
  <si>
    <t xml:space="preserve">Emmet</t>
  </si>
  <si>
    <t xml:space="preserve">Lydon</t>
  </si>
  <si>
    <t xml:space="preserve">Grady</t>
  </si>
  <si>
    <t xml:space="preserve">Zacharia</t>
  </si>
  <si>
    <t xml:space="preserve">Oliviero</t>
  </si>
  <si>
    <t xml:space="preserve">Mathilda</t>
  </si>
  <si>
    <t xml:space="preserve">Cordelie</t>
  </si>
  <si>
    <t xml:space="preserve">Graeme</t>
  </si>
  <si>
    <t xml:space="preserve">Milissent</t>
  </si>
  <si>
    <t xml:space="preserve">Aleece</t>
  </si>
  <si>
    <t xml:space="preserve">Gan</t>
  </si>
  <si>
    <t xml:space="preserve">Tanney</t>
  </si>
  <si>
    <t xml:space="preserve">Auroora</t>
  </si>
  <si>
    <t xml:space="preserve">Peadar</t>
  </si>
  <si>
    <t xml:space="preserve">Ingelbert</t>
  </si>
  <si>
    <t xml:space="preserve">Carson</t>
  </si>
  <si>
    <t xml:space="preserve">Glory</t>
  </si>
  <si>
    <t xml:space="preserve">Cass</t>
  </si>
  <si>
    <t xml:space="preserve">Ernesta</t>
  </si>
  <si>
    <t xml:space="preserve">Lamar</t>
  </si>
  <si>
    <t xml:space="preserve">Thea</t>
  </si>
  <si>
    <t xml:space="preserve">Gerrie</t>
  </si>
  <si>
    <t xml:space="preserve">Halette</t>
  </si>
  <si>
    <t xml:space="preserve">Heriberto</t>
  </si>
  <si>
    <t xml:space="preserve">Ketti</t>
  </si>
  <si>
    <t xml:space="preserve">Lorene</t>
  </si>
  <si>
    <t xml:space="preserve">Luelle</t>
  </si>
  <si>
    <t xml:space="preserve">Lynnette</t>
  </si>
  <si>
    <t xml:space="preserve">Tana</t>
  </si>
  <si>
    <t xml:space="preserve">Karney</t>
  </si>
  <si>
    <t xml:space="preserve">Rosalia</t>
  </si>
  <si>
    <t xml:space="preserve">Lucine</t>
  </si>
  <si>
    <t xml:space="preserve">Brand</t>
  </si>
  <si>
    <t xml:space="preserve">Pru</t>
  </si>
  <si>
    <t xml:space="preserve">Grace</t>
  </si>
  <si>
    <t xml:space="preserve">Vitoria</t>
  </si>
  <si>
    <t xml:space="preserve">Allyce</t>
  </si>
  <si>
    <t xml:space="preserve">Tamra</t>
  </si>
  <si>
    <t xml:space="preserve">Emerson</t>
  </si>
  <si>
    <t xml:space="preserve">Welbie</t>
  </si>
  <si>
    <t xml:space="preserve">Patrice</t>
  </si>
  <si>
    <t xml:space="preserve">Penelopa</t>
  </si>
  <si>
    <t xml:space="preserve">Rorie</t>
  </si>
  <si>
    <t xml:space="preserve">Astrid</t>
  </si>
  <si>
    <t xml:space="preserve">Mandel</t>
  </si>
  <si>
    <t xml:space="preserve">Maye</t>
  </si>
  <si>
    <t xml:space="preserve">Sandy</t>
  </si>
  <si>
    <t xml:space="preserve">Caron</t>
  </si>
  <si>
    <t xml:space="preserve">Sigismondo</t>
  </si>
  <si>
    <t xml:space="preserve">Cad</t>
  </si>
  <si>
    <t xml:space="preserve">Hildegarde</t>
  </si>
  <si>
    <t xml:space="preserve">Nancy</t>
  </si>
  <si>
    <t xml:space="preserve">Glenda</t>
  </si>
  <si>
    <t xml:space="preserve">Florella</t>
  </si>
  <si>
    <t xml:space="preserve">Ilyssa</t>
  </si>
  <si>
    <t xml:space="preserve">Arleta</t>
  </si>
  <si>
    <t xml:space="preserve">Wright</t>
  </si>
  <si>
    <t xml:space="preserve">Verne</t>
  </si>
  <si>
    <t xml:space="preserve">Olly</t>
  </si>
  <si>
    <t xml:space="preserve">Ricki</t>
  </si>
  <si>
    <t xml:space="preserve">Nikolas</t>
  </si>
  <si>
    <t xml:space="preserve">Nil</t>
  </si>
  <si>
    <t xml:space="preserve">Kimberli</t>
  </si>
  <si>
    <t xml:space="preserve">Gare</t>
  </si>
  <si>
    <t xml:space="preserve">Gabie</t>
  </si>
  <si>
    <t xml:space="preserve">Nicholle</t>
  </si>
  <si>
    <t xml:space="preserve">Valentijn</t>
  </si>
  <si>
    <t xml:space="preserve">Anet</t>
  </si>
  <si>
    <t xml:space="preserve">Drusy</t>
  </si>
  <si>
    <t xml:space="preserve">Francyne</t>
  </si>
  <si>
    <t xml:space="preserve">Donica</t>
  </si>
  <si>
    <t xml:space="preserve">Marianne</t>
  </si>
  <si>
    <t xml:space="preserve">Christie</t>
  </si>
  <si>
    <t xml:space="preserve">Palm</t>
  </si>
  <si>
    <t xml:space="preserve">Lonee</t>
  </si>
  <si>
    <t xml:space="preserve">Isacco</t>
  </si>
  <si>
    <t xml:space="preserve">Torrance</t>
  </si>
  <si>
    <t xml:space="preserve">Deni</t>
  </si>
  <si>
    <t xml:space="preserve">Fidole</t>
  </si>
  <si>
    <t xml:space="preserve">Joseph</t>
  </si>
  <si>
    <t xml:space="preserve">Averil</t>
  </si>
  <si>
    <t xml:space="preserve">Jefferey</t>
  </si>
  <si>
    <t xml:space="preserve">Dniren</t>
  </si>
  <si>
    <t xml:space="preserve">Tobin</t>
  </si>
  <si>
    <t xml:space="preserve">Carmine</t>
  </si>
  <si>
    <t xml:space="preserve">Rosa</t>
  </si>
  <si>
    <t xml:space="preserve">Vi</t>
  </si>
  <si>
    <t xml:space="preserve">Phyllis</t>
  </si>
  <si>
    <t xml:space="preserve">Kasey</t>
  </si>
  <si>
    <t xml:space="preserve">Augie</t>
  </si>
  <si>
    <t xml:space="preserve">Kittie</t>
  </si>
  <si>
    <t xml:space="preserve">Felicity</t>
  </si>
  <si>
    <t xml:space="preserve">Deloria</t>
  </si>
  <si>
    <t xml:space="preserve">Moina</t>
  </si>
  <si>
    <t xml:space="preserve">Wandis</t>
  </si>
  <si>
    <t xml:space="preserve">Mitchell</t>
  </si>
  <si>
    <t xml:space="preserve">Tania</t>
  </si>
  <si>
    <t xml:space="preserve">Greg</t>
  </si>
  <si>
    <t xml:space="preserve">Trudy</t>
  </si>
  <si>
    <t xml:space="preserve">Engelbert</t>
  </si>
  <si>
    <t xml:space="preserve">Theo</t>
  </si>
  <si>
    <t xml:space="preserve">Galvin</t>
  </si>
  <si>
    <t xml:space="preserve">Cecilla</t>
  </si>
  <si>
    <t xml:space="preserve">Regina</t>
  </si>
  <si>
    <t xml:space="preserve">Ellwood</t>
  </si>
  <si>
    <t xml:space="preserve">Gard</t>
  </si>
  <si>
    <t xml:space="preserve">Breed-Level Descriptive Statistics</t>
  </si>
  <si>
    <t xml:space="preserve">All numeric summaries below are Excel formulas (COUNTIF / AVERAGEIF / STDEV.S) that reference the Data sheet. Change or filter the Data sheet and these values update automatically.</t>
  </si>
  <si>
    <t xml:space="preserve">Rescues</t>
  </si>
  <si>
    <t xml:space="preserve">Rescue Rate</t>
  </si>
  <si>
    <t xml:space="preserve">Weight Mean</t>
  </si>
  <si>
    <t xml:space="preserve">Weight SD</t>
  </si>
  <si>
    <t xml:space="preserve">Age SD</t>
  </si>
  <si>
    <t xml:space="preserve">Tail Mean</t>
  </si>
  <si>
    <t xml:space="preserve">Tail SD</t>
  </si>
  <si>
    <t xml:space="preserve">ALL DOGS</t>
  </si>
  <si>
    <t xml:space="preserve">Note on SD columns (blue text): Grouped standard deviation requires array formulas or helper columns in pure Excel. Values shown are the exact SDs from Python (pandas) for accuracy. Means and rates are live Excel formulas.</t>
  </si>
  <si>
    <t xml:space="preserve">RESCUE RATE vs 8% HISTORICAL BENCHMARK</t>
  </si>
  <si>
    <t xml:space="preserve">Difference from 8%</t>
  </si>
  <si>
    <t xml:space="preserve">Diff vs 8%</t>
  </si>
  <si>
    <t xml:space="preserve">Direction</t>
  </si>
  <si>
    <t xml:space="preserve">Rescue Rate Hypothesis Tests</t>
  </si>
  <si>
    <t xml:space="preserve">Primary question: Are whippets significantly different from the company-wide 8% rescue rate? Extended view for all breeds.</t>
  </si>
  <si>
    <t xml:space="preserve">WHIPPET vs 8% BENCHMARK (core test from original project)</t>
  </si>
  <si>
    <t xml:space="preserve">Metric</t>
  </si>
  <si>
    <t xml:space="preserve">Value</t>
  </si>
  <si>
    <t xml:space="preserve">Source / Formula</t>
  </si>
  <si>
    <t xml:space="preserve">Observed rescues (k)</t>
  </si>
  <si>
    <t xml:space="preserve">COUNTIF / SUMIF from Data</t>
  </si>
  <si>
    <t xml:space="preserve">Sample size (n)</t>
  </si>
  <si>
    <t xml:space="preserve">COUNTIF breed=whippet</t>
  </si>
  <si>
    <t xml:space="preserve">Observed proportion</t>
  </si>
  <si>
    <t xml:space="preserve">k/n</t>
  </si>
  <si>
    <t xml:space="preserve">Null hypothesis p₀</t>
  </si>
  <si>
    <t xml:space="preserve">Company historical benchmark (input)</t>
  </si>
  <si>
    <t xml:space="preserve">Exact binomial p-value (two-sided)</t>
  </si>
  <si>
    <t xml:space="preserve">Python scipy.stats.binomtest — yellow = cannot be obtained with pure Excel</t>
  </si>
  <si>
    <t xml:space="preserve">95% CI (Clopper-Pearson)</t>
  </si>
  <si>
    <t xml:space="preserve">2.2% – 12.6%</t>
  </si>
  <si>
    <t xml:space="preserve">Python binomtest.proportion_ci</t>
  </si>
  <si>
    <t xml:space="preserve">Decision (α = 0.05)</t>
  </si>
  <si>
    <t xml:space="preserve">Do NOT reject H₀</t>
  </si>
  <si>
    <t xml:space="preserve">p &gt; 0.05 → rate compatible with 8%</t>
  </si>
  <si>
    <t xml:space="preserve">ALL BREEDS — Rescue counts &amp; rates (live formulas)</t>
  </si>
  <si>
    <t xml:space="preserve">Rate</t>
  </si>
  <si>
    <t xml:space="preserve">vs 8%</t>
  </si>
  <si>
    <t xml:space="preserve">Python binomial p (vs 0.08)</t>
  </si>
  <si>
    <t xml:space="preserve">Interpretation: Only rottweiler (p≈0.006) would survive a Bonferroni-corrected threshold (0.05/8≈0.00625). Most breeds are compatible with the 8% company prior. Matching algorithm can keep a single rescue-rate prior unless further evidence appears.</t>
  </si>
  <si>
    <t xml:space="preserve">Mid-Size Breed Weight Comparison (Whippet, Terrier, Pitbull)</t>
  </si>
  <si>
    <t xml:space="preserve">Core question from original project: Do the three popular mid-size breeds differ in average weight?</t>
  </si>
  <si>
    <t xml:space="preserve">DESCRIPTIVE STATISTICS (Excel formulas)</t>
  </si>
  <si>
    <t xml:space="preserve">Mean Weight (lb)</t>
  </si>
  <si>
    <t xml:space="preserve">SD</t>
  </si>
  <si>
    <t xml:space="preserve">Min</t>
  </si>
  <si>
    <t xml:space="preserve">Max</t>
  </si>
  <si>
    <t xml:space="preserve">Mean Weight</t>
  </si>
  <si>
    <t xml:space="preserve">ONE-WAY ANOVA &amp; TUKEY HSD RESULTS (from Python)</t>
  </si>
  <si>
    <t xml:space="preserve">Test</t>
  </si>
  <si>
    <t xml:space="preserve">Statistic</t>
  </si>
  <si>
    <t xml:space="preserve">p-value</t>
  </si>
  <si>
    <t xml:space="preserve">Decision (α=0.05)</t>
  </si>
  <si>
    <t xml:space="preserve">One-way ANOVA (3 groups)</t>
  </si>
  <si>
    <t xml:space="preserve">F = 43.25</t>
  </si>
  <si>
    <t xml:space="preserve">Reject H₀ — at least one pair differs</t>
  </si>
  <si>
    <t xml:space="preserve">Tukey HSD pairwise (family-wise error rate controlled at 0.05)</t>
  </si>
  <si>
    <t xml:space="preserve">Group 1</t>
  </si>
  <si>
    <t xml:space="preserve">Group 2</t>
  </si>
  <si>
    <t xml:space="preserve">Mean Diff (lb)</t>
  </si>
  <si>
    <t xml:space="preserve">p-adj</t>
  </si>
  <si>
    <t xml:space="preserve">Reject?</t>
  </si>
  <si>
    <t xml:space="preserve">Yes</t>
  </si>
  <si>
    <t xml:space="preserve">No</t>
  </si>
  <si>
    <t xml:space="preserve">BUSINESS IMPLICATION</t>
  </si>
  <si>
    <t xml:space="preserve">Terriers are substantially lighter (~10–13 lb) than both whippets and pitbulls. The matching algorithm should treat breed as a strong prior for expected weight. Pitbull and whippet average weights are close enough that weight alone may not separate them reliably.</t>
  </si>
  <si>
    <t xml:space="preserve">Poodle vs Shihtzu Color Association</t>
  </si>
  <si>
    <t xml:space="preserve">Chi-square test of independence. H₀: color and breed are independent.</t>
  </si>
  <si>
    <t xml:space="preserve">OBSERVED COUNTS (Excel COUNTIFS formulas)</t>
  </si>
  <si>
    <t xml:space="preserve">Color</t>
  </si>
  <si>
    <t xml:space="preserve">Row Total</t>
  </si>
  <si>
    <t xml:space="preserve">Poodle %</t>
  </si>
  <si>
    <t xml:space="preserve">Shihtzu %</t>
  </si>
  <si>
    <t xml:space="preserve">Column Total</t>
  </si>
  <si>
    <t xml:space="preserve">CHI-SQUARE TEST RESULT (from Python)</t>
  </si>
  <si>
    <t xml:space="preserve">χ² statistic</t>
  </si>
  <si>
    <t xml:space="preserve">Degrees of freedom</t>
  </si>
  <si>
    <t xml:space="preserve">Reject H₀ — significant association between breed and color</t>
  </si>
  <si>
    <t xml:space="preserve">Note: Excel can compute CHISQ.TEST if you also build the expected-frequency matrix (row total × col total / grand total). The observed counts above are live formulas; the final p-value is transcribed from scipy for convenience and exactness.</t>
  </si>
  <si>
    <t xml:space="preserve">High-Value Matching Traits: Hypoallergenic &amp; Likes Children</t>
  </si>
  <si>
    <t xml:space="preserve">HYPOALLERGENIC RATE BY BREED (live AVERAGEIF)</t>
  </si>
  <si>
    <t xml:space="preserve">Rank</t>
  </si>
  <si>
    <t xml:space="preserve">Hypo %</t>
  </si>
  <si>
    <t xml:space="preserve">LIKES CHILDREN RATE BY BREED</t>
  </si>
  <si>
    <t xml:space="preserve">KEY MATCHING RECOMMENDATIONS</t>
  </si>
  <si>
    <t xml:space="preserve">• Allergy-sensitive adopters → prioritize Greyhound or Whippet (≈70% hypoallergenic).
• Families with children → prioritize Shihtzu (81% likes children) or Poodle (54%).
• These two binary traits are among the strongest, most actionable signals in the dataset for the matching algorithm.</t>
  </si>
  <si>
    <t xml:space="preserve">What Each Tool Can (and Cannot) Analyze — FetchMaker-style Hypothesis Testing Project</t>
  </si>
  <si>
    <t xml:space="preserve">Project type: multi-breed descriptive statistics + exact binomial tests + one-way ANOVA + Tukey HSD + chi-square tests of independence + simulation/power + stakeholder dashboards.</t>
  </si>
  <si>
    <t xml:space="preserve">CAPABILITY MATRIX</t>
  </si>
  <si>
    <t xml:space="preserve">Analysis / Feature</t>
  </si>
  <si>
    <t xml:space="preserve">Google Sheets</t>
  </si>
  <si>
    <t xml:space="preserve">Python (pandas/scipy/statsmodels)</t>
  </si>
  <si>
    <t xml:space="preserve">R (tidyverse / base / broom)</t>
  </si>
  <si>
    <t xml:space="preserve">Best choice for this project</t>
  </si>
  <si>
    <t xml:space="preserve">Group means, counts, proportions (by breed)</t>
  </si>
  <si>
    <t xml:space="preserve">Excellent — AVERAGEIF, COUNTIF, QUERY, Pivot Tables. Live &amp; interactive.</t>
  </si>
  <si>
    <t xml:space="preserve">Excellent — groupby().agg(), value_counts. Fully programmable.</t>
  </si>
  <si>
    <t xml:space="preserve">Excellent — dplyr::group_by + summarise, table(), prop.table.</t>
  </si>
  <si>
    <t xml:space="preserve">Any (Sheets for exploration)</t>
  </si>
  <si>
    <t xml:space="preserve">Grouped standard deviations / quantiles</t>
  </si>
  <si>
    <t xml:space="preserve">Awkward (array formulas or helper columns). Often pre-computed.</t>
  </si>
  <si>
    <t xml:space="preserve">Native and simple.</t>
  </si>
  <si>
    <t xml:space="preserve">Native (sd, quantile inside summarise).</t>
  </si>
  <si>
    <t xml:space="preserve">Python or R</t>
  </si>
  <si>
    <t xml:space="preserve">Exact binomial test + Clopper-Pearson CI</t>
  </si>
  <si>
    <t xml:space="preserve">Not native. BINOMDIST / NORMSDIST approximations only. No clean two-sided exact test.</t>
  </si>
  <si>
    <t xml:space="preserve">One line: scipy.stats.binomtest. Exact + CI.</t>
  </si>
  <si>
    <t xml:space="preserve">binom.test() — exact, classic, clean CI.</t>
  </si>
  <si>
    <t xml:space="preserve">One-way ANOVA</t>
  </si>
  <si>
    <t xml:space="preserve">Possible via add-ons or complex array formulas. Limited &amp; fragile.</t>
  </si>
  <si>
    <t xml:space="preserve">scipy.stats.f_oneway or statsmodels ols + anova_lm. Full control.</t>
  </si>
  <si>
    <t xml:space="preserve">aov() or oneway.test(). Classic and clean.</t>
  </si>
  <si>
    <t xml:space="preserve">Tukey HSD / post-hoc with FWER control</t>
  </si>
  <si>
    <t xml:space="preserve">Essentially unavailable without specialized add-ons.</t>
  </si>
  <si>
    <t xml:space="preserve">statsmodels pairwise_tukeyhsd or pingouin. Proper multiplicity control.</t>
  </si>
  <si>
    <t xml:space="preserve">TukeyHSD() from stats package. Excellent.</t>
  </si>
  <si>
    <t xml:space="preserve">Chi-square test of independence</t>
  </si>
  <si>
    <t xml:space="preserve">Possible (CHITEST) once expected matrix is built. COUNTIFS for observed is great.</t>
  </si>
  <si>
    <t xml:space="preserve">scipy.stats.chi2_contingency — one call, returns everything.</t>
  </si>
  <si>
    <t xml:space="preserve">chisq.test() — one call, residuals, expected.</t>
  </si>
  <si>
    <t xml:space="preserve">Any (Sheets ok for simple cases)</t>
  </si>
  <si>
    <t xml:space="preserve">Two-proportion z-test / odds ratios</t>
  </si>
  <si>
    <t xml:space="preserve">Manual formulas possible; error-prone.</t>
  </si>
  <si>
    <t xml:space="preserve">statsmodels.proportions_ztest or manual. Easy.</t>
  </si>
  <si>
    <t xml:space="preserve">prop.test() or fisher.test(). Clean.</t>
  </si>
  <si>
    <t xml:space="preserve">Bootstrap CIs / Monte-Carlo power curves</t>
  </si>
  <si>
    <t xml:space="preserve">Possible with iterative tables but slow, brittle, hard to maintain.</t>
  </si>
  <si>
    <t xml:space="preserve">Native loops or vectorized NumPy. Fast (thousands of reps in seconds).</t>
  </si>
  <si>
    <t xml:space="preserve">replicate() / purrr::map. Very natural for simulation.</t>
  </si>
  <si>
    <t xml:space="preserve">Reproducible analysis pipeline (script to report)</t>
  </si>
  <si>
    <t xml:space="preserve">Limited. Versioning .gsheet is weak; no true literate programming.</t>
  </si>
  <si>
    <t xml:space="preserve">Jupyter / Quarto / scripts + Git. Full audit trail.</t>
  </si>
  <si>
    <t xml:space="preserve">R Markdown / Quarto. Outstanding literate programming.</t>
  </si>
  <si>
    <t xml:space="preserve">Python or R (R slightly stronger for reports)</t>
  </si>
  <si>
    <t xml:space="preserve">Interactive dashboard for non-coders</t>
  </si>
  <si>
    <t xml:space="preserve">Best-in-class. Filters, slicers, everyone already knows it.</t>
  </si>
  <si>
    <t xml:space="preserve">Requires Streamlit / Voila / Dash (extra layer).</t>
  </si>
  <si>
    <t xml:space="preserve">Requires Shiny (powerful but steeper).</t>
  </si>
  <si>
    <t xml:space="preserve">Publication-quality plots for reports</t>
  </si>
  <si>
    <t xml:space="preserve">Basic charts. Limited customization and statistical annotations.</t>
  </si>
  <si>
    <t xml:space="preserve">matplotlib / seaborn / plotly. Full control + statistical layers.</t>
  </si>
  <si>
    <t xml:space="preserve">ggplot2 — grammar of graphics, excellent defaults for stats.</t>
  </si>
  <si>
    <t xml:space="preserve">Python or R (R/ggplot2 often preferred for stats viz)</t>
  </si>
  <si>
    <t xml:space="preserve">Path to production matching / ML models</t>
  </si>
  <si>
    <t xml:space="preserve">None. Stops at tables and simple charts.</t>
  </si>
  <si>
    <t xml:space="preserve">Natural (scikit-learn, ranking models, APIs, feature stores).</t>
  </si>
  <si>
    <t xml:space="preserve">Possible (tidymodels, plumber) but Python ecosystem larger for deployment.</t>
  </si>
  <si>
    <t xml:space="preserve">Python</t>
  </si>
  <si>
    <t xml:space="preserve">Learning curve for product / business stakeholders</t>
  </si>
  <si>
    <t xml:space="preserve">Near zero.</t>
  </si>
  <si>
    <t xml:space="preserve">Requires coding literacy or a polished front-end.</t>
  </si>
  <si>
    <t xml:space="preserve">Requires coding literacy or Shiny front-end.</t>
  </si>
  <si>
    <t xml:space="preserve">Collaborative real-time editing</t>
  </si>
  <si>
    <t xml:space="preserve">Excellent (Google’s core strength).</t>
  </si>
  <si>
    <t xml:space="preserve">Requires shared notebooks or Git discipline.</t>
  </si>
  <si>
    <t xml:space="preserve">Requires shared projects or Git.</t>
  </si>
  <si>
    <t xml:space="preserve">RECOMMENDED WORKFLOW FOR FETCHMAKER</t>
  </si>
  <si>
    <t xml:space="preserve">1. Do all formal hypothesis tests, simulations, and reproducible analysis in Python or R (exact binomial, ANOVA + Tukey, chi-square, power curves). These are the yellow cells in the other sheets.
2. Distribute results and let non-technical stakeholders explore via this Google-Sheets-compatible workbook (or upload the .xlsx directly to Google Drive). Live formulas for rates/means + charts are ideal for product &amp; executive audiences.
3. For the final narrative report and audience-adapted writing, use Jupyter/Quarto (Python) or R Markdown — both support the multi-audience structure (executives skim headlines; technical supervisors inspect methods).
4. Google Sheets is the best pure collaboration / exploration layer; it is not a replacement for the statistical engine.</t>
  </si>
  <si>
    <t xml:space="preserve">WHAT GOOGLE SHEETS CANNOT RELIABLY DO FOR THIS PROJECT</t>
  </si>
  <si>
    <t xml:space="preserve">• Exact two-sided binomial test with proper confidence interval
• One-way ANOVA followed by Tukey HSD that controls the family-wise error rate
• Clean, fast bootstrap confidence intervals or power simulations (hundreds/thousands of replicates)
• Fully reproducible, version-controlled analysis pipeline that can be re-run when new dogs arrive
• Training or serving the actual matching model that will use these insights
All of the above are straightforward in both Python and R; that is why those results appear as yellow (transcribed) cells in the analysis sheets.</t>
  </si>
</sst>
</file>

<file path=xl/styles.xml><?xml version="1.0" encoding="utf-8"?>
<styleSheet xmlns="http://schemas.openxmlformats.org/spreadsheetml/2006/main">
  <numFmts count="8">
    <numFmt numFmtId="164" formatCode="General"/>
    <numFmt numFmtId="165" formatCode="0.0%"/>
    <numFmt numFmtId="166" formatCode="0.00"/>
    <numFmt numFmtId="167" formatCode="General"/>
    <numFmt numFmtId="168" formatCode="\+0.0%;\-0.0%;0.0%"/>
    <numFmt numFmtId="169" formatCode="0.000"/>
    <numFmt numFmtId="170" formatCode="0.00E+00"/>
    <numFmt numFmtId="171" formatCode="0.0000"/>
  </numFmts>
  <fonts count="26">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9"/>
      <color rgb="FF555555"/>
      <name val="Arial"/>
      <family val="0"/>
      <charset val="1"/>
    </font>
    <font>
      <b val="true"/>
      <sz val="12"/>
      <color rgb="FF2E75B6"/>
      <name val="Arial"/>
      <family val="0"/>
      <charset val="1"/>
    </font>
    <font>
      <sz val="9"/>
      <color rgb="FF666666"/>
      <name val="Arial"/>
      <family val="0"/>
      <charset val="1"/>
    </font>
    <font>
      <b val="true"/>
      <sz val="14"/>
      <color rgb="FF1F4E79"/>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b val="true"/>
      <sz val="11"/>
      <color rgb="FF2E75B6"/>
      <name val="Arial"/>
      <family val="0"/>
      <charset val="1"/>
    </font>
    <font>
      <i val="true"/>
      <sz val="9"/>
      <name val="Arial"/>
      <family val="0"/>
      <charset val="1"/>
    </font>
    <font>
      <i val="true"/>
      <sz val="9"/>
      <color rgb="FF666666"/>
      <name val="Arial"/>
      <family val="0"/>
      <charset val="1"/>
    </font>
    <font>
      <sz val="10"/>
      <name val="Arial"/>
      <family val="0"/>
      <charset val="1"/>
    </font>
    <font>
      <b val="true"/>
      <sz val="10"/>
      <name val="Arial"/>
      <family val="0"/>
      <charset val="1"/>
    </font>
    <font>
      <b val="true"/>
      <sz val="11"/>
      <name val="Arial"/>
      <family val="0"/>
      <charset val="1"/>
    </font>
    <font>
      <sz val="10"/>
      <name val="Arial"/>
      <family val="2"/>
    </font>
    <font>
      <sz val="9"/>
      <color rgb="FF555555"/>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9"/>
      <name val="Arial"/>
      <family val="0"/>
      <charset val="1"/>
    </font>
    <font>
      <sz val="9"/>
      <name val="Arial"/>
      <family val="0"/>
      <charset val="1"/>
    </font>
  </fonts>
  <fills count="9">
    <fill>
      <patternFill patternType="none"/>
    </fill>
    <fill>
      <patternFill patternType="gray125"/>
    </fill>
    <fill>
      <patternFill patternType="solid">
        <fgColor rgb="FFD6EAF8"/>
        <bgColor rgb="FFD5F5E3"/>
      </patternFill>
    </fill>
    <fill>
      <patternFill patternType="solid">
        <fgColor rgb="FF1F4E79"/>
        <bgColor rgb="FF003366"/>
      </patternFill>
    </fill>
    <fill>
      <patternFill patternType="solid">
        <fgColor rgb="FFF5F8FA"/>
        <bgColor rgb="FFF8F9F9"/>
      </patternFill>
    </fill>
    <fill>
      <patternFill patternType="solid">
        <fgColor rgb="FFFCF3CF"/>
        <bgColor rgb="FFFFF2CC"/>
      </patternFill>
    </fill>
    <fill>
      <patternFill patternType="solid">
        <fgColor rgb="FFD5F5E3"/>
        <bgColor rgb="FFD6EAF8"/>
      </patternFill>
    </fill>
    <fill>
      <patternFill patternType="solid">
        <fgColor rgb="FFF8F9F9"/>
        <bgColor rgb="FFF9F9F9"/>
      </patternFill>
    </fill>
    <fill>
      <patternFill patternType="solid">
        <fgColor rgb="FFFFF2CC"/>
        <bgColor rgb="FFFCF3C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5" fontId="10" fillId="6" borderId="1"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7" borderId="0"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6" fontId="11" fillId="8"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general" vertical="bottom" textRotation="0" wrapText="false" indent="0" shrinkToFit="false"/>
      <protection locked="true" hidden="false"/>
    </xf>
    <xf numFmtId="167" fontId="17" fillId="2" borderId="1" xfId="0" applyFont="true" applyBorder="true" applyAlignment="true" applyProtection="false">
      <alignment horizontal="general" vertical="bottom" textRotation="0" wrapText="false" indent="0" shrinkToFit="false"/>
      <protection locked="true" hidden="false"/>
    </xf>
    <xf numFmtId="165" fontId="17" fillId="2" borderId="1" xfId="0" applyFont="true" applyBorder="true" applyAlignment="true" applyProtection="false">
      <alignment horizontal="general" vertical="bottom" textRotation="0" wrapText="false" indent="0" shrinkToFit="false"/>
      <protection locked="true" hidden="false"/>
    </xf>
    <xf numFmtId="166" fontId="17"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9" fontId="10" fillId="8"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3" fillId="7"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general" vertical="bottom" textRotation="0" wrapText="false" indent="0" shrinkToFit="false"/>
      <protection locked="true" hidden="false"/>
    </xf>
    <xf numFmtId="170" fontId="0" fillId="8" borderId="1" xfId="0" applyFont="false" applyBorder="true" applyAlignment="tru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6" fontId="0" fillId="8" borderId="1" xfId="0" applyFont="false" applyBorder="true" applyAlignment="true" applyProtection="false">
      <alignment horizontal="center" vertical="center" textRotation="0" wrapText="true" indent="0" shrinkToFit="false"/>
      <protection locked="true" hidden="false"/>
    </xf>
    <xf numFmtId="171" fontId="0" fillId="8" borderId="1" xfId="0" applyFont="fals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71" fontId="0" fillId="8" borderId="1" xfId="0" applyFont="false" applyBorder="true" applyAlignment="true" applyProtection="false">
      <alignment horizontal="general" vertical="bottom" textRotation="0" wrapText="fals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24" fillId="5" borderId="1" xfId="0" applyFont="true" applyBorder="true" applyAlignment="true" applyProtection="false">
      <alignment horizontal="left" vertical="top" textRotation="0" wrapText="true" indent="0" shrinkToFit="false"/>
      <protection locked="true" hidden="false"/>
    </xf>
    <xf numFmtId="164" fontId="24" fillId="6" borderId="1" xfId="0" applyFont="true" applyBorder="true" applyAlignment="true" applyProtection="false">
      <alignment horizontal="left" vertical="top" textRotation="0" wrapText="true" indent="0" shrinkToFit="false"/>
      <protection locked="true" hidden="false"/>
    </xf>
    <xf numFmtId="164" fontId="24" fillId="2" borderId="1" xfId="0" applyFont="true" applyBorder="true" applyAlignment="true" applyProtection="false">
      <alignment horizontal="left" vertical="top" textRotation="0" wrapText="true" indent="0" shrinkToFit="false"/>
      <protection locked="true" hidden="false"/>
    </xf>
    <xf numFmtId="164" fontId="25" fillId="7" borderId="0" xfId="0" applyFont="true" applyBorder="true" applyAlignment="true" applyProtection="false">
      <alignment horizontal="left" vertical="top" textRotation="0" wrapText="true" indent="0" shrinkToFit="false"/>
      <protection locked="true" hidden="false"/>
    </xf>
    <xf numFmtId="164" fontId="25" fillId="8"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78787"/>
      <rgbColor rgb="FF9999FF"/>
      <rgbColor rgb="FFC0504D"/>
      <rgbColor rgb="FFFCF3CF"/>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8FA"/>
      <rgbColor rgb="FFD5F5E3"/>
      <rgbColor rgb="FFFFF2CC"/>
      <rgbColor rgb="FFF8F9F9"/>
      <rgbColor rgb="FFFF99CC"/>
      <rgbColor rgb="FFCC99FF"/>
      <rgbColor rgb="FFF9F9F9"/>
      <rgbColor rgb="FF2E75B6"/>
      <rgbColor rgb="FF33CCCC"/>
      <rgbColor rgb="FF99CC00"/>
      <rgbColor rgb="FFFFCC00"/>
      <rgbColor rgb="FFFF9900"/>
      <rgbColor rgb="FFFF6600"/>
      <rgbColor rgb="FF666666"/>
      <rgbColor rgb="FF969696"/>
      <rgbColor rgb="FF003366"/>
      <rgbColor rgb="FF4F81BD"/>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Rescue Rate by Breed</a:t>
            </a:r>
          </a:p>
        </c:rich>
      </c:tx>
      <c:overlay val="0"/>
      <c:spPr>
        <a:noFill/>
        <a:ln w="0">
          <a:noFill/>
        </a:ln>
      </c:spPr>
    </c:title>
    <c:autoTitleDeleted val="0"/>
    <c:plotArea>
      <c:barChart>
        <c:barDir val="col"/>
        <c:grouping val="clustered"/>
        <c:varyColors val="0"/>
        <c:ser>
          <c:idx val="0"/>
          <c:order val="0"/>
          <c:tx>
            <c:strRef>
              <c:f>'Rescue Analysis'!I15</c:f>
              <c:strCache>
                <c:ptCount val="1"/>
                <c:pt idx="0">
                  <c:v>Rescue Rate</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'Rescue Analysis'!$H$16:$H$23</c:f>
              <c:strCache>
                <c:ptCount val="8"/>
                <c:pt idx="0">
                  <c:v>chihuahua</c:v>
                </c:pt>
                <c:pt idx="1">
                  <c:v>greyhound</c:v>
                </c:pt>
                <c:pt idx="2">
                  <c:v>pitbull</c:v>
                </c:pt>
                <c:pt idx="3">
                  <c:v>poodle</c:v>
                </c:pt>
                <c:pt idx="4">
                  <c:v>rottweiler</c:v>
                </c:pt>
                <c:pt idx="5">
                  <c:v>shihtzu</c:v>
                </c:pt>
                <c:pt idx="6">
                  <c:v>terrier</c:v>
                </c:pt>
                <c:pt idx="7">
                  <c:v>whippet</c:v>
                </c:pt>
              </c:strCache>
            </c:strRef>
          </c:cat>
          <c:val>
            <c:numRef>
              <c:f>'Rescue Analysis'!$I$16:$I$23</c:f>
              <c:numCache>
                <c:formatCode>0.0%</c:formatCode>
                <c:ptCount val="8"/>
                <c:pt idx="0">
                  <c:v>0.1</c:v>
                </c:pt>
                <c:pt idx="1">
                  <c:v>0.03</c:v>
                </c:pt>
                <c:pt idx="2">
                  <c:v>0.13</c:v>
                </c:pt>
                <c:pt idx="3">
                  <c:v>0.14</c:v>
                </c:pt>
                <c:pt idx="4">
                  <c:v>0.16</c:v>
                </c:pt>
                <c:pt idx="5">
                  <c:v>0.07</c:v>
                </c:pt>
                <c:pt idx="6">
                  <c:v>0.04</c:v>
                </c:pt>
                <c:pt idx="7">
                  <c:v>0.06</c:v>
                </c:pt>
              </c:numCache>
            </c:numRef>
          </c:val>
        </c:ser>
        <c:gapWidth val="150"/>
        <c:overlap val="0"/>
        <c:axId val="8562308"/>
        <c:axId val="28691198"/>
      </c:barChart>
      <c:catAx>
        <c:axId val="856230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691198"/>
        <c:crosses val="autoZero"/>
        <c:auto val="1"/>
        <c:lblAlgn val="ctr"/>
        <c:lblOffset val="100"/>
        <c:noMultiLvlLbl val="0"/>
      </c:catAx>
      <c:valAx>
        <c:axId val="286911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Proportion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23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Weight — Mid-size Breeds</a:t>
            </a:r>
          </a:p>
        </c:rich>
      </c:tx>
      <c:overlay val="0"/>
      <c:spPr>
        <a:noFill/>
        <a:ln w="0">
          <a:noFill/>
        </a:ln>
      </c:spPr>
    </c:title>
    <c:autoTitleDeleted val="0"/>
    <c:plotArea>
      <c:barChart>
        <c:barDir val="col"/>
        <c:grouping val="clustered"/>
        <c:varyColors val="0"/>
        <c:ser>
          <c:idx val="0"/>
          <c:order val="0"/>
          <c:tx>
            <c:strRef>
              <c:f>'Weight Analysis'!J5</c:f>
              <c:strCache>
                <c:ptCount val="1"/>
                <c:pt idx="0">
                  <c:v>Mean Weight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'Weight Analysis'!$I$6:$I$8</c:f>
              <c:strCache>
                <c:ptCount val="3"/>
                <c:pt idx="0">
                  <c:v>whippet</c:v>
                </c:pt>
                <c:pt idx="1">
                  <c:v>terrier</c:v>
                </c:pt>
                <c:pt idx="2">
                  <c:v>pitbull</c:v>
                </c:pt>
              </c:strCache>
            </c:strRef>
          </c:cat>
          <c:val>
            <c:numRef>
              <c:f>'Weight Analysis'!$J$6:$J$8</c:f>
              <c:numCache>
                <c:formatCode>0.00</c:formatCode>
                <c:ptCount val="3"/>
                <c:pt idx="0">
                  <c:v>40.82</c:v>
                </c:pt>
                <c:pt idx="1">
                  <c:v>30.92</c:v>
                </c:pt>
                <c:pt idx="2">
                  <c:v>44.16</c:v>
                </c:pt>
              </c:numCache>
            </c:numRef>
          </c:val>
        </c:ser>
        <c:gapWidth val="150"/>
        <c:overlap val="0"/>
        <c:axId val="219359"/>
        <c:axId val="69767409"/>
      </c:barChart>
      <c:catAx>
        <c:axId val="21935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767409"/>
        <c:crosses val="autoZero"/>
        <c:auto val="1"/>
        <c:lblAlgn val="ctr"/>
        <c:lblOffset val="100"/>
        <c:noMultiLvlLbl val="0"/>
      </c:catAx>
      <c:valAx>
        <c:axId val="697674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Weight (lb)</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3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Color Composition (%) by Breed</a:t>
            </a:r>
          </a:p>
        </c:rich>
      </c:tx>
      <c:overlay val="0"/>
      <c:spPr>
        <a:noFill/>
        <a:ln w="0">
          <a:noFill/>
        </a:ln>
      </c:spPr>
    </c:title>
    <c:autoTitleDeleted val="0"/>
    <c:plotArea>
      <c:barChart>
        <c:barDir val="col"/>
        <c:grouping val="stacked"/>
        <c:varyColors val="0"/>
        <c:ser>
          <c:idx val="0"/>
          <c:order val="0"/>
          <c:tx>
            <c:strRef>
              <c:f>'Color Contingency'!G5</c:f>
              <c:strCache>
                <c:ptCount val="1"/>
                <c:pt idx="0">
                  <c:v>Poodle %</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'Color Contingency'!$F$6:$F$10</c:f>
              <c:strCache>
                <c:ptCount val="5"/>
                <c:pt idx="0">
                  <c:v>black</c:v>
                </c:pt>
                <c:pt idx="1">
                  <c:v>brown</c:v>
                </c:pt>
                <c:pt idx="2">
                  <c:v>gold</c:v>
                </c:pt>
                <c:pt idx="3">
                  <c:v>grey</c:v>
                </c:pt>
                <c:pt idx="4">
                  <c:v>white</c:v>
                </c:pt>
              </c:strCache>
            </c:strRef>
          </c:cat>
          <c:val>
            <c:numRef>
              <c:f>'Color Contingency'!$G$6:$G$10</c:f>
              <c:numCache>
                <c:formatCode>0.0%</c:formatCode>
                <c:ptCount val="5"/>
                <c:pt idx="0">
                  <c:v>0.17</c:v>
                </c:pt>
                <c:pt idx="1">
                  <c:v>0.13</c:v>
                </c:pt>
                <c:pt idx="2">
                  <c:v>0.08</c:v>
                </c:pt>
                <c:pt idx="3">
                  <c:v>0.52</c:v>
                </c:pt>
                <c:pt idx="4">
                  <c:v>0.1</c:v>
                </c:pt>
              </c:numCache>
            </c:numRef>
          </c:val>
        </c:ser>
        <c:ser>
          <c:idx val="1"/>
          <c:order val="1"/>
          <c:tx>
            <c:strRef>
              <c:f>'Color Contingency'!H5</c:f>
              <c:strCache>
                <c:ptCount val="1"/>
                <c:pt idx="0">
                  <c:v>Shihtzu %</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'Color Contingency'!$F$6:$F$10</c:f>
              <c:strCache>
                <c:ptCount val="5"/>
                <c:pt idx="0">
                  <c:v>black</c:v>
                </c:pt>
                <c:pt idx="1">
                  <c:v>brown</c:v>
                </c:pt>
                <c:pt idx="2">
                  <c:v>gold</c:v>
                </c:pt>
                <c:pt idx="3">
                  <c:v>grey</c:v>
                </c:pt>
                <c:pt idx="4">
                  <c:v>white</c:v>
                </c:pt>
              </c:strCache>
            </c:strRef>
          </c:cat>
          <c:val>
            <c:numRef>
              <c:f>'Color Contingency'!$H$6:$H$10</c:f>
              <c:numCache>
                <c:formatCode>0.0%</c:formatCode>
                <c:ptCount val="5"/>
                <c:pt idx="0">
                  <c:v>0.1</c:v>
                </c:pt>
                <c:pt idx="1">
                  <c:v>0.36</c:v>
                </c:pt>
                <c:pt idx="2">
                  <c:v>0.06</c:v>
                </c:pt>
                <c:pt idx="3">
                  <c:v>0.41</c:v>
                </c:pt>
                <c:pt idx="4">
                  <c:v>0.07</c:v>
                </c:pt>
              </c:numCache>
            </c:numRef>
          </c:val>
        </c:ser>
        <c:gapWidth val="150"/>
        <c:overlap val="100"/>
        <c:axId val="23938190"/>
        <c:axId val="83561425"/>
      </c:barChart>
      <c:catAx>
        <c:axId val="2393819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561425"/>
        <c:crosses val="autoZero"/>
        <c:auto val="1"/>
        <c:lblAlgn val="ctr"/>
        <c:lblOffset val="100"/>
        <c:noMultiLvlLbl val="0"/>
      </c:catAx>
      <c:valAx>
        <c:axId val="835614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breed</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381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Hypoallergenic Rate by Breed</a:t>
            </a:r>
          </a:p>
        </c:rich>
      </c:tx>
      <c:overlay val="0"/>
      <c:spPr>
        <a:noFill/>
        <a:ln w="0">
          <a:noFill/>
        </a:ln>
      </c:spPr>
    </c:title>
    <c:autoTitleDeleted val="0"/>
    <c:plotArea>
      <c:barChart>
        <c:barDir val="bar"/>
        <c:grouping val="clustered"/>
        <c:varyColors val="0"/>
        <c:ser>
          <c:idx val="0"/>
          <c:order val="0"/>
          <c:tx>
            <c:strRef>
              <c:f>'Traits Deep Dive'!F4</c:f>
              <c:strCache>
                <c:ptCount val="1"/>
                <c:pt idx="0">
                  <c:v>Hypo %</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'Traits Deep Dive'!$E$5:$E$12</c:f>
              <c:strCache>
                <c:ptCount val="8"/>
                <c:pt idx="0">
                  <c:v>greyhound</c:v>
                </c:pt>
                <c:pt idx="1">
                  <c:v>whippet</c:v>
                </c:pt>
                <c:pt idx="2">
                  <c:v>shihtzu</c:v>
                </c:pt>
                <c:pt idx="3">
                  <c:v>chihuahua</c:v>
                </c:pt>
                <c:pt idx="4">
                  <c:v>pitbull</c:v>
                </c:pt>
                <c:pt idx="5">
                  <c:v>terrier</c:v>
                </c:pt>
                <c:pt idx="6">
                  <c:v>rottweiler</c:v>
                </c:pt>
                <c:pt idx="7">
                  <c:v>poodle</c:v>
                </c:pt>
              </c:strCache>
            </c:strRef>
          </c:cat>
          <c:val>
            <c:numRef>
              <c:f>'Traits Deep Dive'!$F$5:$F$12</c:f>
              <c:numCache>
                <c:formatCode>0.0%</c:formatCode>
                <c:ptCount val="8"/>
                <c:pt idx="0">
                  <c:v>0.72</c:v>
                </c:pt>
                <c:pt idx="1">
                  <c:v>0.69</c:v>
                </c:pt>
                <c:pt idx="2">
                  <c:v>0.41</c:v>
                </c:pt>
                <c:pt idx="3">
                  <c:v>0.32</c:v>
                </c:pt>
                <c:pt idx="4">
                  <c:v>0.31</c:v>
                </c:pt>
                <c:pt idx="5">
                  <c:v>0.3</c:v>
                </c:pt>
                <c:pt idx="6">
                  <c:v>0.14</c:v>
                </c:pt>
                <c:pt idx="7">
                  <c:v>0.12</c:v>
                </c:pt>
              </c:numCache>
            </c:numRef>
          </c:val>
        </c:ser>
        <c:gapWidth val="150"/>
        <c:overlap val="0"/>
        <c:axId val="28595680"/>
        <c:axId val="2748686"/>
      </c:barChart>
      <c:catAx>
        <c:axId val="2859568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48686"/>
        <c:crosses val="autoZero"/>
        <c:auto val="1"/>
        <c:lblAlgn val="ctr"/>
        <c:lblOffset val="100"/>
        <c:noMultiLvlLbl val="0"/>
      </c:catAx>
      <c:valAx>
        <c:axId val="27486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5956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14</xdr:col>
      <xdr:colOff>579600</xdr:colOff>
      <xdr:row>16</xdr:row>
      <xdr:rowOff>42120</xdr:rowOff>
    </xdr:to>
    <xdr:graphicFrame>
      <xdr:nvGraphicFramePr>
        <xdr:cNvPr id="0" name="Chart 1"/>
        <xdr:cNvGraphicFramePr/>
      </xdr:nvGraphicFramePr>
      <xdr:xfrm>
        <a:off x="7823880" y="569160"/>
        <a:ext cx="5399280" cy="2863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xdr:row>
      <xdr:rowOff>131040</xdr:rowOff>
    </xdr:from>
    <xdr:to>
      <xdr:col>14</xdr:col>
      <xdr:colOff>252000</xdr:colOff>
      <xdr:row>23</xdr:row>
      <xdr:rowOff>152640</xdr:rowOff>
    </xdr:to>
    <xdr:graphicFrame>
      <xdr:nvGraphicFramePr>
        <xdr:cNvPr id="1" name="Chart 1"/>
        <xdr:cNvGraphicFramePr/>
      </xdr:nvGraphicFramePr>
      <xdr:xfrm>
        <a:off x="10713600" y="1712160"/>
        <a:ext cx="431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10</xdr:row>
      <xdr:rowOff>131040</xdr:rowOff>
    </xdr:from>
    <xdr:to>
      <xdr:col>7</xdr:col>
      <xdr:colOff>1782000</xdr:colOff>
      <xdr:row>25</xdr:row>
      <xdr:rowOff>152640</xdr:rowOff>
    </xdr:to>
    <xdr:graphicFrame>
      <xdr:nvGraphicFramePr>
        <xdr:cNvPr id="2" name="Chart 1"/>
        <xdr:cNvGraphicFramePr/>
      </xdr:nvGraphicFramePr>
      <xdr:xfrm>
        <a:off x="7612560" y="2093040"/>
        <a:ext cx="431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12</xdr:row>
      <xdr:rowOff>130680</xdr:rowOff>
    </xdr:from>
    <xdr:to>
      <xdr:col>10</xdr:col>
      <xdr:colOff>322560</xdr:colOff>
      <xdr:row>25</xdr:row>
      <xdr:rowOff>533520</xdr:rowOff>
    </xdr:to>
    <xdr:graphicFrame>
      <xdr:nvGraphicFramePr>
        <xdr:cNvPr id="3" name="Chart 1"/>
        <xdr:cNvGraphicFramePr/>
      </xdr:nvGraphicFramePr>
      <xdr:xfrm>
        <a:off x="5356800" y="2473920"/>
        <a:ext cx="431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55"/>
    <col collapsed="false" customWidth="true" hidden="false" outlineLevel="0" max="4" min="4" style="1" width="18"/>
    <col collapsed="false" customWidth="true" hidden="false" outlineLevel="0" max="5" min="5" style="1" width="21"/>
    <col collapsed="false" customWidth="true" hidden="false" outlineLevel="0" max="6" min="6" style="1" width="16"/>
    <col collapsed="false" customWidth="true" hidden="false" outlineLevel="0" max="7" min="7" style="1" width="22"/>
    <col collapsed="false" customWidth="true" hidden="false" outlineLevel="0" max="8" min="8" style="1" width="18"/>
  </cols>
  <sheetData>
    <row r="1" customFormat="false" ht="19.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true" outlineLevel="0" collapsed="false">
      <c r="A4" s="4" t="s">
        <v>2</v>
      </c>
      <c r="B4" s="4"/>
      <c r="C4" s="4"/>
      <c r="D4" s="4"/>
    </row>
    <row r="5" customFormat="false" ht="15" hidden="false" customHeight="true" outlineLevel="0" collapsed="false">
      <c r="A5" s="5" t="s">
        <v>3</v>
      </c>
      <c r="C5" s="5" t="s">
        <v>4</v>
      </c>
      <c r="E5" s="5" t="s">
        <v>5</v>
      </c>
      <c r="G5" s="5" t="s">
        <v>6</v>
      </c>
    </row>
    <row r="6" customFormat="false" ht="17.25" hidden="false" customHeight="true" outlineLevel="0" collapsed="false">
      <c r="A6" s="6" t="s">
        <v>7</v>
      </c>
      <c r="C6" s="6" t="s">
        <v>8</v>
      </c>
      <c r="E6" s="6" t="s">
        <v>9</v>
      </c>
      <c r="G6" s="6" t="s">
        <v>10</v>
      </c>
    </row>
    <row r="8" customFormat="false" ht="15" hidden="false" customHeight="true" outlineLevel="0" collapsed="false">
      <c r="A8" s="4" t="s">
        <v>11</v>
      </c>
      <c r="B8" s="4"/>
      <c r="C8" s="4"/>
      <c r="D8" s="4"/>
      <c r="E8" s="4"/>
      <c r="F8" s="4"/>
      <c r="G8" s="4"/>
      <c r="H8" s="4"/>
    </row>
    <row r="9" customFormat="false" ht="15" hidden="false" customHeight="true" outlineLevel="0" collapsed="false">
      <c r="A9" s="7" t="s">
        <v>12</v>
      </c>
      <c r="B9" s="7" t="s">
        <v>13</v>
      </c>
      <c r="C9" s="7" t="s">
        <v>14</v>
      </c>
    </row>
    <row r="10" customFormat="false" ht="23.25" hidden="false" customHeight="true" outlineLevel="0" collapsed="false">
      <c r="A10" s="8" t="s">
        <v>15</v>
      </c>
      <c r="B10" s="9" t="s">
        <v>16</v>
      </c>
      <c r="C10" s="8" t="s">
        <v>17</v>
      </c>
    </row>
    <row r="11" customFormat="false" ht="23.25" hidden="false" customHeight="true" outlineLevel="0" collapsed="false">
      <c r="A11" s="10" t="s">
        <v>18</v>
      </c>
      <c r="B11" s="11" t="s">
        <v>19</v>
      </c>
      <c r="C11" s="10" t="s">
        <v>20</v>
      </c>
    </row>
    <row r="12" customFormat="false" ht="23.25" hidden="false" customHeight="true" outlineLevel="0" collapsed="false">
      <c r="A12" s="8" t="s">
        <v>21</v>
      </c>
      <c r="B12" s="9" t="s">
        <v>22</v>
      </c>
      <c r="C12" s="8" t="s">
        <v>23</v>
      </c>
    </row>
    <row r="13" customFormat="false" ht="34.5" hidden="false" customHeight="true" outlineLevel="0" collapsed="false">
      <c r="A13" s="10" t="s">
        <v>24</v>
      </c>
      <c r="B13" s="11" t="s">
        <v>25</v>
      </c>
      <c r="C13" s="10" t="s">
        <v>26</v>
      </c>
    </row>
    <row r="15" customFormat="false" ht="15" hidden="false" customHeight="true" outlineLevel="0" collapsed="false">
      <c r="A15" s="4" t="s">
        <v>27</v>
      </c>
      <c r="B15" s="4"/>
      <c r="C15" s="4"/>
      <c r="D15" s="4"/>
      <c r="E15" s="4"/>
      <c r="F15" s="4"/>
      <c r="G15" s="4"/>
      <c r="H15" s="4"/>
    </row>
    <row r="16" customFormat="false" ht="15" hidden="false" customHeight="true" outlineLevel="0" collapsed="false">
      <c r="A16" s="7" t="s">
        <v>28</v>
      </c>
      <c r="B16" s="7" t="s">
        <v>29</v>
      </c>
      <c r="C16" s="7" t="s">
        <v>30</v>
      </c>
      <c r="D16" s="7" t="s">
        <v>31</v>
      </c>
      <c r="E16" s="7" t="s">
        <v>32</v>
      </c>
      <c r="F16" s="7" t="s">
        <v>33</v>
      </c>
      <c r="G16" s="7" t="s">
        <v>34</v>
      </c>
      <c r="H16" s="7" t="s">
        <v>35</v>
      </c>
    </row>
    <row r="17" customFormat="false" ht="15" hidden="false" customHeight="true" outlineLevel="0" collapsed="false">
      <c r="A17" s="12" t="s">
        <v>36</v>
      </c>
      <c r="B17" s="12" t="n">
        <v>100</v>
      </c>
      <c r="C17" s="13" t="n">
        <v>0.16</v>
      </c>
      <c r="D17" s="12" t="n">
        <v>55.2</v>
      </c>
      <c r="E17" s="12" t="n">
        <v>7</v>
      </c>
      <c r="F17" s="12" t="n">
        <v>4.2</v>
      </c>
      <c r="G17" s="14" t="n">
        <v>0.24</v>
      </c>
      <c r="H17" s="14" t="n">
        <v>0.14</v>
      </c>
    </row>
    <row r="18" customFormat="false" ht="15" hidden="false" customHeight="true" outlineLevel="0" collapsed="false">
      <c r="A18" s="12" t="s">
        <v>37</v>
      </c>
      <c r="B18" s="12" t="n">
        <v>100</v>
      </c>
      <c r="C18" s="15" t="n">
        <v>0.14</v>
      </c>
      <c r="D18" s="12" t="n">
        <v>60.4</v>
      </c>
      <c r="E18" s="12" t="n">
        <v>4.3</v>
      </c>
      <c r="F18" s="12" t="n">
        <v>9.1</v>
      </c>
      <c r="G18" s="14" t="n">
        <v>0.54</v>
      </c>
      <c r="H18" s="14" t="n">
        <v>0.12</v>
      </c>
    </row>
    <row r="19" customFormat="false" ht="15" hidden="false" customHeight="true" outlineLevel="0" collapsed="false">
      <c r="A19" s="12" t="s">
        <v>38</v>
      </c>
      <c r="B19" s="12" t="n">
        <v>100</v>
      </c>
      <c r="C19" s="15" t="n">
        <v>0.13</v>
      </c>
      <c r="D19" s="12" t="n">
        <v>44.2</v>
      </c>
      <c r="E19" s="12" t="n">
        <v>4.1</v>
      </c>
      <c r="F19" s="12" t="n">
        <v>9.3</v>
      </c>
      <c r="G19" s="14" t="n">
        <v>0.33</v>
      </c>
      <c r="H19" s="14" t="n">
        <v>0.31</v>
      </c>
    </row>
    <row r="20" customFormat="false" ht="15" hidden="false" customHeight="true" outlineLevel="0" collapsed="false">
      <c r="A20" s="12" t="s">
        <v>39</v>
      </c>
      <c r="B20" s="12" t="n">
        <v>100</v>
      </c>
      <c r="C20" s="15" t="n">
        <v>0.1</v>
      </c>
      <c r="D20" s="12" t="n">
        <v>5.2</v>
      </c>
      <c r="E20" s="12" t="n">
        <v>3.1</v>
      </c>
      <c r="F20" s="12" t="n">
        <v>3.1</v>
      </c>
      <c r="G20" s="14" t="n">
        <v>0.32</v>
      </c>
      <c r="H20" s="14" t="n">
        <v>0.32</v>
      </c>
    </row>
    <row r="21" customFormat="false" ht="15" hidden="false" customHeight="true" outlineLevel="0" collapsed="false">
      <c r="A21" s="12" t="s">
        <v>40</v>
      </c>
      <c r="B21" s="12" t="n">
        <v>100</v>
      </c>
      <c r="C21" s="15" t="n">
        <v>0.07</v>
      </c>
      <c r="D21" s="12" t="n">
        <v>11.8</v>
      </c>
      <c r="E21" s="12" t="n">
        <v>3</v>
      </c>
      <c r="F21" s="12" t="n">
        <v>2.1</v>
      </c>
      <c r="G21" s="16" t="n">
        <v>0.81</v>
      </c>
      <c r="H21" s="14" t="n">
        <v>0.41</v>
      </c>
    </row>
    <row r="22" customFormat="false" ht="15" hidden="false" customHeight="true" outlineLevel="0" collapsed="false">
      <c r="A22" s="12" t="s">
        <v>41</v>
      </c>
      <c r="B22" s="12" t="n">
        <v>100</v>
      </c>
      <c r="C22" s="15" t="n">
        <v>0.06</v>
      </c>
      <c r="D22" s="12" t="n">
        <v>40.8</v>
      </c>
      <c r="E22" s="12" t="n">
        <v>5</v>
      </c>
      <c r="F22" s="12" t="n">
        <v>11.9</v>
      </c>
      <c r="G22" s="14" t="n">
        <v>0.36</v>
      </c>
      <c r="H22" s="16" t="n">
        <v>0.69</v>
      </c>
    </row>
    <row r="23" customFormat="false" ht="15" hidden="false" customHeight="true" outlineLevel="0" collapsed="false">
      <c r="A23" s="12" t="s">
        <v>42</v>
      </c>
      <c r="B23" s="12" t="n">
        <v>100</v>
      </c>
      <c r="C23" s="15" t="n">
        <v>0.04</v>
      </c>
      <c r="D23" s="12" t="n">
        <v>30.9</v>
      </c>
      <c r="E23" s="12" t="n">
        <v>2.1</v>
      </c>
      <c r="F23" s="12" t="n">
        <v>3.6</v>
      </c>
      <c r="G23" s="14" t="n">
        <v>0.32</v>
      </c>
      <c r="H23" s="14" t="n">
        <v>0.3</v>
      </c>
    </row>
    <row r="24" customFormat="false" ht="15" hidden="false" customHeight="true" outlineLevel="0" collapsed="false">
      <c r="A24" s="12" t="s">
        <v>43</v>
      </c>
      <c r="B24" s="12" t="n">
        <v>100</v>
      </c>
      <c r="C24" s="15" t="n">
        <v>0.03</v>
      </c>
      <c r="D24" s="12" t="n">
        <v>74.3</v>
      </c>
      <c r="E24" s="12" t="n">
        <v>4.2</v>
      </c>
      <c r="F24" s="12" t="n">
        <v>18</v>
      </c>
      <c r="G24" s="14" t="n">
        <v>0.36</v>
      </c>
      <c r="H24" s="16" t="n">
        <v>0.72</v>
      </c>
    </row>
    <row r="26" customFormat="false" ht="15" hidden="false" customHeight="true" outlineLevel="0" collapsed="false">
      <c r="A26" s="4" t="s">
        <v>44</v>
      </c>
      <c r="B26" s="4"/>
      <c r="C26" s="4"/>
      <c r="D26" s="4"/>
      <c r="E26" s="4"/>
      <c r="F26" s="4"/>
      <c r="G26" s="4"/>
      <c r="H26" s="4"/>
    </row>
    <row r="27" customFormat="false" ht="60" hidden="false" customHeight="true" outlineLevel="0" collapsed="false">
      <c r="A27" s="17" t="s">
        <v>45</v>
      </c>
      <c r="B27" s="17"/>
      <c r="C27" s="17"/>
      <c r="D27" s="17"/>
      <c r="E27" s="17"/>
      <c r="F27" s="17"/>
      <c r="G27" s="17"/>
      <c r="H27" s="17"/>
    </row>
    <row r="28" customFormat="false" ht="15" hidden="false" customHeight="true" outlineLevel="0" collapsed="false">
      <c r="A28" s="17"/>
      <c r="B28" s="17"/>
      <c r="C28" s="17"/>
      <c r="D28" s="17"/>
      <c r="E28" s="17"/>
      <c r="F28" s="17"/>
      <c r="G28" s="17"/>
      <c r="H28" s="17"/>
    </row>
    <row r="29" customFormat="false" ht="15" hidden="false" customHeight="true" outlineLevel="0" collapsed="false">
      <c r="A29" s="17"/>
      <c r="B29" s="17"/>
      <c r="C29" s="17"/>
      <c r="D29" s="17"/>
      <c r="E29" s="17"/>
      <c r="F29" s="17"/>
      <c r="G29" s="17"/>
      <c r="H29" s="17"/>
    </row>
    <row r="31" customFormat="false" ht="15" hidden="false" customHeight="false" outlineLevel="0" collapsed="false">
      <c r="A31" s="18" t="s">
        <v>46</v>
      </c>
      <c r="B31" s="18"/>
      <c r="C31" s="18"/>
      <c r="D31" s="18"/>
      <c r="E31" s="18"/>
      <c r="F31" s="18"/>
      <c r="G31" s="18"/>
      <c r="H31" s="18"/>
    </row>
    <row r="32" customFormat="false" ht="48" hidden="false" customHeight="true" outlineLevel="0" collapsed="false">
      <c r="A32" s="19" t="s">
        <v>47</v>
      </c>
      <c r="B32" s="19"/>
      <c r="C32" s="19"/>
      <c r="D32" s="19"/>
      <c r="E32" s="19"/>
      <c r="F32" s="19"/>
      <c r="G32" s="19"/>
      <c r="H32" s="19"/>
    </row>
    <row r="33" customFormat="false" ht="15" hidden="false" customHeight="false" outlineLevel="0" collapsed="false">
      <c r="A33" s="19"/>
      <c r="B33" s="19"/>
      <c r="C33" s="19"/>
      <c r="D33" s="19"/>
      <c r="E33" s="19"/>
      <c r="F33" s="19"/>
      <c r="G33" s="19"/>
      <c r="H33" s="19"/>
    </row>
    <row r="34" customFormat="false" ht="15" hidden="false" customHeight="false" outlineLevel="0" collapsed="false">
      <c r="A34" s="19"/>
      <c r="B34" s="19"/>
      <c r="C34" s="19"/>
      <c r="D34" s="19"/>
      <c r="E34" s="19"/>
      <c r="F34" s="19"/>
      <c r="G34" s="19"/>
      <c r="H34" s="19"/>
    </row>
  </sheetData>
  <mergeCells count="9">
    <mergeCell ref="A1:H1"/>
    <mergeCell ref="A2:H2"/>
    <mergeCell ref="A4:D4"/>
    <mergeCell ref="A8:H8"/>
    <mergeCell ref="A15:H15"/>
    <mergeCell ref="A26:H26"/>
    <mergeCell ref="A27:H29"/>
    <mergeCell ref="A31:H31"/>
    <mergeCell ref="A32:H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3"/>
    <col collapsed="false" customWidth="true" hidden="false" outlineLevel="0" max="5" min="4" style="1" width="10"/>
    <col collapsed="false" customWidth="true" hidden="false" outlineLevel="0" max="6" min="6" style="1" width="16"/>
    <col collapsed="false" customWidth="true" hidden="false" outlineLevel="0" max="7" min="7" style="1" width="19"/>
    <col collapsed="false" customWidth="true" hidden="false" outlineLevel="0" max="8" min="8" style="1" width="14"/>
    <col collapsed="false" customWidth="true" hidden="false" outlineLevel="0" max="9" min="9" style="1" width="12"/>
  </cols>
  <sheetData>
    <row r="1" customFormat="false" ht="15" hidden="false" customHeight="true" outlineLevel="0" collapsed="false">
      <c r="A1" s="20" t="s">
        <v>48</v>
      </c>
      <c r="B1" s="20"/>
      <c r="C1" s="20"/>
      <c r="D1" s="20"/>
      <c r="E1" s="20"/>
      <c r="F1" s="20"/>
      <c r="G1" s="20"/>
      <c r="H1" s="20"/>
      <c r="I1" s="20"/>
    </row>
    <row r="3" customFormat="false" ht="15" hidden="false" customHeight="true" outlineLevel="0" collapsed="false">
      <c r="A3" s="7" t="s">
        <v>49</v>
      </c>
      <c r="B3" s="7" t="s">
        <v>50</v>
      </c>
      <c r="C3" s="7" t="s">
        <v>51</v>
      </c>
      <c r="D3" s="7" t="s">
        <v>52</v>
      </c>
      <c r="E3" s="7" t="s">
        <v>53</v>
      </c>
      <c r="F3" s="7" t="s">
        <v>54</v>
      </c>
      <c r="G3" s="7" t="s">
        <v>55</v>
      </c>
      <c r="H3" s="7" t="s">
        <v>56</v>
      </c>
      <c r="I3" s="7" t="s">
        <v>57</v>
      </c>
    </row>
    <row r="4" customFormat="false" ht="15" hidden="false" customHeight="true" outlineLevel="0" collapsed="false">
      <c r="A4" s="21" t="n">
        <v>0</v>
      </c>
      <c r="B4" s="21" t="n">
        <v>6</v>
      </c>
      <c r="C4" s="21" t="n">
        <v>2.25</v>
      </c>
      <c r="D4" s="21" t="n">
        <v>2</v>
      </c>
      <c r="E4" s="21" t="s">
        <v>58</v>
      </c>
      <c r="F4" s="21" t="n">
        <v>1</v>
      </c>
      <c r="G4" s="21" t="n">
        <v>0</v>
      </c>
      <c r="H4" s="21" t="s">
        <v>59</v>
      </c>
      <c r="I4" s="21" t="s">
        <v>39</v>
      </c>
    </row>
    <row r="5" customFormat="false" ht="15" hidden="false" customHeight="true" outlineLevel="0" collapsed="false">
      <c r="A5" s="21" t="n">
        <v>0</v>
      </c>
      <c r="B5" s="21" t="n">
        <v>4</v>
      </c>
      <c r="C5" s="21" t="n">
        <v>5.36</v>
      </c>
      <c r="D5" s="21" t="n">
        <v>4</v>
      </c>
      <c r="E5" s="21" t="s">
        <v>58</v>
      </c>
      <c r="F5" s="21" t="n">
        <v>0</v>
      </c>
      <c r="G5" s="21" t="n">
        <v>0</v>
      </c>
      <c r="H5" s="21" t="s">
        <v>60</v>
      </c>
      <c r="I5" s="21" t="s">
        <v>39</v>
      </c>
    </row>
    <row r="6" customFormat="false" ht="15" hidden="false" customHeight="true" outlineLevel="0" collapsed="false">
      <c r="A6" s="21" t="n">
        <v>0</v>
      </c>
      <c r="B6" s="21" t="n">
        <v>7</v>
      </c>
      <c r="C6" s="21" t="n">
        <v>3.63</v>
      </c>
      <c r="D6" s="21" t="n">
        <v>3</v>
      </c>
      <c r="E6" s="21" t="s">
        <v>58</v>
      </c>
      <c r="F6" s="21" t="n">
        <v>0</v>
      </c>
      <c r="G6" s="21" t="n">
        <v>1</v>
      </c>
      <c r="H6" s="21" t="s">
        <v>61</v>
      </c>
      <c r="I6" s="21" t="s">
        <v>39</v>
      </c>
    </row>
    <row r="7" customFormat="false" ht="15" hidden="false" customHeight="true" outlineLevel="0" collapsed="false">
      <c r="A7" s="21" t="n">
        <v>0</v>
      </c>
      <c r="B7" s="21" t="n">
        <v>5</v>
      </c>
      <c r="C7" s="21" t="n">
        <v>0.19</v>
      </c>
      <c r="D7" s="21" t="n">
        <v>2</v>
      </c>
      <c r="E7" s="21" t="s">
        <v>58</v>
      </c>
      <c r="F7" s="21" t="n">
        <v>0</v>
      </c>
      <c r="G7" s="21" t="n">
        <v>0</v>
      </c>
      <c r="H7" s="21" t="s">
        <v>62</v>
      </c>
      <c r="I7" s="21" t="s">
        <v>39</v>
      </c>
    </row>
    <row r="8" customFormat="false" ht="15" hidden="false" customHeight="true" outlineLevel="0" collapsed="false">
      <c r="A8" s="21" t="n">
        <v>0</v>
      </c>
      <c r="B8" s="21" t="n">
        <v>5</v>
      </c>
      <c r="C8" s="21" t="n">
        <v>0.37</v>
      </c>
      <c r="D8" s="21" t="n">
        <v>1</v>
      </c>
      <c r="E8" s="21" t="s">
        <v>58</v>
      </c>
      <c r="F8" s="21" t="n">
        <v>1</v>
      </c>
      <c r="G8" s="21" t="n">
        <v>1</v>
      </c>
      <c r="H8" s="21" t="s">
        <v>63</v>
      </c>
      <c r="I8" s="21" t="s">
        <v>39</v>
      </c>
    </row>
    <row r="9" customFormat="false" ht="15" hidden="false" customHeight="true" outlineLevel="0" collapsed="false">
      <c r="A9" s="21" t="n">
        <v>0</v>
      </c>
      <c r="B9" s="21" t="n">
        <v>7</v>
      </c>
      <c r="C9" s="21" t="n">
        <v>1.05</v>
      </c>
      <c r="D9" s="21" t="n">
        <v>4</v>
      </c>
      <c r="E9" s="21" t="s">
        <v>58</v>
      </c>
      <c r="F9" s="21" t="n">
        <v>1</v>
      </c>
      <c r="G9" s="21" t="n">
        <v>0</v>
      </c>
      <c r="H9" s="21" t="s">
        <v>64</v>
      </c>
      <c r="I9" s="21" t="s">
        <v>39</v>
      </c>
    </row>
    <row r="10" customFormat="false" ht="15" hidden="false" customHeight="true" outlineLevel="0" collapsed="false">
      <c r="A10" s="21" t="n">
        <v>0</v>
      </c>
      <c r="B10" s="21" t="n">
        <v>5</v>
      </c>
      <c r="C10" s="21" t="n">
        <v>0.59</v>
      </c>
      <c r="D10" s="21" t="n">
        <v>4</v>
      </c>
      <c r="E10" s="21" t="s">
        <v>58</v>
      </c>
      <c r="F10" s="21" t="n">
        <v>0</v>
      </c>
      <c r="G10" s="21" t="n">
        <v>0</v>
      </c>
      <c r="H10" s="21" t="s">
        <v>65</v>
      </c>
      <c r="I10" s="21" t="s">
        <v>39</v>
      </c>
    </row>
    <row r="11" customFormat="false" ht="15" hidden="false" customHeight="true" outlineLevel="0" collapsed="false">
      <c r="A11" s="21" t="n">
        <v>0</v>
      </c>
      <c r="B11" s="21" t="n">
        <v>5</v>
      </c>
      <c r="C11" s="21" t="n">
        <v>3.42</v>
      </c>
      <c r="D11" s="21" t="n">
        <v>3</v>
      </c>
      <c r="E11" s="21" t="s">
        <v>58</v>
      </c>
      <c r="F11" s="21" t="n">
        <v>0</v>
      </c>
      <c r="G11" s="21" t="n">
        <v>1</v>
      </c>
      <c r="H11" s="21" t="s">
        <v>66</v>
      </c>
      <c r="I11" s="21" t="s">
        <v>39</v>
      </c>
    </row>
    <row r="12" customFormat="false" ht="15" hidden="false" customHeight="true" outlineLevel="0" collapsed="false">
      <c r="A12" s="21" t="n">
        <v>0</v>
      </c>
      <c r="B12" s="21" t="n">
        <v>4</v>
      </c>
      <c r="C12" s="21" t="n">
        <v>3.44</v>
      </c>
      <c r="D12" s="21" t="n">
        <v>7</v>
      </c>
      <c r="E12" s="21" t="s">
        <v>58</v>
      </c>
      <c r="F12" s="21" t="n">
        <v>0</v>
      </c>
      <c r="G12" s="21" t="n">
        <v>0</v>
      </c>
      <c r="H12" s="21" t="s">
        <v>67</v>
      </c>
      <c r="I12" s="21" t="s">
        <v>39</v>
      </c>
    </row>
    <row r="13" customFormat="false" ht="15" hidden="false" customHeight="true" outlineLevel="0" collapsed="false">
      <c r="A13" s="21" t="n">
        <v>0</v>
      </c>
      <c r="B13" s="21" t="n">
        <v>3</v>
      </c>
      <c r="C13" s="21" t="n">
        <v>6.35</v>
      </c>
      <c r="D13" s="21" t="n">
        <v>1</v>
      </c>
      <c r="E13" s="21" t="s">
        <v>58</v>
      </c>
      <c r="F13" s="21" t="n">
        <v>0</v>
      </c>
      <c r="G13" s="21" t="n">
        <v>1</v>
      </c>
      <c r="H13" s="21" t="s">
        <v>68</v>
      </c>
      <c r="I13" s="21" t="s">
        <v>39</v>
      </c>
    </row>
    <row r="14" customFormat="false" ht="15" hidden="false" customHeight="true" outlineLevel="0" collapsed="false">
      <c r="A14" s="21" t="n">
        <v>0</v>
      </c>
      <c r="B14" s="21" t="n">
        <v>6</v>
      </c>
      <c r="C14" s="21" t="n">
        <v>2.33</v>
      </c>
      <c r="D14" s="21" t="n">
        <v>4</v>
      </c>
      <c r="E14" s="21" t="s">
        <v>58</v>
      </c>
      <c r="F14" s="21" t="n">
        <v>1</v>
      </c>
      <c r="G14" s="21" t="n">
        <v>1</v>
      </c>
      <c r="H14" s="21" t="s">
        <v>69</v>
      </c>
      <c r="I14" s="21" t="s">
        <v>39</v>
      </c>
    </row>
    <row r="15" customFormat="false" ht="15" hidden="false" customHeight="true" outlineLevel="0" collapsed="false">
      <c r="A15" s="21" t="n">
        <v>0</v>
      </c>
      <c r="B15" s="21" t="n">
        <v>2</v>
      </c>
      <c r="C15" s="21" t="n">
        <v>4.34</v>
      </c>
      <c r="D15" s="21" t="n">
        <v>4</v>
      </c>
      <c r="E15" s="21" t="s">
        <v>58</v>
      </c>
      <c r="F15" s="21" t="n">
        <v>0</v>
      </c>
      <c r="G15" s="21" t="n">
        <v>0</v>
      </c>
      <c r="H15" s="21" t="s">
        <v>70</v>
      </c>
      <c r="I15" s="21" t="s">
        <v>39</v>
      </c>
    </row>
    <row r="16" customFormat="false" ht="15" hidden="false" customHeight="true" outlineLevel="0" collapsed="false">
      <c r="A16" s="21" t="n">
        <v>0</v>
      </c>
      <c r="B16" s="21" t="n">
        <v>4</v>
      </c>
      <c r="C16" s="21" t="n">
        <v>4.73</v>
      </c>
      <c r="D16" s="21" t="n">
        <v>3</v>
      </c>
      <c r="E16" s="21" t="s">
        <v>58</v>
      </c>
      <c r="F16" s="21" t="n">
        <v>0</v>
      </c>
      <c r="G16" s="21" t="n">
        <v>0</v>
      </c>
      <c r="H16" s="21" t="s">
        <v>71</v>
      </c>
      <c r="I16" s="21" t="s">
        <v>39</v>
      </c>
    </row>
    <row r="17" customFormat="false" ht="15" hidden="false" customHeight="true" outlineLevel="0" collapsed="false">
      <c r="A17" s="21" t="n">
        <v>0</v>
      </c>
      <c r="B17" s="21" t="n">
        <v>3</v>
      </c>
      <c r="C17" s="21" t="n">
        <v>1.84</v>
      </c>
      <c r="D17" s="21" t="n">
        <v>7</v>
      </c>
      <c r="E17" s="21" t="s">
        <v>72</v>
      </c>
      <c r="F17" s="21" t="n">
        <v>1</v>
      </c>
      <c r="G17" s="21" t="n">
        <v>0</v>
      </c>
      <c r="H17" s="21" t="s">
        <v>73</v>
      </c>
      <c r="I17" s="21" t="s">
        <v>39</v>
      </c>
    </row>
    <row r="18" customFormat="false" ht="15" hidden="false" customHeight="true" outlineLevel="0" collapsed="false">
      <c r="A18" s="21" t="n">
        <v>0</v>
      </c>
      <c r="B18" s="21" t="n">
        <v>2</v>
      </c>
      <c r="C18" s="21" t="n">
        <v>0.33</v>
      </c>
      <c r="D18" s="21" t="n">
        <v>4</v>
      </c>
      <c r="E18" s="21" t="s">
        <v>72</v>
      </c>
      <c r="F18" s="21" t="n">
        <v>1</v>
      </c>
      <c r="G18" s="21" t="n">
        <v>0</v>
      </c>
      <c r="H18" s="21" t="s">
        <v>74</v>
      </c>
      <c r="I18" s="21" t="s">
        <v>39</v>
      </c>
    </row>
    <row r="19" customFormat="false" ht="15" hidden="false" customHeight="true" outlineLevel="0" collapsed="false">
      <c r="A19" s="21" t="n">
        <v>0</v>
      </c>
      <c r="B19" s="21" t="n">
        <v>2</v>
      </c>
      <c r="C19" s="21" t="n">
        <v>2.51</v>
      </c>
      <c r="D19" s="21" t="n">
        <v>1</v>
      </c>
      <c r="E19" s="21" t="s">
        <v>72</v>
      </c>
      <c r="F19" s="21" t="n">
        <v>0</v>
      </c>
      <c r="G19" s="21" t="n">
        <v>0</v>
      </c>
      <c r="H19" s="21" t="s">
        <v>75</v>
      </c>
      <c r="I19" s="21" t="s">
        <v>39</v>
      </c>
    </row>
    <row r="20" customFormat="false" ht="15" hidden="false" customHeight="true" outlineLevel="0" collapsed="false">
      <c r="A20" s="21" t="n">
        <v>0</v>
      </c>
      <c r="B20" s="21" t="n">
        <v>4</v>
      </c>
      <c r="C20" s="21" t="n">
        <v>1.95</v>
      </c>
      <c r="D20" s="21" t="n">
        <v>6</v>
      </c>
      <c r="E20" s="21" t="s">
        <v>72</v>
      </c>
      <c r="F20" s="21" t="n">
        <v>0</v>
      </c>
      <c r="G20" s="21" t="n">
        <v>0</v>
      </c>
      <c r="H20" s="21" t="s">
        <v>76</v>
      </c>
      <c r="I20" s="21" t="s">
        <v>39</v>
      </c>
    </row>
    <row r="21" customFormat="false" ht="15" hidden="false" customHeight="true" outlineLevel="0" collapsed="false">
      <c r="A21" s="21" t="n">
        <v>0</v>
      </c>
      <c r="B21" s="21" t="n">
        <v>4</v>
      </c>
      <c r="C21" s="21" t="n">
        <v>2.52</v>
      </c>
      <c r="D21" s="21" t="n">
        <v>3</v>
      </c>
      <c r="E21" s="21" t="s">
        <v>72</v>
      </c>
      <c r="F21" s="21" t="n">
        <v>0</v>
      </c>
      <c r="G21" s="21" t="n">
        <v>1</v>
      </c>
      <c r="H21" s="21" t="s">
        <v>77</v>
      </c>
      <c r="I21" s="21" t="s">
        <v>39</v>
      </c>
    </row>
    <row r="22" customFormat="false" ht="15" hidden="false" customHeight="true" outlineLevel="0" collapsed="false">
      <c r="A22" s="21" t="n">
        <v>0</v>
      </c>
      <c r="B22" s="21" t="n">
        <v>6</v>
      </c>
      <c r="C22" s="21" t="n">
        <v>1.13</v>
      </c>
      <c r="D22" s="21" t="n">
        <v>3</v>
      </c>
      <c r="E22" s="21" t="s">
        <v>72</v>
      </c>
      <c r="F22" s="21" t="n">
        <v>1</v>
      </c>
      <c r="G22" s="21" t="n">
        <v>0</v>
      </c>
      <c r="H22" s="21" t="s">
        <v>78</v>
      </c>
      <c r="I22" s="21" t="s">
        <v>39</v>
      </c>
    </row>
    <row r="23" customFormat="false" ht="15" hidden="false" customHeight="true" outlineLevel="0" collapsed="false">
      <c r="A23" s="21" t="n">
        <v>0</v>
      </c>
      <c r="B23" s="21" t="n">
        <v>5</v>
      </c>
      <c r="C23" s="21" t="n">
        <v>3.3</v>
      </c>
      <c r="D23" s="21" t="n">
        <v>3</v>
      </c>
      <c r="E23" s="21" t="s">
        <v>72</v>
      </c>
      <c r="F23" s="21" t="n">
        <v>1</v>
      </c>
      <c r="G23" s="21" t="n">
        <v>1</v>
      </c>
      <c r="H23" s="21" t="s">
        <v>79</v>
      </c>
      <c r="I23" s="21" t="s">
        <v>39</v>
      </c>
    </row>
    <row r="24" customFormat="false" ht="15" hidden="false" customHeight="true" outlineLevel="0" collapsed="false">
      <c r="A24" s="21" t="n">
        <v>0</v>
      </c>
      <c r="B24" s="21" t="n">
        <v>7</v>
      </c>
      <c r="C24" s="21" t="n">
        <v>4.91</v>
      </c>
      <c r="D24" s="21" t="n">
        <v>4</v>
      </c>
      <c r="E24" s="21" t="s">
        <v>72</v>
      </c>
      <c r="F24" s="21" t="n">
        <v>0</v>
      </c>
      <c r="G24" s="21" t="n">
        <v>1</v>
      </c>
      <c r="H24" s="21" t="s">
        <v>80</v>
      </c>
      <c r="I24" s="21" t="s">
        <v>39</v>
      </c>
    </row>
    <row r="25" customFormat="false" ht="15" hidden="false" customHeight="true" outlineLevel="0" collapsed="false">
      <c r="A25" s="21" t="n">
        <v>0</v>
      </c>
      <c r="B25" s="21" t="n">
        <v>4</v>
      </c>
      <c r="C25" s="21" t="n">
        <v>4.37</v>
      </c>
      <c r="D25" s="21" t="n">
        <v>4</v>
      </c>
      <c r="E25" s="21" t="s">
        <v>72</v>
      </c>
      <c r="F25" s="21" t="n">
        <v>0</v>
      </c>
      <c r="G25" s="21" t="n">
        <v>0</v>
      </c>
      <c r="H25" s="21" t="s">
        <v>81</v>
      </c>
      <c r="I25" s="21" t="s">
        <v>39</v>
      </c>
    </row>
    <row r="26" customFormat="false" ht="15" hidden="false" customHeight="true" outlineLevel="0" collapsed="false">
      <c r="A26" s="21" t="n">
        <v>0</v>
      </c>
      <c r="B26" s="21" t="n">
        <v>1</v>
      </c>
      <c r="C26" s="21" t="n">
        <v>1.5</v>
      </c>
      <c r="D26" s="21" t="n">
        <v>3</v>
      </c>
      <c r="E26" s="21" t="s">
        <v>72</v>
      </c>
      <c r="F26" s="21" t="n">
        <v>0</v>
      </c>
      <c r="G26" s="21" t="n">
        <v>1</v>
      </c>
      <c r="H26" s="21" t="s">
        <v>82</v>
      </c>
      <c r="I26" s="21" t="s">
        <v>39</v>
      </c>
    </row>
    <row r="27" customFormat="false" ht="15" hidden="false" customHeight="true" outlineLevel="0" collapsed="false">
      <c r="A27" s="21" t="n">
        <v>0</v>
      </c>
      <c r="B27" s="21" t="n">
        <v>3</v>
      </c>
      <c r="C27" s="21" t="n">
        <v>3.89</v>
      </c>
      <c r="D27" s="21" t="n">
        <v>5</v>
      </c>
      <c r="E27" s="21" t="s">
        <v>72</v>
      </c>
      <c r="F27" s="21" t="n">
        <v>1</v>
      </c>
      <c r="G27" s="21" t="n">
        <v>0</v>
      </c>
      <c r="H27" s="21" t="s">
        <v>83</v>
      </c>
      <c r="I27" s="21" t="s">
        <v>39</v>
      </c>
    </row>
    <row r="28" customFormat="false" ht="15" hidden="false" customHeight="true" outlineLevel="0" collapsed="false">
      <c r="A28" s="21" t="n">
        <v>0</v>
      </c>
      <c r="B28" s="21" t="n">
        <v>4</v>
      </c>
      <c r="C28" s="21" t="n">
        <v>2.04</v>
      </c>
      <c r="D28" s="21" t="n">
        <v>1</v>
      </c>
      <c r="E28" s="21" t="s">
        <v>72</v>
      </c>
      <c r="F28" s="21" t="n">
        <v>0</v>
      </c>
      <c r="G28" s="21" t="n">
        <v>0</v>
      </c>
      <c r="H28" s="21" t="s">
        <v>84</v>
      </c>
      <c r="I28" s="21" t="s">
        <v>39</v>
      </c>
    </row>
    <row r="29" customFormat="false" ht="15" hidden="false" customHeight="true" outlineLevel="0" collapsed="false">
      <c r="A29" s="21" t="n">
        <v>0</v>
      </c>
      <c r="B29" s="21" t="n">
        <v>4</v>
      </c>
      <c r="C29" s="21" t="n">
        <v>3</v>
      </c>
      <c r="D29" s="21" t="n">
        <v>5</v>
      </c>
      <c r="E29" s="21" t="s">
        <v>72</v>
      </c>
      <c r="F29" s="21" t="n">
        <v>1</v>
      </c>
      <c r="G29" s="21" t="n">
        <v>1</v>
      </c>
      <c r="H29" s="21" t="s">
        <v>85</v>
      </c>
      <c r="I29" s="21" t="s">
        <v>39</v>
      </c>
    </row>
    <row r="30" customFormat="false" ht="15" hidden="false" customHeight="true" outlineLevel="0" collapsed="false">
      <c r="A30" s="21" t="n">
        <v>0</v>
      </c>
      <c r="B30" s="21" t="n">
        <v>4</v>
      </c>
      <c r="C30" s="21" t="n">
        <v>5.37</v>
      </c>
      <c r="D30" s="21" t="n">
        <v>4</v>
      </c>
      <c r="E30" s="21" t="s">
        <v>72</v>
      </c>
      <c r="F30" s="21" t="n">
        <v>0</v>
      </c>
      <c r="G30" s="21" t="n">
        <v>0</v>
      </c>
      <c r="H30" s="21" t="s">
        <v>86</v>
      </c>
      <c r="I30" s="21" t="s">
        <v>39</v>
      </c>
    </row>
    <row r="31" customFormat="false" ht="15" hidden="false" customHeight="true" outlineLevel="0" collapsed="false">
      <c r="A31" s="21" t="n">
        <v>0</v>
      </c>
      <c r="B31" s="21" t="n">
        <v>6</v>
      </c>
      <c r="C31" s="21" t="n">
        <v>2.05</v>
      </c>
      <c r="D31" s="21" t="n">
        <v>1</v>
      </c>
      <c r="E31" s="21" t="s">
        <v>72</v>
      </c>
      <c r="F31" s="21" t="n">
        <v>0</v>
      </c>
      <c r="G31" s="21" t="n">
        <v>0</v>
      </c>
      <c r="H31" s="21" t="s">
        <v>87</v>
      </c>
      <c r="I31" s="21" t="s">
        <v>39</v>
      </c>
    </row>
    <row r="32" customFormat="false" ht="15" hidden="false" customHeight="true" outlineLevel="0" collapsed="false">
      <c r="A32" s="21" t="n">
        <v>0</v>
      </c>
      <c r="B32" s="21" t="n">
        <v>6</v>
      </c>
      <c r="C32" s="21" t="n">
        <v>2.34</v>
      </c>
      <c r="D32" s="21" t="n">
        <v>5</v>
      </c>
      <c r="E32" s="21" t="s">
        <v>72</v>
      </c>
      <c r="F32" s="21" t="n">
        <v>0</v>
      </c>
      <c r="G32" s="21" t="n">
        <v>0</v>
      </c>
      <c r="H32" s="21" t="s">
        <v>88</v>
      </c>
      <c r="I32" s="21" t="s">
        <v>39</v>
      </c>
    </row>
    <row r="33" customFormat="false" ht="15" hidden="false" customHeight="true" outlineLevel="0" collapsed="false">
      <c r="A33" s="21" t="n">
        <v>0</v>
      </c>
      <c r="B33" s="21" t="n">
        <v>4</v>
      </c>
      <c r="C33" s="21" t="n">
        <v>1</v>
      </c>
      <c r="D33" s="21" t="n">
        <v>4</v>
      </c>
      <c r="E33" s="21" t="s">
        <v>72</v>
      </c>
      <c r="F33" s="21" t="n">
        <v>0</v>
      </c>
      <c r="G33" s="21" t="n">
        <v>0</v>
      </c>
      <c r="H33" s="21" t="s">
        <v>89</v>
      </c>
      <c r="I33" s="21" t="s">
        <v>39</v>
      </c>
    </row>
    <row r="34" customFormat="false" ht="15" hidden="false" customHeight="true" outlineLevel="0" collapsed="false">
      <c r="A34" s="21" t="n">
        <v>1</v>
      </c>
      <c r="B34" s="21" t="n">
        <v>4</v>
      </c>
      <c r="C34" s="21" t="n">
        <v>2.99</v>
      </c>
      <c r="D34" s="21" t="n">
        <v>1</v>
      </c>
      <c r="E34" s="21" t="s">
        <v>72</v>
      </c>
      <c r="F34" s="21" t="n">
        <v>0</v>
      </c>
      <c r="G34" s="21" t="n">
        <v>0</v>
      </c>
      <c r="H34" s="21" t="s">
        <v>90</v>
      </c>
      <c r="I34" s="21" t="s">
        <v>39</v>
      </c>
    </row>
    <row r="35" customFormat="false" ht="15" hidden="false" customHeight="true" outlineLevel="0" collapsed="false">
      <c r="A35" s="21" t="n">
        <v>1</v>
      </c>
      <c r="B35" s="21" t="n">
        <v>3</v>
      </c>
      <c r="C35" s="21" t="n">
        <v>1</v>
      </c>
      <c r="D35" s="21" t="n">
        <v>5</v>
      </c>
      <c r="E35" s="21" t="s">
        <v>72</v>
      </c>
      <c r="F35" s="21" t="n">
        <v>0</v>
      </c>
      <c r="G35" s="21" t="n">
        <v>1</v>
      </c>
      <c r="H35" s="21" t="s">
        <v>91</v>
      </c>
      <c r="I35" s="21" t="s">
        <v>39</v>
      </c>
    </row>
    <row r="36" customFormat="false" ht="15" hidden="false" customHeight="true" outlineLevel="0" collapsed="false">
      <c r="A36" s="21" t="n">
        <v>1</v>
      </c>
      <c r="B36" s="21" t="n">
        <v>5</v>
      </c>
      <c r="C36" s="21" t="n">
        <v>3.04</v>
      </c>
      <c r="D36" s="21" t="n">
        <v>1</v>
      </c>
      <c r="E36" s="21" t="s">
        <v>72</v>
      </c>
      <c r="F36" s="21" t="n">
        <v>1</v>
      </c>
      <c r="G36" s="21" t="n">
        <v>0</v>
      </c>
      <c r="H36" s="21" t="s">
        <v>92</v>
      </c>
      <c r="I36" s="21" t="s">
        <v>39</v>
      </c>
    </row>
    <row r="37" customFormat="false" ht="15" hidden="false" customHeight="true" outlineLevel="0" collapsed="false">
      <c r="A37" s="21" t="n">
        <v>0</v>
      </c>
      <c r="B37" s="21" t="n">
        <v>6</v>
      </c>
      <c r="C37" s="21" t="n">
        <v>4.6</v>
      </c>
      <c r="D37" s="21" t="n">
        <v>5</v>
      </c>
      <c r="E37" s="21" t="s">
        <v>72</v>
      </c>
      <c r="F37" s="21" t="n">
        <v>0</v>
      </c>
      <c r="G37" s="21" t="n">
        <v>0</v>
      </c>
      <c r="H37" s="21" t="s">
        <v>93</v>
      </c>
      <c r="I37" s="21" t="s">
        <v>39</v>
      </c>
    </row>
    <row r="38" customFormat="false" ht="15" hidden="false" customHeight="true" outlineLevel="0" collapsed="false">
      <c r="A38" s="21" t="n">
        <v>0</v>
      </c>
      <c r="B38" s="21" t="n">
        <v>8</v>
      </c>
      <c r="C38" s="21" t="n">
        <v>3.16</v>
      </c>
      <c r="D38" s="21" t="n">
        <v>5</v>
      </c>
      <c r="E38" s="21" t="s">
        <v>72</v>
      </c>
      <c r="F38" s="21" t="n">
        <v>1</v>
      </c>
      <c r="G38" s="21" t="n">
        <v>0</v>
      </c>
      <c r="H38" s="21" t="s">
        <v>94</v>
      </c>
      <c r="I38" s="21" t="s">
        <v>39</v>
      </c>
    </row>
    <row r="39" customFormat="false" ht="15" hidden="false" customHeight="true" outlineLevel="0" collapsed="false">
      <c r="A39" s="21" t="n">
        <v>0</v>
      </c>
      <c r="B39" s="21" t="n">
        <v>4</v>
      </c>
      <c r="C39" s="21" t="n">
        <v>6.32</v>
      </c>
      <c r="D39" s="21" t="n">
        <v>4</v>
      </c>
      <c r="E39" s="21" t="s">
        <v>72</v>
      </c>
      <c r="F39" s="21" t="n">
        <v>0</v>
      </c>
      <c r="G39" s="21" t="n">
        <v>0</v>
      </c>
      <c r="H39" s="21" t="s">
        <v>95</v>
      </c>
      <c r="I39" s="21" t="s">
        <v>39</v>
      </c>
    </row>
    <row r="40" customFormat="false" ht="15" hidden="false" customHeight="true" outlineLevel="0" collapsed="false">
      <c r="A40" s="21" t="n">
        <v>1</v>
      </c>
      <c r="B40" s="21" t="n">
        <v>2</v>
      </c>
      <c r="C40" s="21" t="n">
        <v>1</v>
      </c>
      <c r="D40" s="21" t="n">
        <v>6</v>
      </c>
      <c r="E40" s="21" t="s">
        <v>72</v>
      </c>
      <c r="F40" s="21" t="n">
        <v>1</v>
      </c>
      <c r="G40" s="21" t="n">
        <v>1</v>
      </c>
      <c r="H40" s="21" t="s">
        <v>96</v>
      </c>
      <c r="I40" s="21" t="s">
        <v>39</v>
      </c>
    </row>
    <row r="41" customFormat="false" ht="15" hidden="false" customHeight="true" outlineLevel="0" collapsed="false">
      <c r="A41" s="21" t="n">
        <v>0</v>
      </c>
      <c r="B41" s="21" t="n">
        <v>5</v>
      </c>
      <c r="C41" s="21" t="n">
        <v>5.15</v>
      </c>
      <c r="D41" s="21" t="n">
        <v>5</v>
      </c>
      <c r="E41" s="21" t="s">
        <v>72</v>
      </c>
      <c r="F41" s="21" t="n">
        <v>0</v>
      </c>
      <c r="G41" s="21" t="n">
        <v>0</v>
      </c>
      <c r="H41" s="21" t="s">
        <v>97</v>
      </c>
      <c r="I41" s="21" t="s">
        <v>39</v>
      </c>
    </row>
    <row r="42" customFormat="false" ht="15" hidden="false" customHeight="true" outlineLevel="0" collapsed="false">
      <c r="A42" s="21" t="n">
        <v>0</v>
      </c>
      <c r="B42" s="21" t="n">
        <v>5</v>
      </c>
      <c r="C42" s="21" t="n">
        <v>1.98</v>
      </c>
      <c r="D42" s="21" t="n">
        <v>4</v>
      </c>
      <c r="E42" s="21" t="s">
        <v>72</v>
      </c>
      <c r="F42" s="21" t="n">
        <v>1</v>
      </c>
      <c r="G42" s="21" t="n">
        <v>1</v>
      </c>
      <c r="H42" s="21" t="s">
        <v>98</v>
      </c>
      <c r="I42" s="21" t="s">
        <v>39</v>
      </c>
    </row>
    <row r="43" customFormat="false" ht="15" hidden="false" customHeight="true" outlineLevel="0" collapsed="false">
      <c r="A43" s="21" t="n">
        <v>0</v>
      </c>
      <c r="B43" s="21" t="n">
        <v>5</v>
      </c>
      <c r="C43" s="21" t="n">
        <v>2.99</v>
      </c>
      <c r="D43" s="21" t="n">
        <v>2</v>
      </c>
      <c r="E43" s="21" t="s">
        <v>72</v>
      </c>
      <c r="F43" s="21" t="n">
        <v>0</v>
      </c>
      <c r="G43" s="21" t="n">
        <v>0</v>
      </c>
      <c r="H43" s="21" t="s">
        <v>99</v>
      </c>
      <c r="I43" s="21" t="s">
        <v>39</v>
      </c>
    </row>
    <row r="44" customFormat="false" ht="15" hidden="false" customHeight="true" outlineLevel="0" collapsed="false">
      <c r="A44" s="21" t="n">
        <v>0</v>
      </c>
      <c r="B44" s="21" t="n">
        <v>4</v>
      </c>
      <c r="C44" s="21" t="n">
        <v>3.26</v>
      </c>
      <c r="D44" s="21" t="n">
        <v>2</v>
      </c>
      <c r="E44" s="21" t="s">
        <v>72</v>
      </c>
      <c r="F44" s="21" t="n">
        <v>0</v>
      </c>
      <c r="G44" s="21" t="n">
        <v>0</v>
      </c>
      <c r="H44" s="21" t="s">
        <v>100</v>
      </c>
      <c r="I44" s="21" t="s">
        <v>39</v>
      </c>
    </row>
    <row r="45" customFormat="false" ht="15" hidden="false" customHeight="true" outlineLevel="0" collapsed="false">
      <c r="A45" s="21" t="n">
        <v>0</v>
      </c>
      <c r="B45" s="21" t="n">
        <v>1</v>
      </c>
      <c r="C45" s="21" t="n">
        <v>5.78</v>
      </c>
      <c r="D45" s="21" t="n">
        <v>3</v>
      </c>
      <c r="E45" s="21" t="s">
        <v>72</v>
      </c>
      <c r="F45" s="21" t="n">
        <v>0</v>
      </c>
      <c r="G45" s="21" t="n">
        <v>0</v>
      </c>
      <c r="H45" s="21" t="s">
        <v>101</v>
      </c>
      <c r="I45" s="21" t="s">
        <v>39</v>
      </c>
    </row>
    <row r="46" customFormat="false" ht="15" hidden="false" customHeight="true" outlineLevel="0" collapsed="false">
      <c r="A46" s="21" t="n">
        <v>0</v>
      </c>
      <c r="B46" s="21" t="n">
        <v>8</v>
      </c>
      <c r="C46" s="21" t="n">
        <v>4.5</v>
      </c>
      <c r="D46" s="21" t="n">
        <v>4</v>
      </c>
      <c r="E46" s="21" t="s">
        <v>72</v>
      </c>
      <c r="F46" s="21" t="n">
        <v>0</v>
      </c>
      <c r="G46" s="21" t="n">
        <v>0</v>
      </c>
      <c r="H46" s="21" t="s">
        <v>102</v>
      </c>
      <c r="I46" s="21" t="s">
        <v>39</v>
      </c>
    </row>
    <row r="47" customFormat="false" ht="15" hidden="false" customHeight="true" outlineLevel="0" collapsed="false">
      <c r="A47" s="21" t="n">
        <v>0</v>
      </c>
      <c r="B47" s="21" t="n">
        <v>6</v>
      </c>
      <c r="C47" s="21" t="n">
        <v>3.59</v>
      </c>
      <c r="D47" s="21" t="n">
        <v>2</v>
      </c>
      <c r="E47" s="21" t="s">
        <v>72</v>
      </c>
      <c r="F47" s="21" t="n">
        <v>0</v>
      </c>
      <c r="G47" s="21" t="n">
        <v>1</v>
      </c>
      <c r="H47" s="21" t="s">
        <v>103</v>
      </c>
      <c r="I47" s="21" t="s">
        <v>39</v>
      </c>
    </row>
    <row r="48" customFormat="false" ht="15" hidden="false" customHeight="true" outlineLevel="0" collapsed="false">
      <c r="A48" s="21" t="n">
        <v>0</v>
      </c>
      <c r="B48" s="21" t="n">
        <v>3</v>
      </c>
      <c r="C48" s="21" t="n">
        <v>1.59</v>
      </c>
      <c r="D48" s="21" t="n">
        <v>4</v>
      </c>
      <c r="E48" s="21" t="s">
        <v>72</v>
      </c>
      <c r="F48" s="21" t="n">
        <v>0</v>
      </c>
      <c r="G48" s="21" t="n">
        <v>0</v>
      </c>
      <c r="H48" s="21" t="s">
        <v>104</v>
      </c>
      <c r="I48" s="21" t="s">
        <v>39</v>
      </c>
    </row>
    <row r="49" customFormat="false" ht="15" hidden="false" customHeight="true" outlineLevel="0" collapsed="false">
      <c r="A49" s="21" t="n">
        <v>0</v>
      </c>
      <c r="B49" s="21" t="n">
        <v>7</v>
      </c>
      <c r="C49" s="21" t="n">
        <v>1.02</v>
      </c>
      <c r="D49" s="21" t="n">
        <v>1</v>
      </c>
      <c r="E49" s="21" t="s">
        <v>105</v>
      </c>
      <c r="F49" s="21" t="n">
        <v>0</v>
      </c>
      <c r="G49" s="21" t="n">
        <v>1</v>
      </c>
      <c r="H49" s="21" t="s">
        <v>106</v>
      </c>
      <c r="I49" s="21" t="s">
        <v>39</v>
      </c>
    </row>
    <row r="50" customFormat="false" ht="15" hidden="false" customHeight="true" outlineLevel="0" collapsed="false">
      <c r="A50" s="21" t="n">
        <v>0</v>
      </c>
      <c r="B50" s="21" t="n">
        <v>6</v>
      </c>
      <c r="C50" s="21" t="n">
        <v>2.06</v>
      </c>
      <c r="D50" s="21" t="n">
        <v>4</v>
      </c>
      <c r="E50" s="21" t="s">
        <v>105</v>
      </c>
      <c r="F50" s="21" t="n">
        <v>0</v>
      </c>
      <c r="G50" s="21" t="n">
        <v>1</v>
      </c>
      <c r="H50" s="21" t="s">
        <v>107</v>
      </c>
      <c r="I50" s="21" t="s">
        <v>39</v>
      </c>
    </row>
    <row r="51" customFormat="false" ht="15" hidden="false" customHeight="true" outlineLevel="0" collapsed="false">
      <c r="A51" s="21" t="n">
        <v>1</v>
      </c>
      <c r="B51" s="21" t="n">
        <v>9</v>
      </c>
      <c r="C51" s="21" t="n">
        <v>2.66</v>
      </c>
      <c r="D51" s="21" t="n">
        <v>3</v>
      </c>
      <c r="E51" s="21" t="s">
        <v>105</v>
      </c>
      <c r="F51" s="21" t="n">
        <v>0</v>
      </c>
      <c r="G51" s="21" t="n">
        <v>0</v>
      </c>
      <c r="H51" s="21" t="s">
        <v>108</v>
      </c>
      <c r="I51" s="21" t="s">
        <v>39</v>
      </c>
    </row>
    <row r="52" customFormat="false" ht="15" hidden="false" customHeight="true" outlineLevel="0" collapsed="false">
      <c r="A52" s="21" t="n">
        <v>0</v>
      </c>
      <c r="B52" s="21" t="n">
        <v>50</v>
      </c>
      <c r="C52" s="21" t="n">
        <v>5.67</v>
      </c>
      <c r="D52" s="21" t="n">
        <v>1</v>
      </c>
      <c r="E52" s="21" t="s">
        <v>105</v>
      </c>
      <c r="F52" s="21" t="n">
        <v>1</v>
      </c>
      <c r="G52" s="21" t="n">
        <v>1</v>
      </c>
      <c r="H52" s="21" t="s">
        <v>109</v>
      </c>
      <c r="I52" s="21" t="s">
        <v>39</v>
      </c>
    </row>
    <row r="53" customFormat="false" ht="15" hidden="false" customHeight="true" outlineLevel="0" collapsed="false">
      <c r="A53" s="21" t="n">
        <v>0</v>
      </c>
      <c r="B53" s="21" t="n">
        <v>7</v>
      </c>
      <c r="C53" s="21" t="n">
        <v>1.67</v>
      </c>
      <c r="D53" s="21" t="n">
        <v>2</v>
      </c>
      <c r="E53" s="21" t="s">
        <v>105</v>
      </c>
      <c r="F53" s="21" t="n">
        <v>0</v>
      </c>
      <c r="G53" s="21" t="n">
        <v>0</v>
      </c>
      <c r="H53" s="21" t="s">
        <v>110</v>
      </c>
      <c r="I53" s="21" t="s">
        <v>39</v>
      </c>
    </row>
    <row r="54" customFormat="false" ht="15" hidden="false" customHeight="true" outlineLevel="0" collapsed="false">
      <c r="A54" s="21" t="n">
        <v>0</v>
      </c>
      <c r="B54" s="21" t="n">
        <v>1</v>
      </c>
      <c r="C54" s="21" t="n">
        <v>1.93</v>
      </c>
      <c r="D54" s="21" t="n">
        <v>2</v>
      </c>
      <c r="E54" s="21" t="s">
        <v>105</v>
      </c>
      <c r="F54" s="21" t="n">
        <v>1</v>
      </c>
      <c r="G54" s="21" t="n">
        <v>0</v>
      </c>
      <c r="H54" s="21" t="s">
        <v>111</v>
      </c>
      <c r="I54" s="21" t="s">
        <v>39</v>
      </c>
    </row>
    <row r="55" customFormat="false" ht="15" hidden="false" customHeight="true" outlineLevel="0" collapsed="false">
      <c r="A55" s="21" t="n">
        <v>0</v>
      </c>
      <c r="B55" s="21" t="n">
        <v>4</v>
      </c>
      <c r="C55" s="21" t="n">
        <v>2.28</v>
      </c>
      <c r="D55" s="21" t="n">
        <v>3</v>
      </c>
      <c r="E55" s="21" t="s">
        <v>105</v>
      </c>
      <c r="F55" s="21" t="n">
        <v>0</v>
      </c>
      <c r="G55" s="21" t="n">
        <v>1</v>
      </c>
      <c r="H55" s="21" t="s">
        <v>112</v>
      </c>
      <c r="I55" s="21" t="s">
        <v>39</v>
      </c>
    </row>
    <row r="56" customFormat="false" ht="15" hidden="false" customHeight="true" outlineLevel="0" collapsed="false">
      <c r="A56" s="21" t="n">
        <v>0</v>
      </c>
      <c r="B56" s="21" t="n">
        <v>7</v>
      </c>
      <c r="C56" s="21" t="n">
        <v>5.08</v>
      </c>
      <c r="D56" s="21" t="n">
        <v>3</v>
      </c>
      <c r="E56" s="21" t="s">
        <v>105</v>
      </c>
      <c r="F56" s="21" t="n">
        <v>0</v>
      </c>
      <c r="G56" s="21" t="n">
        <v>0</v>
      </c>
      <c r="H56" s="21" t="s">
        <v>113</v>
      </c>
      <c r="I56" s="21" t="s">
        <v>39</v>
      </c>
    </row>
    <row r="57" customFormat="false" ht="15" hidden="false" customHeight="true" outlineLevel="0" collapsed="false">
      <c r="A57" s="21" t="n">
        <v>0</v>
      </c>
      <c r="B57" s="21" t="n">
        <v>2</v>
      </c>
      <c r="C57" s="21" t="n">
        <v>1.14</v>
      </c>
      <c r="D57" s="21" t="n">
        <v>2</v>
      </c>
      <c r="E57" s="21" t="s">
        <v>105</v>
      </c>
      <c r="F57" s="21" t="n">
        <v>0</v>
      </c>
      <c r="G57" s="21" t="n">
        <v>1</v>
      </c>
      <c r="H57" s="21" t="s">
        <v>114</v>
      </c>
      <c r="I57" s="21" t="s">
        <v>39</v>
      </c>
    </row>
    <row r="58" customFormat="false" ht="15" hidden="false" customHeight="true" outlineLevel="0" collapsed="false">
      <c r="A58" s="21" t="n">
        <v>1</v>
      </c>
      <c r="B58" s="21" t="n">
        <v>6</v>
      </c>
      <c r="C58" s="21" t="n">
        <v>3.03</v>
      </c>
      <c r="D58" s="21" t="n">
        <v>1</v>
      </c>
      <c r="E58" s="21" t="s">
        <v>105</v>
      </c>
      <c r="F58" s="21" t="n">
        <v>1</v>
      </c>
      <c r="G58" s="21" t="n">
        <v>0</v>
      </c>
      <c r="H58" s="21" t="s">
        <v>115</v>
      </c>
      <c r="I58" s="21" t="s">
        <v>39</v>
      </c>
    </row>
    <row r="59" customFormat="false" ht="15" hidden="false" customHeight="true" outlineLevel="0" collapsed="false">
      <c r="A59" s="21" t="n">
        <v>0</v>
      </c>
      <c r="B59" s="21" t="n">
        <v>5</v>
      </c>
      <c r="C59" s="21" t="n">
        <v>1.65</v>
      </c>
      <c r="D59" s="21" t="n">
        <v>3</v>
      </c>
      <c r="E59" s="21" t="s">
        <v>116</v>
      </c>
      <c r="F59" s="21" t="n">
        <v>0</v>
      </c>
      <c r="G59" s="21" t="n">
        <v>1</v>
      </c>
      <c r="H59" s="21" t="s">
        <v>117</v>
      </c>
      <c r="I59" s="21" t="s">
        <v>39</v>
      </c>
    </row>
    <row r="60" customFormat="false" ht="15" hidden="false" customHeight="true" outlineLevel="0" collapsed="false">
      <c r="A60" s="21" t="n">
        <v>0</v>
      </c>
      <c r="B60" s="21" t="n">
        <v>6</v>
      </c>
      <c r="C60" s="21" t="n">
        <v>3.31</v>
      </c>
      <c r="D60" s="21" t="n">
        <v>5</v>
      </c>
      <c r="E60" s="21" t="s">
        <v>116</v>
      </c>
      <c r="F60" s="21" t="n">
        <v>1</v>
      </c>
      <c r="G60" s="21" t="n">
        <v>0</v>
      </c>
      <c r="H60" s="21" t="s">
        <v>118</v>
      </c>
      <c r="I60" s="21" t="s">
        <v>39</v>
      </c>
    </row>
    <row r="61" customFormat="false" ht="15" hidden="false" customHeight="true" outlineLevel="0" collapsed="false">
      <c r="A61" s="21" t="n">
        <v>1</v>
      </c>
      <c r="B61" s="21" t="n">
        <v>6</v>
      </c>
      <c r="C61" s="21" t="n">
        <v>5.55</v>
      </c>
      <c r="D61" s="21" t="n">
        <v>4</v>
      </c>
      <c r="E61" s="21" t="s">
        <v>116</v>
      </c>
      <c r="F61" s="21" t="n">
        <v>0</v>
      </c>
      <c r="G61" s="21" t="n">
        <v>1</v>
      </c>
      <c r="H61" s="21" t="s">
        <v>119</v>
      </c>
      <c r="I61" s="21" t="s">
        <v>39</v>
      </c>
    </row>
    <row r="62" customFormat="false" ht="15" hidden="false" customHeight="true" outlineLevel="0" collapsed="false">
      <c r="A62" s="21" t="n">
        <v>0</v>
      </c>
      <c r="B62" s="21" t="n">
        <v>2</v>
      </c>
      <c r="C62" s="21" t="n">
        <v>0.69</v>
      </c>
      <c r="D62" s="21" t="n">
        <v>4</v>
      </c>
      <c r="E62" s="21" t="s">
        <v>116</v>
      </c>
      <c r="F62" s="21" t="n">
        <v>0</v>
      </c>
      <c r="G62" s="21" t="n">
        <v>0</v>
      </c>
      <c r="H62" s="21" t="s">
        <v>120</v>
      </c>
      <c r="I62" s="21" t="s">
        <v>39</v>
      </c>
    </row>
    <row r="63" customFormat="false" ht="15" hidden="false" customHeight="true" outlineLevel="0" collapsed="false">
      <c r="A63" s="21" t="n">
        <v>1</v>
      </c>
      <c r="B63" s="21" t="n">
        <v>3</v>
      </c>
      <c r="C63" s="21" t="n">
        <v>2.33</v>
      </c>
      <c r="D63" s="21" t="n">
        <v>4</v>
      </c>
      <c r="E63" s="21" t="s">
        <v>116</v>
      </c>
      <c r="F63" s="21" t="n">
        <v>0</v>
      </c>
      <c r="G63" s="21" t="n">
        <v>1</v>
      </c>
      <c r="H63" s="21" t="s">
        <v>121</v>
      </c>
      <c r="I63" s="21" t="s">
        <v>39</v>
      </c>
    </row>
    <row r="64" customFormat="false" ht="15" hidden="false" customHeight="true" outlineLevel="0" collapsed="false">
      <c r="A64" s="21" t="n">
        <v>0</v>
      </c>
      <c r="B64" s="21" t="n">
        <v>7</v>
      </c>
      <c r="C64" s="21" t="n">
        <v>0.89</v>
      </c>
      <c r="D64" s="21" t="n">
        <v>1</v>
      </c>
      <c r="E64" s="21" t="s">
        <v>116</v>
      </c>
      <c r="F64" s="21" t="n">
        <v>1</v>
      </c>
      <c r="G64" s="21" t="n">
        <v>0</v>
      </c>
      <c r="H64" s="21" t="s">
        <v>122</v>
      </c>
      <c r="I64" s="21" t="s">
        <v>39</v>
      </c>
    </row>
    <row r="65" customFormat="false" ht="15" hidden="false" customHeight="true" outlineLevel="0" collapsed="false">
      <c r="A65" s="21" t="n">
        <v>0</v>
      </c>
      <c r="B65" s="21" t="n">
        <v>5</v>
      </c>
      <c r="C65" s="21" t="n">
        <v>4.29</v>
      </c>
      <c r="D65" s="21" t="n">
        <v>1</v>
      </c>
      <c r="E65" s="21" t="s">
        <v>116</v>
      </c>
      <c r="F65" s="21" t="n">
        <v>0</v>
      </c>
      <c r="G65" s="21" t="n">
        <v>0</v>
      </c>
      <c r="H65" s="21" t="s">
        <v>123</v>
      </c>
      <c r="I65" s="21" t="s">
        <v>39</v>
      </c>
    </row>
    <row r="66" customFormat="false" ht="15" hidden="false" customHeight="true" outlineLevel="0" collapsed="false">
      <c r="A66" s="21" t="n">
        <v>0</v>
      </c>
      <c r="B66" s="21" t="n">
        <v>6</v>
      </c>
      <c r="C66" s="21" t="n">
        <v>1.15</v>
      </c>
      <c r="D66" s="21" t="n">
        <v>4</v>
      </c>
      <c r="E66" s="21" t="s">
        <v>116</v>
      </c>
      <c r="F66" s="21" t="n">
        <v>0</v>
      </c>
      <c r="G66" s="21" t="n">
        <v>0</v>
      </c>
      <c r="H66" s="21" t="s">
        <v>124</v>
      </c>
      <c r="I66" s="21" t="s">
        <v>39</v>
      </c>
    </row>
    <row r="67" customFormat="false" ht="15" hidden="false" customHeight="true" outlineLevel="0" collapsed="false">
      <c r="A67" s="21" t="n">
        <v>0</v>
      </c>
      <c r="B67" s="21" t="n">
        <v>4</v>
      </c>
      <c r="C67" s="21" t="n">
        <v>2.72</v>
      </c>
      <c r="D67" s="21" t="n">
        <v>2</v>
      </c>
      <c r="E67" s="21" t="s">
        <v>116</v>
      </c>
      <c r="F67" s="21" t="n">
        <v>0</v>
      </c>
      <c r="G67" s="21" t="n">
        <v>0</v>
      </c>
      <c r="H67" s="21" t="s">
        <v>125</v>
      </c>
      <c r="I67" s="21" t="s">
        <v>39</v>
      </c>
    </row>
    <row r="68" customFormat="false" ht="15" hidden="false" customHeight="true" outlineLevel="0" collapsed="false">
      <c r="A68" s="21" t="n">
        <v>0</v>
      </c>
      <c r="B68" s="21" t="n">
        <v>6</v>
      </c>
      <c r="C68" s="21" t="n">
        <v>5.2</v>
      </c>
      <c r="D68" s="21" t="n">
        <v>2</v>
      </c>
      <c r="E68" s="21" t="s">
        <v>116</v>
      </c>
      <c r="F68" s="21" t="n">
        <v>1</v>
      </c>
      <c r="G68" s="21" t="n">
        <v>0</v>
      </c>
      <c r="H68" s="21" t="s">
        <v>126</v>
      </c>
      <c r="I68" s="21" t="s">
        <v>39</v>
      </c>
    </row>
    <row r="69" customFormat="false" ht="15" hidden="false" customHeight="true" outlineLevel="0" collapsed="false">
      <c r="A69" s="21" t="n">
        <v>0</v>
      </c>
      <c r="B69" s="21" t="n">
        <v>5</v>
      </c>
      <c r="C69" s="21" t="n">
        <v>3.31</v>
      </c>
      <c r="D69" s="21" t="n">
        <v>2</v>
      </c>
      <c r="E69" s="21" t="s">
        <v>116</v>
      </c>
      <c r="F69" s="21" t="n">
        <v>1</v>
      </c>
      <c r="G69" s="21" t="n">
        <v>0</v>
      </c>
      <c r="H69" s="21" t="s">
        <v>127</v>
      </c>
      <c r="I69" s="21" t="s">
        <v>39</v>
      </c>
    </row>
    <row r="70" customFormat="false" ht="15" hidden="false" customHeight="true" outlineLevel="0" collapsed="false">
      <c r="A70" s="21" t="n">
        <v>0</v>
      </c>
      <c r="B70" s="21" t="n">
        <v>5</v>
      </c>
      <c r="C70" s="21" t="n">
        <v>4.62</v>
      </c>
      <c r="D70" s="21" t="n">
        <v>7</v>
      </c>
      <c r="E70" s="21" t="s">
        <v>116</v>
      </c>
      <c r="F70" s="21" t="n">
        <v>0</v>
      </c>
      <c r="G70" s="21" t="n">
        <v>1</v>
      </c>
      <c r="H70" s="21" t="s">
        <v>128</v>
      </c>
      <c r="I70" s="21" t="s">
        <v>39</v>
      </c>
    </row>
    <row r="71" customFormat="false" ht="15" hidden="false" customHeight="true" outlineLevel="0" collapsed="false">
      <c r="A71" s="21" t="n">
        <v>0</v>
      </c>
      <c r="B71" s="21" t="n">
        <v>3</v>
      </c>
      <c r="C71" s="21" t="n">
        <v>1</v>
      </c>
      <c r="D71" s="21" t="n">
        <v>6</v>
      </c>
      <c r="E71" s="21" t="s">
        <v>116</v>
      </c>
      <c r="F71" s="21" t="n">
        <v>0</v>
      </c>
      <c r="G71" s="21" t="n">
        <v>0</v>
      </c>
      <c r="H71" s="21" t="s">
        <v>129</v>
      </c>
      <c r="I71" s="21" t="s">
        <v>39</v>
      </c>
    </row>
    <row r="72" customFormat="false" ht="15" hidden="false" customHeight="true" outlineLevel="0" collapsed="false">
      <c r="A72" s="21" t="n">
        <v>0</v>
      </c>
      <c r="B72" s="21" t="n">
        <v>4</v>
      </c>
      <c r="C72" s="21" t="n">
        <v>2.61</v>
      </c>
      <c r="D72" s="21" t="n">
        <v>3</v>
      </c>
      <c r="E72" s="21" t="s">
        <v>116</v>
      </c>
      <c r="F72" s="21" t="n">
        <v>0</v>
      </c>
      <c r="G72" s="21" t="n">
        <v>0</v>
      </c>
      <c r="H72" s="21" t="s">
        <v>130</v>
      </c>
      <c r="I72" s="21" t="s">
        <v>39</v>
      </c>
    </row>
    <row r="73" customFormat="false" ht="15" hidden="false" customHeight="true" outlineLevel="0" collapsed="false">
      <c r="A73" s="21" t="n">
        <v>0</v>
      </c>
      <c r="B73" s="21" t="n">
        <v>4</v>
      </c>
      <c r="C73" s="21" t="n">
        <v>3.59</v>
      </c>
      <c r="D73" s="21" t="n">
        <v>3</v>
      </c>
      <c r="E73" s="21" t="s">
        <v>116</v>
      </c>
      <c r="F73" s="21" t="n">
        <v>0</v>
      </c>
      <c r="G73" s="21" t="n">
        <v>0</v>
      </c>
      <c r="H73" s="21" t="s">
        <v>131</v>
      </c>
      <c r="I73" s="21" t="s">
        <v>39</v>
      </c>
    </row>
    <row r="74" customFormat="false" ht="15" hidden="false" customHeight="true" outlineLevel="0" collapsed="false">
      <c r="A74" s="21" t="n">
        <v>0</v>
      </c>
      <c r="B74" s="21" t="n">
        <v>2</v>
      </c>
      <c r="C74" s="21" t="n">
        <v>6.89</v>
      </c>
      <c r="D74" s="21" t="n">
        <v>1</v>
      </c>
      <c r="E74" s="21" t="s">
        <v>116</v>
      </c>
      <c r="F74" s="21" t="n">
        <v>1</v>
      </c>
      <c r="G74" s="21" t="n">
        <v>0</v>
      </c>
      <c r="H74" s="21" t="s">
        <v>132</v>
      </c>
      <c r="I74" s="21" t="s">
        <v>39</v>
      </c>
    </row>
    <row r="75" customFormat="false" ht="15" hidden="false" customHeight="true" outlineLevel="0" collapsed="false">
      <c r="A75" s="21" t="n">
        <v>0</v>
      </c>
      <c r="B75" s="21" t="n">
        <v>5</v>
      </c>
      <c r="C75" s="21" t="n">
        <v>1.54</v>
      </c>
      <c r="D75" s="21" t="n">
        <v>6</v>
      </c>
      <c r="E75" s="21" t="s">
        <v>116</v>
      </c>
      <c r="F75" s="21" t="n">
        <v>1</v>
      </c>
      <c r="G75" s="21" t="n">
        <v>1</v>
      </c>
      <c r="H75" s="21" t="s">
        <v>133</v>
      </c>
      <c r="I75" s="21" t="s">
        <v>39</v>
      </c>
    </row>
    <row r="76" customFormat="false" ht="15" hidden="false" customHeight="true" outlineLevel="0" collapsed="false">
      <c r="A76" s="21" t="n">
        <v>0</v>
      </c>
      <c r="B76" s="21" t="n">
        <v>3</v>
      </c>
      <c r="C76" s="21" t="n">
        <v>3.39</v>
      </c>
      <c r="D76" s="21" t="n">
        <v>5</v>
      </c>
      <c r="E76" s="21" t="s">
        <v>116</v>
      </c>
      <c r="F76" s="21" t="n">
        <v>0</v>
      </c>
      <c r="G76" s="21" t="n">
        <v>0</v>
      </c>
      <c r="H76" s="21" t="s">
        <v>134</v>
      </c>
      <c r="I76" s="21" t="s">
        <v>39</v>
      </c>
    </row>
    <row r="77" customFormat="false" ht="15" hidden="false" customHeight="true" outlineLevel="0" collapsed="false">
      <c r="A77" s="21" t="n">
        <v>0</v>
      </c>
      <c r="B77" s="21" t="n">
        <v>5</v>
      </c>
      <c r="C77" s="21" t="n">
        <v>4.28</v>
      </c>
      <c r="D77" s="21" t="n">
        <v>6</v>
      </c>
      <c r="E77" s="21" t="s">
        <v>116</v>
      </c>
      <c r="F77" s="21" t="n">
        <v>0</v>
      </c>
      <c r="G77" s="21" t="n">
        <v>1</v>
      </c>
      <c r="H77" s="21" t="s">
        <v>135</v>
      </c>
      <c r="I77" s="21" t="s">
        <v>39</v>
      </c>
    </row>
    <row r="78" customFormat="false" ht="15" hidden="false" customHeight="true" outlineLevel="0" collapsed="false">
      <c r="A78" s="21" t="n">
        <v>0</v>
      </c>
      <c r="B78" s="21" t="n">
        <v>8</v>
      </c>
      <c r="C78" s="21" t="n">
        <v>4.63</v>
      </c>
      <c r="D78" s="21" t="n">
        <v>2</v>
      </c>
      <c r="E78" s="21" t="s">
        <v>116</v>
      </c>
      <c r="F78" s="21" t="n">
        <v>0</v>
      </c>
      <c r="G78" s="21" t="n">
        <v>1</v>
      </c>
      <c r="H78" s="21" t="s">
        <v>136</v>
      </c>
      <c r="I78" s="21" t="s">
        <v>39</v>
      </c>
    </row>
    <row r="79" customFormat="false" ht="15" hidden="false" customHeight="true" outlineLevel="0" collapsed="false">
      <c r="A79" s="21" t="n">
        <v>0</v>
      </c>
      <c r="B79" s="21" t="n">
        <v>1</v>
      </c>
      <c r="C79" s="21" t="n">
        <v>3.48</v>
      </c>
      <c r="D79" s="21" t="n">
        <v>3</v>
      </c>
      <c r="E79" s="21" t="s">
        <v>116</v>
      </c>
      <c r="F79" s="21" t="n">
        <v>0</v>
      </c>
      <c r="G79" s="21" t="n">
        <v>0</v>
      </c>
      <c r="H79" s="21" t="s">
        <v>137</v>
      </c>
      <c r="I79" s="21" t="s">
        <v>39</v>
      </c>
    </row>
    <row r="80" customFormat="false" ht="15" hidden="false" customHeight="true" outlineLevel="0" collapsed="false">
      <c r="A80" s="21" t="n">
        <v>0</v>
      </c>
      <c r="B80" s="21" t="n">
        <v>8</v>
      </c>
      <c r="C80" s="21" t="n">
        <v>0.97</v>
      </c>
      <c r="D80" s="21" t="n">
        <v>3</v>
      </c>
      <c r="E80" s="21" t="s">
        <v>116</v>
      </c>
      <c r="F80" s="21" t="n">
        <v>0</v>
      </c>
      <c r="G80" s="21" t="n">
        <v>0</v>
      </c>
      <c r="H80" s="21" t="s">
        <v>138</v>
      </c>
      <c r="I80" s="21" t="s">
        <v>39</v>
      </c>
    </row>
    <row r="81" customFormat="false" ht="15" hidden="false" customHeight="true" outlineLevel="0" collapsed="false">
      <c r="A81" s="21" t="n">
        <v>0</v>
      </c>
      <c r="B81" s="21" t="n">
        <v>3</v>
      </c>
      <c r="C81" s="21" t="n">
        <v>1.93</v>
      </c>
      <c r="D81" s="21" t="n">
        <v>3</v>
      </c>
      <c r="E81" s="21" t="s">
        <v>116</v>
      </c>
      <c r="F81" s="21" t="n">
        <v>1</v>
      </c>
      <c r="G81" s="21" t="n">
        <v>1</v>
      </c>
      <c r="H81" s="21" t="s">
        <v>139</v>
      </c>
      <c r="I81" s="21" t="s">
        <v>39</v>
      </c>
    </row>
    <row r="82" customFormat="false" ht="15" hidden="false" customHeight="true" outlineLevel="0" collapsed="false">
      <c r="A82" s="21" t="n">
        <v>0</v>
      </c>
      <c r="B82" s="21" t="n">
        <v>3</v>
      </c>
      <c r="C82" s="21" t="n">
        <v>4.18</v>
      </c>
      <c r="D82" s="21" t="n">
        <v>2</v>
      </c>
      <c r="E82" s="21" t="s">
        <v>116</v>
      </c>
      <c r="F82" s="21" t="n">
        <v>0</v>
      </c>
      <c r="G82" s="21" t="n">
        <v>0</v>
      </c>
      <c r="H82" s="21" t="s">
        <v>140</v>
      </c>
      <c r="I82" s="21" t="s">
        <v>39</v>
      </c>
    </row>
    <row r="83" customFormat="false" ht="15" hidden="false" customHeight="true" outlineLevel="0" collapsed="false">
      <c r="A83" s="21" t="n">
        <v>0</v>
      </c>
      <c r="B83" s="21" t="n">
        <v>4</v>
      </c>
      <c r="C83" s="21" t="n">
        <v>2.63</v>
      </c>
      <c r="D83" s="21" t="n">
        <v>4</v>
      </c>
      <c r="E83" s="21" t="s">
        <v>116</v>
      </c>
      <c r="F83" s="21" t="n">
        <v>0</v>
      </c>
      <c r="G83" s="21" t="n">
        <v>1</v>
      </c>
      <c r="H83" s="21" t="s">
        <v>141</v>
      </c>
      <c r="I83" s="21" t="s">
        <v>39</v>
      </c>
    </row>
    <row r="84" customFormat="false" ht="15" hidden="false" customHeight="true" outlineLevel="0" collapsed="false">
      <c r="A84" s="21" t="n">
        <v>1</v>
      </c>
      <c r="B84" s="21" t="n">
        <v>6</v>
      </c>
      <c r="C84" s="21" t="n">
        <v>2.26</v>
      </c>
      <c r="D84" s="21" t="n">
        <v>1</v>
      </c>
      <c r="E84" s="21" t="s">
        <v>116</v>
      </c>
      <c r="F84" s="21" t="n">
        <v>1</v>
      </c>
      <c r="G84" s="21" t="n">
        <v>0</v>
      </c>
      <c r="H84" s="21" t="s">
        <v>117</v>
      </c>
      <c r="I84" s="21" t="s">
        <v>39</v>
      </c>
    </row>
    <row r="85" customFormat="false" ht="15" hidden="false" customHeight="true" outlineLevel="0" collapsed="false">
      <c r="A85" s="21" t="n">
        <v>0</v>
      </c>
      <c r="B85" s="21" t="n">
        <v>4</v>
      </c>
      <c r="C85" s="21" t="n">
        <v>2.79</v>
      </c>
      <c r="D85" s="21" t="n">
        <v>3</v>
      </c>
      <c r="E85" s="21" t="s">
        <v>116</v>
      </c>
      <c r="F85" s="21" t="n">
        <v>1</v>
      </c>
      <c r="G85" s="21" t="n">
        <v>1</v>
      </c>
      <c r="H85" s="21" t="s">
        <v>142</v>
      </c>
      <c r="I85" s="21" t="s">
        <v>39</v>
      </c>
    </row>
    <row r="86" customFormat="false" ht="15" hidden="false" customHeight="true" outlineLevel="0" collapsed="false">
      <c r="A86" s="21" t="n">
        <v>0</v>
      </c>
      <c r="B86" s="21" t="n">
        <v>6</v>
      </c>
      <c r="C86" s="21" t="n">
        <v>6.76</v>
      </c>
      <c r="D86" s="21" t="n">
        <v>3</v>
      </c>
      <c r="E86" s="21" t="s">
        <v>116</v>
      </c>
      <c r="F86" s="21" t="n">
        <v>0</v>
      </c>
      <c r="G86" s="21" t="n">
        <v>0</v>
      </c>
      <c r="H86" s="21" t="s">
        <v>143</v>
      </c>
      <c r="I86" s="21" t="s">
        <v>39</v>
      </c>
    </row>
    <row r="87" customFormat="false" ht="15" hidden="false" customHeight="true" outlineLevel="0" collapsed="false">
      <c r="A87" s="21" t="n">
        <v>0</v>
      </c>
      <c r="B87" s="21" t="n">
        <v>6</v>
      </c>
      <c r="C87" s="21" t="n">
        <v>2.27</v>
      </c>
      <c r="D87" s="21" t="n">
        <v>2</v>
      </c>
      <c r="E87" s="21" t="s">
        <v>116</v>
      </c>
      <c r="F87" s="21" t="n">
        <v>0</v>
      </c>
      <c r="G87" s="21" t="n">
        <v>0</v>
      </c>
      <c r="H87" s="21" t="s">
        <v>144</v>
      </c>
      <c r="I87" s="21" t="s">
        <v>39</v>
      </c>
    </row>
    <row r="88" customFormat="false" ht="15" hidden="false" customHeight="true" outlineLevel="0" collapsed="false">
      <c r="A88" s="21" t="n">
        <v>0</v>
      </c>
      <c r="B88" s="21" t="n">
        <v>8</v>
      </c>
      <c r="C88" s="21" t="n">
        <v>4</v>
      </c>
      <c r="D88" s="21" t="n">
        <v>2</v>
      </c>
      <c r="E88" s="21" t="s">
        <v>116</v>
      </c>
      <c r="F88" s="21" t="n">
        <v>1</v>
      </c>
      <c r="G88" s="21" t="n">
        <v>0</v>
      </c>
      <c r="H88" s="21" t="s">
        <v>145</v>
      </c>
      <c r="I88" s="21" t="s">
        <v>39</v>
      </c>
    </row>
    <row r="89" customFormat="false" ht="15" hidden="false" customHeight="true" outlineLevel="0" collapsed="false">
      <c r="A89" s="21" t="n">
        <v>1</v>
      </c>
      <c r="B89" s="21" t="n">
        <v>7</v>
      </c>
      <c r="C89" s="21" t="n">
        <v>1.47</v>
      </c>
      <c r="D89" s="21" t="n">
        <v>4</v>
      </c>
      <c r="E89" s="21" t="s">
        <v>116</v>
      </c>
      <c r="F89" s="21" t="n">
        <v>0</v>
      </c>
      <c r="G89" s="21" t="n">
        <v>0</v>
      </c>
      <c r="H89" s="21" t="s">
        <v>146</v>
      </c>
      <c r="I89" s="21" t="s">
        <v>39</v>
      </c>
    </row>
    <row r="90" customFormat="false" ht="15" hidden="false" customHeight="true" outlineLevel="0" collapsed="false">
      <c r="A90" s="21" t="n">
        <v>0</v>
      </c>
      <c r="B90" s="21" t="n">
        <v>5</v>
      </c>
      <c r="C90" s="21" t="n">
        <v>5.95</v>
      </c>
      <c r="D90" s="21" t="n">
        <v>2</v>
      </c>
      <c r="E90" s="21" t="s">
        <v>116</v>
      </c>
      <c r="F90" s="21" t="n">
        <v>0</v>
      </c>
      <c r="G90" s="21" t="n">
        <v>1</v>
      </c>
      <c r="H90" s="21" t="s">
        <v>147</v>
      </c>
      <c r="I90" s="21" t="s">
        <v>39</v>
      </c>
    </row>
    <row r="91" customFormat="false" ht="15" hidden="false" customHeight="true" outlineLevel="0" collapsed="false">
      <c r="A91" s="21" t="n">
        <v>0</v>
      </c>
      <c r="B91" s="21" t="n">
        <v>7</v>
      </c>
      <c r="C91" s="21" t="n">
        <v>0.62</v>
      </c>
      <c r="D91" s="21" t="n">
        <v>2</v>
      </c>
      <c r="E91" s="21" t="s">
        <v>116</v>
      </c>
      <c r="F91" s="21" t="n">
        <v>0</v>
      </c>
      <c r="G91" s="21" t="n">
        <v>0</v>
      </c>
      <c r="H91" s="21" t="s">
        <v>148</v>
      </c>
      <c r="I91" s="21" t="s">
        <v>39</v>
      </c>
    </row>
    <row r="92" customFormat="false" ht="15" hidden="false" customHeight="true" outlineLevel="0" collapsed="false">
      <c r="A92" s="21" t="n">
        <v>0</v>
      </c>
      <c r="B92" s="21" t="n">
        <v>6</v>
      </c>
      <c r="C92" s="21" t="n">
        <v>5.42</v>
      </c>
      <c r="D92" s="21" t="n">
        <v>3</v>
      </c>
      <c r="E92" s="21" t="s">
        <v>116</v>
      </c>
      <c r="F92" s="21" t="n">
        <v>1</v>
      </c>
      <c r="G92" s="21" t="n">
        <v>0</v>
      </c>
      <c r="H92" s="21" t="s">
        <v>149</v>
      </c>
      <c r="I92" s="21" t="s">
        <v>39</v>
      </c>
    </row>
    <row r="93" customFormat="false" ht="15" hidden="false" customHeight="true" outlineLevel="0" collapsed="false">
      <c r="A93" s="21" t="n">
        <v>0</v>
      </c>
      <c r="B93" s="21" t="n">
        <v>8</v>
      </c>
      <c r="C93" s="21" t="n">
        <v>2.63</v>
      </c>
      <c r="D93" s="21" t="n">
        <v>3</v>
      </c>
      <c r="E93" s="21" t="s">
        <v>116</v>
      </c>
      <c r="F93" s="21" t="n">
        <v>0</v>
      </c>
      <c r="G93" s="21" t="n">
        <v>0</v>
      </c>
      <c r="H93" s="21" t="s">
        <v>150</v>
      </c>
      <c r="I93" s="21" t="s">
        <v>39</v>
      </c>
    </row>
    <row r="94" customFormat="false" ht="15" hidden="false" customHeight="true" outlineLevel="0" collapsed="false">
      <c r="A94" s="21" t="n">
        <v>0</v>
      </c>
      <c r="B94" s="21" t="n">
        <v>1</v>
      </c>
      <c r="C94" s="21" t="n">
        <v>1.45</v>
      </c>
      <c r="D94" s="21" t="n">
        <v>1</v>
      </c>
      <c r="E94" s="21" t="s">
        <v>116</v>
      </c>
      <c r="F94" s="21" t="n">
        <v>0</v>
      </c>
      <c r="G94" s="21" t="n">
        <v>1</v>
      </c>
      <c r="H94" s="21" t="s">
        <v>151</v>
      </c>
      <c r="I94" s="21" t="s">
        <v>39</v>
      </c>
    </row>
    <row r="95" customFormat="false" ht="15" hidden="false" customHeight="true" outlineLevel="0" collapsed="false">
      <c r="A95" s="21" t="n">
        <v>0</v>
      </c>
      <c r="B95" s="21" t="n">
        <v>3</v>
      </c>
      <c r="C95" s="21" t="n">
        <v>2.88</v>
      </c>
      <c r="D95" s="21" t="n">
        <v>4</v>
      </c>
      <c r="E95" s="21" t="s">
        <v>116</v>
      </c>
      <c r="F95" s="21" t="n">
        <v>0</v>
      </c>
      <c r="G95" s="21" t="n">
        <v>0</v>
      </c>
      <c r="H95" s="21" t="s">
        <v>152</v>
      </c>
      <c r="I95" s="21" t="s">
        <v>39</v>
      </c>
    </row>
    <row r="96" customFormat="false" ht="15" hidden="false" customHeight="true" outlineLevel="0" collapsed="false">
      <c r="A96" s="21" t="n">
        <v>0</v>
      </c>
      <c r="B96" s="21" t="n">
        <v>7</v>
      </c>
      <c r="C96" s="21" t="n">
        <v>3.23</v>
      </c>
      <c r="D96" s="21" t="n">
        <v>3</v>
      </c>
      <c r="E96" s="21" t="s">
        <v>116</v>
      </c>
      <c r="F96" s="21" t="n">
        <v>1</v>
      </c>
      <c r="G96" s="21" t="n">
        <v>0</v>
      </c>
      <c r="H96" s="21" t="s">
        <v>153</v>
      </c>
      <c r="I96" s="21" t="s">
        <v>39</v>
      </c>
    </row>
    <row r="97" customFormat="false" ht="15" hidden="false" customHeight="true" outlineLevel="0" collapsed="false">
      <c r="A97" s="21" t="n">
        <v>0</v>
      </c>
      <c r="B97" s="21" t="n">
        <v>4</v>
      </c>
      <c r="C97" s="21" t="n">
        <v>5.64</v>
      </c>
      <c r="D97" s="21" t="n">
        <v>3</v>
      </c>
      <c r="E97" s="21" t="s">
        <v>116</v>
      </c>
      <c r="F97" s="21" t="n">
        <v>0</v>
      </c>
      <c r="G97" s="21" t="n">
        <v>0</v>
      </c>
      <c r="H97" s="21" t="s">
        <v>154</v>
      </c>
      <c r="I97" s="21" t="s">
        <v>39</v>
      </c>
    </row>
    <row r="98" customFormat="false" ht="15" hidden="false" customHeight="true" outlineLevel="0" collapsed="false">
      <c r="A98" s="21" t="n">
        <v>0</v>
      </c>
      <c r="B98" s="21" t="n">
        <v>5</v>
      </c>
      <c r="C98" s="21" t="n">
        <v>1.84</v>
      </c>
      <c r="D98" s="21" t="n">
        <v>2</v>
      </c>
      <c r="E98" s="21" t="s">
        <v>116</v>
      </c>
      <c r="F98" s="21" t="n">
        <v>0</v>
      </c>
      <c r="G98" s="21" t="n">
        <v>0</v>
      </c>
      <c r="H98" s="21" t="s">
        <v>155</v>
      </c>
      <c r="I98" s="21" t="s">
        <v>39</v>
      </c>
    </row>
    <row r="99" customFormat="false" ht="15" hidden="false" customHeight="true" outlineLevel="0" collapsed="false">
      <c r="A99" s="21" t="n">
        <v>0</v>
      </c>
      <c r="B99" s="21" t="n">
        <v>3</v>
      </c>
      <c r="C99" s="21" t="n">
        <v>4.74</v>
      </c>
      <c r="D99" s="21" t="n">
        <v>1</v>
      </c>
      <c r="E99" s="21" t="s">
        <v>116</v>
      </c>
      <c r="F99" s="21" t="n">
        <v>1</v>
      </c>
      <c r="G99" s="21" t="n">
        <v>0</v>
      </c>
      <c r="H99" s="21" t="s">
        <v>156</v>
      </c>
      <c r="I99" s="21" t="s">
        <v>39</v>
      </c>
    </row>
    <row r="100" customFormat="false" ht="15" hidden="false" customHeight="true" outlineLevel="0" collapsed="false">
      <c r="A100" s="21" t="n">
        <v>0</v>
      </c>
      <c r="B100" s="21" t="n">
        <v>7</v>
      </c>
      <c r="C100" s="21" t="n">
        <v>0.89</v>
      </c>
      <c r="D100" s="21" t="n">
        <v>2</v>
      </c>
      <c r="E100" s="21" t="s">
        <v>157</v>
      </c>
      <c r="F100" s="21" t="n">
        <v>1</v>
      </c>
      <c r="G100" s="21" t="n">
        <v>0</v>
      </c>
      <c r="H100" s="21" t="s">
        <v>158</v>
      </c>
      <c r="I100" s="21" t="s">
        <v>39</v>
      </c>
    </row>
    <row r="101" customFormat="false" ht="15" hidden="false" customHeight="true" outlineLevel="0" collapsed="false">
      <c r="A101" s="21" t="n">
        <v>0</v>
      </c>
      <c r="B101" s="21" t="n">
        <v>5</v>
      </c>
      <c r="C101" s="21" t="n">
        <v>1.16</v>
      </c>
      <c r="D101" s="21" t="n">
        <v>1</v>
      </c>
      <c r="E101" s="21" t="s">
        <v>157</v>
      </c>
      <c r="F101" s="21" t="n">
        <v>0</v>
      </c>
      <c r="G101" s="21" t="n">
        <v>1</v>
      </c>
      <c r="H101" s="21" t="s">
        <v>159</v>
      </c>
      <c r="I101" s="21" t="s">
        <v>39</v>
      </c>
    </row>
    <row r="102" customFormat="false" ht="15" hidden="false" customHeight="true" outlineLevel="0" collapsed="false">
      <c r="A102" s="21" t="n">
        <v>0</v>
      </c>
      <c r="B102" s="21" t="n">
        <v>3</v>
      </c>
      <c r="C102" s="21" t="n">
        <v>10.08</v>
      </c>
      <c r="D102" s="21" t="n">
        <v>1</v>
      </c>
      <c r="E102" s="21" t="s">
        <v>157</v>
      </c>
      <c r="F102" s="21" t="n">
        <v>1</v>
      </c>
      <c r="G102" s="21" t="n">
        <v>0</v>
      </c>
      <c r="H102" s="21" t="s">
        <v>160</v>
      </c>
      <c r="I102" s="21" t="s">
        <v>39</v>
      </c>
    </row>
    <row r="103" customFormat="false" ht="15" hidden="false" customHeight="true" outlineLevel="0" collapsed="false">
      <c r="A103" s="21" t="n">
        <v>0</v>
      </c>
      <c r="B103" s="21" t="n">
        <v>6</v>
      </c>
      <c r="C103" s="21" t="n">
        <v>4.88</v>
      </c>
      <c r="D103" s="21" t="n">
        <v>2</v>
      </c>
      <c r="E103" s="21" t="s">
        <v>157</v>
      </c>
      <c r="F103" s="21" t="n">
        <v>0</v>
      </c>
      <c r="G103" s="21" t="n">
        <v>0</v>
      </c>
      <c r="H103" s="21" t="s">
        <v>161</v>
      </c>
      <c r="I103" s="21" t="s">
        <v>39</v>
      </c>
    </row>
    <row r="104" customFormat="false" ht="15" hidden="false" customHeight="true" outlineLevel="0" collapsed="false">
      <c r="A104" s="21" t="n">
        <v>0</v>
      </c>
      <c r="B104" s="21" t="n">
        <v>72</v>
      </c>
      <c r="C104" s="21" t="n">
        <v>13.13</v>
      </c>
      <c r="D104" s="21" t="n">
        <v>6</v>
      </c>
      <c r="E104" s="21" t="s">
        <v>58</v>
      </c>
      <c r="F104" s="21" t="n">
        <v>1</v>
      </c>
      <c r="G104" s="21" t="n">
        <v>0</v>
      </c>
      <c r="H104" s="21" t="s">
        <v>162</v>
      </c>
      <c r="I104" s="21" t="s">
        <v>43</v>
      </c>
    </row>
    <row r="105" customFormat="false" ht="15" hidden="false" customHeight="true" outlineLevel="0" collapsed="false">
      <c r="A105" s="21" t="n">
        <v>0</v>
      </c>
      <c r="B105" s="21" t="n">
        <v>88</v>
      </c>
      <c r="C105" s="21" t="n">
        <v>20.98</v>
      </c>
      <c r="D105" s="21" t="n">
        <v>4</v>
      </c>
      <c r="E105" s="21" t="s">
        <v>58</v>
      </c>
      <c r="F105" s="21" t="n">
        <v>0</v>
      </c>
      <c r="G105" s="21" t="n">
        <v>0</v>
      </c>
      <c r="H105" s="21" t="s">
        <v>163</v>
      </c>
      <c r="I105" s="21" t="s">
        <v>43</v>
      </c>
    </row>
    <row r="106" customFormat="false" ht="15" hidden="false" customHeight="true" outlineLevel="0" collapsed="false">
      <c r="A106" s="21" t="n">
        <v>0</v>
      </c>
      <c r="B106" s="21" t="n">
        <v>90</v>
      </c>
      <c r="C106" s="21" t="n">
        <v>17.6</v>
      </c>
      <c r="D106" s="21" t="n">
        <v>7</v>
      </c>
      <c r="E106" s="21" t="s">
        <v>58</v>
      </c>
      <c r="F106" s="21" t="n">
        <v>1</v>
      </c>
      <c r="G106" s="21" t="n">
        <v>0</v>
      </c>
      <c r="H106" s="21" t="s">
        <v>164</v>
      </c>
      <c r="I106" s="21" t="s">
        <v>43</v>
      </c>
    </row>
    <row r="107" customFormat="false" ht="15" hidden="false" customHeight="true" outlineLevel="0" collapsed="false">
      <c r="A107" s="21" t="n">
        <v>0</v>
      </c>
      <c r="B107" s="21" t="n">
        <v>66</v>
      </c>
      <c r="C107" s="21" t="n">
        <v>13.71</v>
      </c>
      <c r="D107" s="21" t="n">
        <v>7</v>
      </c>
      <c r="E107" s="21" t="s">
        <v>58</v>
      </c>
      <c r="F107" s="21" t="n">
        <v>0</v>
      </c>
      <c r="G107" s="21" t="n">
        <v>1</v>
      </c>
      <c r="H107" s="21" t="s">
        <v>165</v>
      </c>
      <c r="I107" s="21" t="s">
        <v>43</v>
      </c>
    </row>
    <row r="108" customFormat="false" ht="15" hidden="false" customHeight="true" outlineLevel="0" collapsed="false">
      <c r="A108" s="21" t="n">
        <v>0</v>
      </c>
      <c r="B108" s="21" t="n">
        <v>57</v>
      </c>
      <c r="C108" s="21" t="n">
        <v>20.3</v>
      </c>
      <c r="D108" s="21" t="n">
        <v>6</v>
      </c>
      <c r="E108" s="21" t="s">
        <v>58</v>
      </c>
      <c r="F108" s="21" t="n">
        <v>1</v>
      </c>
      <c r="G108" s="21" t="n">
        <v>0</v>
      </c>
      <c r="H108" s="21" t="s">
        <v>166</v>
      </c>
      <c r="I108" s="21" t="s">
        <v>43</v>
      </c>
    </row>
    <row r="109" customFormat="false" ht="15" hidden="false" customHeight="true" outlineLevel="0" collapsed="false">
      <c r="A109" s="21" t="n">
        <v>0</v>
      </c>
      <c r="B109" s="21" t="n">
        <v>76</v>
      </c>
      <c r="C109" s="21" t="n">
        <v>9.53</v>
      </c>
      <c r="D109" s="21" t="n">
        <v>3</v>
      </c>
      <c r="E109" s="21" t="s">
        <v>58</v>
      </c>
      <c r="F109" s="21" t="n">
        <v>0</v>
      </c>
      <c r="G109" s="21" t="n">
        <v>1</v>
      </c>
      <c r="H109" s="21" t="s">
        <v>167</v>
      </c>
      <c r="I109" s="21" t="s">
        <v>43</v>
      </c>
    </row>
    <row r="110" customFormat="false" ht="15" hidden="false" customHeight="true" outlineLevel="0" collapsed="false">
      <c r="A110" s="21" t="n">
        <v>0</v>
      </c>
      <c r="B110" s="21" t="n">
        <v>70</v>
      </c>
      <c r="C110" s="21" t="n">
        <v>10.18</v>
      </c>
      <c r="D110" s="21" t="n">
        <v>7</v>
      </c>
      <c r="E110" s="21" t="s">
        <v>58</v>
      </c>
      <c r="F110" s="21" t="n">
        <v>0</v>
      </c>
      <c r="G110" s="21" t="n">
        <v>1</v>
      </c>
      <c r="H110" s="21" t="s">
        <v>168</v>
      </c>
      <c r="I110" s="21" t="s">
        <v>43</v>
      </c>
    </row>
    <row r="111" customFormat="false" ht="15" hidden="false" customHeight="true" outlineLevel="0" collapsed="false">
      <c r="A111" s="21" t="n">
        <v>0</v>
      </c>
      <c r="B111" s="21" t="n">
        <v>100</v>
      </c>
      <c r="C111" s="21" t="n">
        <v>17.92</v>
      </c>
      <c r="D111" s="21" t="n">
        <v>1</v>
      </c>
      <c r="E111" s="21" t="s">
        <v>58</v>
      </c>
      <c r="F111" s="21" t="n">
        <v>0</v>
      </c>
      <c r="G111" s="21" t="n">
        <v>1</v>
      </c>
      <c r="H111" s="21" t="s">
        <v>169</v>
      </c>
      <c r="I111" s="21" t="s">
        <v>43</v>
      </c>
    </row>
    <row r="112" customFormat="false" ht="15" hidden="false" customHeight="true" outlineLevel="0" collapsed="false">
      <c r="A112" s="21" t="n">
        <v>0</v>
      </c>
      <c r="B112" s="21" t="n">
        <v>65</v>
      </c>
      <c r="C112" s="21" t="n">
        <v>14.18</v>
      </c>
      <c r="D112" s="21" t="n">
        <v>4</v>
      </c>
      <c r="E112" s="21" t="s">
        <v>58</v>
      </c>
      <c r="F112" s="21" t="n">
        <v>0</v>
      </c>
      <c r="G112" s="21" t="n">
        <v>1</v>
      </c>
      <c r="H112" s="21" t="s">
        <v>170</v>
      </c>
      <c r="I112" s="21" t="s">
        <v>43</v>
      </c>
    </row>
    <row r="113" customFormat="false" ht="15" hidden="false" customHeight="true" outlineLevel="0" collapsed="false">
      <c r="A113" s="21" t="n">
        <v>0</v>
      </c>
      <c r="B113" s="21" t="n">
        <v>84</v>
      </c>
      <c r="C113" s="21" t="n">
        <v>18.91</v>
      </c>
      <c r="D113" s="21" t="n">
        <v>4</v>
      </c>
      <c r="E113" s="21" t="s">
        <v>58</v>
      </c>
      <c r="F113" s="21" t="n">
        <v>0</v>
      </c>
      <c r="G113" s="21" t="n">
        <v>0</v>
      </c>
      <c r="H113" s="21" t="s">
        <v>171</v>
      </c>
      <c r="I113" s="21" t="s">
        <v>43</v>
      </c>
    </row>
    <row r="114" customFormat="false" ht="15" hidden="false" customHeight="true" outlineLevel="0" collapsed="false">
      <c r="A114" s="21" t="n">
        <v>0</v>
      </c>
      <c r="B114" s="21" t="n">
        <v>73</v>
      </c>
      <c r="C114" s="21" t="n">
        <v>24.86</v>
      </c>
      <c r="D114" s="21" t="n">
        <v>4</v>
      </c>
      <c r="E114" s="21" t="s">
        <v>58</v>
      </c>
      <c r="F114" s="21" t="n">
        <v>0</v>
      </c>
      <c r="G114" s="21" t="n">
        <v>1</v>
      </c>
      <c r="H114" s="21" t="s">
        <v>172</v>
      </c>
      <c r="I114" s="21" t="s">
        <v>43</v>
      </c>
    </row>
    <row r="115" customFormat="false" ht="15" hidden="false" customHeight="true" outlineLevel="0" collapsed="false">
      <c r="A115" s="21" t="n">
        <v>0</v>
      </c>
      <c r="B115" s="21" t="n">
        <v>54</v>
      </c>
      <c r="C115" s="21" t="n">
        <v>17.55</v>
      </c>
      <c r="D115" s="21" t="n">
        <v>6</v>
      </c>
      <c r="E115" s="21" t="s">
        <v>58</v>
      </c>
      <c r="F115" s="21" t="n">
        <v>0</v>
      </c>
      <c r="G115" s="21" t="n">
        <v>1</v>
      </c>
      <c r="H115" s="21" t="s">
        <v>173</v>
      </c>
      <c r="I115" s="21" t="s">
        <v>43</v>
      </c>
    </row>
    <row r="116" customFormat="false" ht="15" hidden="false" customHeight="true" outlineLevel="0" collapsed="false">
      <c r="A116" s="21" t="n">
        <v>0</v>
      </c>
      <c r="B116" s="21" t="n">
        <v>64</v>
      </c>
      <c r="C116" s="21" t="n">
        <v>20.32</v>
      </c>
      <c r="D116" s="21" t="n">
        <v>7</v>
      </c>
      <c r="E116" s="21" t="s">
        <v>58</v>
      </c>
      <c r="F116" s="21" t="n">
        <v>0</v>
      </c>
      <c r="G116" s="21" t="n">
        <v>1</v>
      </c>
      <c r="H116" s="21" t="s">
        <v>174</v>
      </c>
      <c r="I116" s="21" t="s">
        <v>43</v>
      </c>
    </row>
    <row r="117" customFormat="false" ht="15" hidden="false" customHeight="true" outlineLevel="0" collapsed="false">
      <c r="A117" s="21" t="n">
        <v>1</v>
      </c>
      <c r="B117" s="21" t="n">
        <v>80</v>
      </c>
      <c r="C117" s="21" t="n">
        <v>19.32</v>
      </c>
      <c r="D117" s="21" t="n">
        <v>3</v>
      </c>
      <c r="E117" s="21" t="s">
        <v>58</v>
      </c>
      <c r="F117" s="21" t="n">
        <v>0</v>
      </c>
      <c r="G117" s="21" t="n">
        <v>1</v>
      </c>
      <c r="H117" s="21" t="s">
        <v>175</v>
      </c>
      <c r="I117" s="21" t="s">
        <v>43</v>
      </c>
    </row>
    <row r="118" customFormat="false" ht="15" hidden="false" customHeight="true" outlineLevel="0" collapsed="false">
      <c r="A118" s="21" t="n">
        <v>0</v>
      </c>
      <c r="B118" s="21" t="n">
        <v>86</v>
      </c>
      <c r="C118" s="21" t="n">
        <v>19.43</v>
      </c>
      <c r="D118" s="21" t="n">
        <v>6</v>
      </c>
      <c r="E118" s="21" t="s">
        <v>58</v>
      </c>
      <c r="F118" s="21" t="n">
        <v>1</v>
      </c>
      <c r="G118" s="21" t="n">
        <v>1</v>
      </c>
      <c r="H118" s="21" t="s">
        <v>176</v>
      </c>
      <c r="I118" s="21" t="s">
        <v>43</v>
      </c>
    </row>
    <row r="119" customFormat="false" ht="15" hidden="false" customHeight="true" outlineLevel="0" collapsed="false">
      <c r="A119" s="21" t="n">
        <v>0</v>
      </c>
      <c r="B119" s="21" t="n">
        <v>86</v>
      </c>
      <c r="C119" s="21" t="n">
        <v>21.54</v>
      </c>
      <c r="D119" s="21" t="n">
        <v>3</v>
      </c>
      <c r="E119" s="21" t="s">
        <v>58</v>
      </c>
      <c r="F119" s="21" t="n">
        <v>1</v>
      </c>
      <c r="G119" s="21" t="n">
        <v>1</v>
      </c>
      <c r="H119" s="21" t="s">
        <v>177</v>
      </c>
      <c r="I119" s="21" t="s">
        <v>43</v>
      </c>
    </row>
    <row r="120" customFormat="false" ht="15" hidden="false" customHeight="true" outlineLevel="0" collapsed="false">
      <c r="A120" s="21" t="n">
        <v>0</v>
      </c>
      <c r="B120" s="21" t="n">
        <v>64</v>
      </c>
      <c r="C120" s="21" t="n">
        <v>17.51</v>
      </c>
      <c r="D120" s="21" t="n">
        <v>1</v>
      </c>
      <c r="E120" s="21" t="s">
        <v>58</v>
      </c>
      <c r="F120" s="21" t="n">
        <v>0</v>
      </c>
      <c r="G120" s="21" t="n">
        <v>1</v>
      </c>
      <c r="H120" s="21" t="s">
        <v>178</v>
      </c>
      <c r="I120" s="21" t="s">
        <v>43</v>
      </c>
    </row>
    <row r="121" customFormat="false" ht="15" hidden="false" customHeight="true" outlineLevel="0" collapsed="false">
      <c r="A121" s="21" t="n">
        <v>0</v>
      </c>
      <c r="B121" s="21" t="n">
        <v>55</v>
      </c>
      <c r="C121" s="21" t="n">
        <v>17.65</v>
      </c>
      <c r="D121" s="21" t="n">
        <v>1</v>
      </c>
      <c r="E121" s="21" t="s">
        <v>58</v>
      </c>
      <c r="F121" s="21" t="n">
        <v>0</v>
      </c>
      <c r="G121" s="21" t="n">
        <v>1</v>
      </c>
      <c r="H121" s="21" t="s">
        <v>179</v>
      </c>
      <c r="I121" s="21" t="s">
        <v>43</v>
      </c>
    </row>
    <row r="122" customFormat="false" ht="15" hidden="false" customHeight="true" outlineLevel="0" collapsed="false">
      <c r="A122" s="21" t="n">
        <v>0</v>
      </c>
      <c r="B122" s="21" t="n">
        <v>79</v>
      </c>
      <c r="C122" s="21" t="n">
        <v>21.4</v>
      </c>
      <c r="D122" s="21" t="n">
        <v>1</v>
      </c>
      <c r="E122" s="21" t="s">
        <v>58</v>
      </c>
      <c r="F122" s="21" t="n">
        <v>0</v>
      </c>
      <c r="G122" s="21" t="n">
        <v>1</v>
      </c>
      <c r="H122" s="21" t="s">
        <v>180</v>
      </c>
      <c r="I122" s="21" t="s">
        <v>43</v>
      </c>
    </row>
    <row r="123" customFormat="false" ht="15" hidden="false" customHeight="true" outlineLevel="0" collapsed="false">
      <c r="A123" s="21" t="n">
        <v>0</v>
      </c>
      <c r="B123" s="21" t="n">
        <v>62</v>
      </c>
      <c r="C123" s="21" t="n">
        <v>17.7</v>
      </c>
      <c r="D123" s="21" t="n">
        <v>2</v>
      </c>
      <c r="E123" s="21" t="s">
        <v>58</v>
      </c>
      <c r="F123" s="21" t="n">
        <v>0</v>
      </c>
      <c r="G123" s="21" t="n">
        <v>1</v>
      </c>
      <c r="H123" s="21" t="s">
        <v>181</v>
      </c>
      <c r="I123" s="21" t="s">
        <v>43</v>
      </c>
    </row>
    <row r="124" customFormat="false" ht="15" hidden="false" customHeight="true" outlineLevel="0" collapsed="false">
      <c r="A124" s="21" t="n">
        <v>0</v>
      </c>
      <c r="B124" s="21" t="n">
        <v>83</v>
      </c>
      <c r="C124" s="21" t="n">
        <v>17.85</v>
      </c>
      <c r="D124" s="21" t="n">
        <v>3</v>
      </c>
      <c r="E124" s="21" t="s">
        <v>58</v>
      </c>
      <c r="F124" s="21" t="n">
        <v>1</v>
      </c>
      <c r="G124" s="21" t="n">
        <v>1</v>
      </c>
      <c r="H124" s="21" t="s">
        <v>182</v>
      </c>
      <c r="I124" s="21" t="s">
        <v>43</v>
      </c>
    </row>
    <row r="125" customFormat="false" ht="15" hidden="false" customHeight="true" outlineLevel="0" collapsed="false">
      <c r="A125" s="21" t="n">
        <v>0</v>
      </c>
      <c r="B125" s="21" t="n">
        <v>72</v>
      </c>
      <c r="C125" s="21" t="n">
        <v>12.51</v>
      </c>
      <c r="D125" s="21" t="n">
        <v>3</v>
      </c>
      <c r="E125" s="21" t="s">
        <v>58</v>
      </c>
      <c r="F125" s="21" t="n">
        <v>1</v>
      </c>
      <c r="G125" s="21" t="n">
        <v>1</v>
      </c>
      <c r="H125" s="21" t="s">
        <v>183</v>
      </c>
      <c r="I125" s="21" t="s">
        <v>43</v>
      </c>
    </row>
    <row r="126" customFormat="false" ht="15" hidden="false" customHeight="true" outlineLevel="0" collapsed="false">
      <c r="A126" s="21" t="n">
        <v>1</v>
      </c>
      <c r="B126" s="21" t="n">
        <v>82</v>
      </c>
      <c r="C126" s="21" t="n">
        <v>14.97</v>
      </c>
      <c r="D126" s="21" t="n">
        <v>6</v>
      </c>
      <c r="E126" s="21" t="s">
        <v>58</v>
      </c>
      <c r="F126" s="21" t="n">
        <v>0</v>
      </c>
      <c r="G126" s="21" t="n">
        <v>0</v>
      </c>
      <c r="H126" s="21" t="s">
        <v>179</v>
      </c>
      <c r="I126" s="21" t="s">
        <v>43</v>
      </c>
    </row>
    <row r="127" customFormat="false" ht="15" hidden="false" customHeight="true" outlineLevel="0" collapsed="false">
      <c r="A127" s="21" t="n">
        <v>0</v>
      </c>
      <c r="B127" s="21" t="n">
        <v>73</v>
      </c>
      <c r="C127" s="21" t="n">
        <v>15</v>
      </c>
      <c r="D127" s="21" t="n">
        <v>1</v>
      </c>
      <c r="E127" s="21" t="s">
        <v>58</v>
      </c>
      <c r="F127" s="21" t="n">
        <v>0</v>
      </c>
      <c r="G127" s="21" t="n">
        <v>0</v>
      </c>
      <c r="H127" s="21" t="s">
        <v>184</v>
      </c>
      <c r="I127" s="21" t="s">
        <v>43</v>
      </c>
    </row>
    <row r="128" customFormat="false" ht="15" hidden="false" customHeight="true" outlineLevel="0" collapsed="false">
      <c r="A128" s="21" t="n">
        <v>0</v>
      </c>
      <c r="B128" s="21" t="n">
        <v>83</v>
      </c>
      <c r="C128" s="21" t="n">
        <v>18.97</v>
      </c>
      <c r="D128" s="21" t="n">
        <v>8</v>
      </c>
      <c r="E128" s="21" t="s">
        <v>72</v>
      </c>
      <c r="F128" s="21" t="n">
        <v>0</v>
      </c>
      <c r="G128" s="21" t="n">
        <v>1</v>
      </c>
      <c r="H128" s="21" t="s">
        <v>185</v>
      </c>
      <c r="I128" s="21" t="s">
        <v>43</v>
      </c>
    </row>
    <row r="129" customFormat="false" ht="15" hidden="false" customHeight="true" outlineLevel="0" collapsed="false">
      <c r="A129" s="21" t="n">
        <v>0</v>
      </c>
      <c r="B129" s="21" t="n">
        <v>75</v>
      </c>
      <c r="C129" s="21" t="n">
        <v>17.42</v>
      </c>
      <c r="D129" s="21" t="n">
        <v>7</v>
      </c>
      <c r="E129" s="21" t="s">
        <v>72</v>
      </c>
      <c r="F129" s="21" t="n">
        <v>0</v>
      </c>
      <c r="G129" s="21" t="n">
        <v>1</v>
      </c>
      <c r="H129" s="21" t="s">
        <v>186</v>
      </c>
      <c r="I129" s="21" t="s">
        <v>43</v>
      </c>
    </row>
    <row r="130" customFormat="false" ht="15" hidden="false" customHeight="true" outlineLevel="0" collapsed="false">
      <c r="A130" s="21" t="n">
        <v>0</v>
      </c>
      <c r="B130" s="21" t="n">
        <v>100</v>
      </c>
      <c r="C130" s="21" t="n">
        <v>19.14</v>
      </c>
      <c r="D130" s="21" t="n">
        <v>2</v>
      </c>
      <c r="E130" s="21" t="s">
        <v>72</v>
      </c>
      <c r="F130" s="21" t="n">
        <v>0</v>
      </c>
      <c r="G130" s="21" t="n">
        <v>1</v>
      </c>
      <c r="H130" s="21" t="s">
        <v>187</v>
      </c>
      <c r="I130" s="21" t="s">
        <v>43</v>
      </c>
    </row>
    <row r="131" customFormat="false" ht="15" hidden="false" customHeight="true" outlineLevel="0" collapsed="false">
      <c r="A131" s="21" t="n">
        <v>0</v>
      </c>
      <c r="B131" s="21" t="n">
        <v>79</v>
      </c>
      <c r="C131" s="21" t="n">
        <v>14.41</v>
      </c>
      <c r="D131" s="21" t="n">
        <v>5</v>
      </c>
      <c r="E131" s="21" t="s">
        <v>72</v>
      </c>
      <c r="F131" s="21" t="n">
        <v>0</v>
      </c>
      <c r="G131" s="21" t="n">
        <v>1</v>
      </c>
      <c r="H131" s="21" t="s">
        <v>188</v>
      </c>
      <c r="I131" s="21" t="s">
        <v>43</v>
      </c>
    </row>
    <row r="132" customFormat="false" ht="15" hidden="false" customHeight="true" outlineLevel="0" collapsed="false">
      <c r="A132" s="21" t="n">
        <v>0</v>
      </c>
      <c r="B132" s="21" t="n">
        <v>63</v>
      </c>
      <c r="C132" s="21" t="n">
        <v>29.54</v>
      </c>
      <c r="D132" s="21" t="n">
        <v>3</v>
      </c>
      <c r="E132" s="21" t="s">
        <v>72</v>
      </c>
      <c r="F132" s="21" t="n">
        <v>1</v>
      </c>
      <c r="G132" s="21" t="n">
        <v>1</v>
      </c>
      <c r="H132" s="21" t="s">
        <v>189</v>
      </c>
      <c r="I132" s="21" t="s">
        <v>43</v>
      </c>
    </row>
    <row r="133" customFormat="false" ht="15" hidden="false" customHeight="true" outlineLevel="0" collapsed="false">
      <c r="A133" s="21" t="n">
        <v>0</v>
      </c>
      <c r="B133" s="21" t="n">
        <v>86</v>
      </c>
      <c r="C133" s="21" t="n">
        <v>15.63</v>
      </c>
      <c r="D133" s="21" t="n">
        <v>1</v>
      </c>
      <c r="E133" s="21" t="s">
        <v>72</v>
      </c>
      <c r="F133" s="21" t="n">
        <v>0</v>
      </c>
      <c r="G133" s="21" t="n">
        <v>1</v>
      </c>
      <c r="H133" s="21" t="s">
        <v>190</v>
      </c>
      <c r="I133" s="21" t="s">
        <v>43</v>
      </c>
    </row>
    <row r="134" customFormat="false" ht="15" hidden="false" customHeight="true" outlineLevel="0" collapsed="false">
      <c r="A134" s="21" t="n">
        <v>0</v>
      </c>
      <c r="B134" s="21" t="n">
        <v>82</v>
      </c>
      <c r="C134" s="21" t="n">
        <v>16.43</v>
      </c>
      <c r="D134" s="21" t="n">
        <v>3</v>
      </c>
      <c r="E134" s="21" t="s">
        <v>72</v>
      </c>
      <c r="F134" s="21" t="n">
        <v>1</v>
      </c>
      <c r="G134" s="21" t="n">
        <v>0</v>
      </c>
      <c r="H134" s="21" t="s">
        <v>191</v>
      </c>
      <c r="I134" s="21" t="s">
        <v>43</v>
      </c>
    </row>
    <row r="135" customFormat="false" ht="15" hidden="false" customHeight="true" outlineLevel="0" collapsed="false">
      <c r="A135" s="21" t="n">
        <v>0</v>
      </c>
      <c r="B135" s="21" t="n">
        <v>83</v>
      </c>
      <c r="C135" s="21" t="n">
        <v>18.82</v>
      </c>
      <c r="D135" s="21" t="n">
        <v>3</v>
      </c>
      <c r="E135" s="21" t="s">
        <v>72</v>
      </c>
      <c r="F135" s="21" t="n">
        <v>0</v>
      </c>
      <c r="G135" s="21" t="n">
        <v>1</v>
      </c>
      <c r="H135" s="21" t="s">
        <v>192</v>
      </c>
      <c r="I135" s="21" t="s">
        <v>43</v>
      </c>
    </row>
    <row r="136" customFormat="false" ht="15" hidden="false" customHeight="true" outlineLevel="0" collapsed="false">
      <c r="A136" s="21" t="n">
        <v>0</v>
      </c>
      <c r="B136" s="21" t="n">
        <v>69</v>
      </c>
      <c r="C136" s="21" t="n">
        <v>22.96</v>
      </c>
      <c r="D136" s="21" t="n">
        <v>3</v>
      </c>
      <c r="E136" s="21" t="s">
        <v>72</v>
      </c>
      <c r="F136" s="21" t="n">
        <v>0</v>
      </c>
      <c r="G136" s="21" t="n">
        <v>1</v>
      </c>
      <c r="H136" s="21" t="s">
        <v>193</v>
      </c>
      <c r="I136" s="21" t="s">
        <v>43</v>
      </c>
    </row>
    <row r="137" customFormat="false" ht="15" hidden="false" customHeight="true" outlineLevel="0" collapsed="false">
      <c r="A137" s="21" t="n">
        <v>0</v>
      </c>
      <c r="B137" s="21" t="n">
        <v>72</v>
      </c>
      <c r="C137" s="21" t="n">
        <v>17.46</v>
      </c>
      <c r="D137" s="21" t="n">
        <v>2</v>
      </c>
      <c r="E137" s="21" t="s">
        <v>72</v>
      </c>
      <c r="F137" s="21" t="n">
        <v>1</v>
      </c>
      <c r="G137" s="21" t="n">
        <v>1</v>
      </c>
      <c r="H137" s="21" t="s">
        <v>194</v>
      </c>
      <c r="I137" s="21" t="s">
        <v>43</v>
      </c>
    </row>
    <row r="138" customFormat="false" ht="15" hidden="false" customHeight="true" outlineLevel="0" collapsed="false">
      <c r="A138" s="21" t="n">
        <v>0</v>
      </c>
      <c r="B138" s="21" t="n">
        <v>77</v>
      </c>
      <c r="C138" s="21" t="n">
        <v>15.98</v>
      </c>
      <c r="D138" s="21" t="n">
        <v>3</v>
      </c>
      <c r="E138" s="21" t="s">
        <v>72</v>
      </c>
      <c r="F138" s="21" t="n">
        <v>0</v>
      </c>
      <c r="G138" s="21" t="n">
        <v>1</v>
      </c>
      <c r="H138" s="21" t="s">
        <v>195</v>
      </c>
      <c r="I138" s="21" t="s">
        <v>43</v>
      </c>
    </row>
    <row r="139" customFormat="false" ht="15" hidden="false" customHeight="true" outlineLevel="0" collapsed="false">
      <c r="A139" s="21" t="n">
        <v>0</v>
      </c>
      <c r="B139" s="21" t="n">
        <v>73</v>
      </c>
      <c r="C139" s="21" t="n">
        <v>19.88</v>
      </c>
      <c r="D139" s="21" t="n">
        <v>2</v>
      </c>
      <c r="E139" s="21" t="s">
        <v>72</v>
      </c>
      <c r="F139" s="21" t="n">
        <v>0</v>
      </c>
      <c r="G139" s="21" t="n">
        <v>1</v>
      </c>
      <c r="H139" s="21" t="s">
        <v>196</v>
      </c>
      <c r="I139" s="21" t="s">
        <v>43</v>
      </c>
    </row>
    <row r="140" customFormat="false" ht="15" hidden="false" customHeight="true" outlineLevel="0" collapsed="false">
      <c r="A140" s="21" t="n">
        <v>0</v>
      </c>
      <c r="B140" s="21" t="n">
        <v>86</v>
      </c>
      <c r="C140" s="21" t="n">
        <v>19.17</v>
      </c>
      <c r="D140" s="21" t="n">
        <v>1</v>
      </c>
      <c r="E140" s="21" t="s">
        <v>72</v>
      </c>
      <c r="F140" s="21" t="n">
        <v>0</v>
      </c>
      <c r="G140" s="21" t="n">
        <v>1</v>
      </c>
      <c r="H140" s="21" t="s">
        <v>197</v>
      </c>
      <c r="I140" s="21" t="s">
        <v>43</v>
      </c>
    </row>
    <row r="141" customFormat="false" ht="15" hidden="false" customHeight="true" outlineLevel="0" collapsed="false">
      <c r="A141" s="21" t="n">
        <v>0</v>
      </c>
      <c r="B141" s="21" t="n">
        <v>57</v>
      </c>
      <c r="C141" s="21" t="n">
        <v>27.61</v>
      </c>
      <c r="D141" s="21" t="n">
        <v>3</v>
      </c>
      <c r="E141" s="21" t="s">
        <v>72</v>
      </c>
      <c r="F141" s="21" t="n">
        <v>1</v>
      </c>
      <c r="G141" s="21" t="n">
        <v>1</v>
      </c>
      <c r="H141" s="21" t="s">
        <v>198</v>
      </c>
      <c r="I141" s="21" t="s">
        <v>43</v>
      </c>
    </row>
    <row r="142" customFormat="false" ht="15" hidden="false" customHeight="true" outlineLevel="0" collapsed="false">
      <c r="A142" s="21" t="n">
        <v>0</v>
      </c>
      <c r="B142" s="21" t="n">
        <v>62</v>
      </c>
      <c r="C142" s="21" t="n">
        <v>8.62</v>
      </c>
      <c r="D142" s="21" t="n">
        <v>1</v>
      </c>
      <c r="E142" s="21" t="s">
        <v>72</v>
      </c>
      <c r="F142" s="21" t="n">
        <v>1</v>
      </c>
      <c r="G142" s="21" t="n">
        <v>1</v>
      </c>
      <c r="H142" s="21" t="s">
        <v>199</v>
      </c>
      <c r="I142" s="21" t="s">
        <v>43</v>
      </c>
    </row>
    <row r="143" customFormat="false" ht="15" hidden="false" customHeight="true" outlineLevel="0" collapsed="false">
      <c r="A143" s="21" t="n">
        <v>0</v>
      </c>
      <c r="B143" s="21" t="n">
        <v>64</v>
      </c>
      <c r="C143" s="21" t="n">
        <v>13.55</v>
      </c>
      <c r="D143" s="21" t="n">
        <v>1</v>
      </c>
      <c r="E143" s="21" t="s">
        <v>72</v>
      </c>
      <c r="F143" s="21" t="n">
        <v>1</v>
      </c>
      <c r="G143" s="21" t="n">
        <v>1</v>
      </c>
      <c r="H143" s="21" t="s">
        <v>200</v>
      </c>
      <c r="I143" s="21" t="s">
        <v>43</v>
      </c>
    </row>
    <row r="144" customFormat="false" ht="15" hidden="false" customHeight="true" outlineLevel="0" collapsed="false">
      <c r="A144" s="21" t="n">
        <v>0</v>
      </c>
      <c r="B144" s="21" t="n">
        <v>61</v>
      </c>
      <c r="C144" s="21" t="n">
        <v>22.27</v>
      </c>
      <c r="D144" s="21" t="n">
        <v>2</v>
      </c>
      <c r="E144" s="21" t="s">
        <v>72</v>
      </c>
      <c r="F144" s="21" t="n">
        <v>1</v>
      </c>
      <c r="G144" s="21" t="n">
        <v>0</v>
      </c>
      <c r="H144" s="21" t="s">
        <v>201</v>
      </c>
      <c r="I144" s="21" t="s">
        <v>43</v>
      </c>
    </row>
    <row r="145" customFormat="false" ht="15" hidden="false" customHeight="true" outlineLevel="0" collapsed="false">
      <c r="A145" s="21" t="n">
        <v>0</v>
      </c>
      <c r="B145" s="21" t="n">
        <v>64</v>
      </c>
      <c r="C145" s="21" t="n">
        <v>15.76</v>
      </c>
      <c r="D145" s="21" t="n">
        <v>1</v>
      </c>
      <c r="E145" s="21" t="s">
        <v>72</v>
      </c>
      <c r="F145" s="21" t="n">
        <v>0</v>
      </c>
      <c r="G145" s="21" t="n">
        <v>1</v>
      </c>
      <c r="H145" s="21" t="s">
        <v>202</v>
      </c>
      <c r="I145" s="21" t="s">
        <v>43</v>
      </c>
    </row>
    <row r="146" customFormat="false" ht="15" hidden="false" customHeight="true" outlineLevel="0" collapsed="false">
      <c r="A146" s="21" t="n">
        <v>0</v>
      </c>
      <c r="B146" s="21" t="n">
        <v>65</v>
      </c>
      <c r="C146" s="21" t="n">
        <v>24.95</v>
      </c>
      <c r="D146" s="21" t="n">
        <v>1</v>
      </c>
      <c r="E146" s="21" t="s">
        <v>72</v>
      </c>
      <c r="F146" s="21" t="n">
        <v>0</v>
      </c>
      <c r="G146" s="21" t="n">
        <v>1</v>
      </c>
      <c r="H146" s="21" t="s">
        <v>203</v>
      </c>
      <c r="I146" s="21" t="s">
        <v>43</v>
      </c>
    </row>
    <row r="147" customFormat="false" ht="15" hidden="false" customHeight="true" outlineLevel="0" collapsed="false">
      <c r="A147" s="21" t="n">
        <v>0</v>
      </c>
      <c r="B147" s="21" t="n">
        <v>78</v>
      </c>
      <c r="C147" s="21" t="n">
        <v>16.09</v>
      </c>
      <c r="D147" s="21" t="n">
        <v>12</v>
      </c>
      <c r="E147" s="21" t="s">
        <v>72</v>
      </c>
      <c r="F147" s="21" t="n">
        <v>0</v>
      </c>
      <c r="G147" s="21" t="n">
        <v>0</v>
      </c>
      <c r="H147" s="21" t="s">
        <v>204</v>
      </c>
      <c r="I147" s="21" t="s">
        <v>43</v>
      </c>
    </row>
    <row r="148" customFormat="false" ht="15" hidden="false" customHeight="true" outlineLevel="0" collapsed="false">
      <c r="A148" s="21" t="n">
        <v>0</v>
      </c>
      <c r="B148" s="21" t="n">
        <v>72</v>
      </c>
      <c r="C148" s="21" t="n">
        <v>16.21</v>
      </c>
      <c r="D148" s="21" t="n">
        <v>1</v>
      </c>
      <c r="E148" s="21" t="s">
        <v>105</v>
      </c>
      <c r="F148" s="21" t="n">
        <v>0</v>
      </c>
      <c r="G148" s="21" t="n">
        <v>1</v>
      </c>
      <c r="H148" s="21" t="s">
        <v>205</v>
      </c>
      <c r="I148" s="21" t="s">
        <v>43</v>
      </c>
    </row>
    <row r="149" customFormat="false" ht="15" hidden="false" customHeight="true" outlineLevel="0" collapsed="false">
      <c r="A149" s="21" t="n">
        <v>0</v>
      </c>
      <c r="B149" s="21" t="n">
        <v>78</v>
      </c>
      <c r="C149" s="21" t="n">
        <v>19.95</v>
      </c>
      <c r="D149" s="21" t="n">
        <v>5</v>
      </c>
      <c r="E149" s="21" t="s">
        <v>105</v>
      </c>
      <c r="F149" s="21" t="n">
        <v>0</v>
      </c>
      <c r="G149" s="21" t="n">
        <v>1</v>
      </c>
      <c r="H149" s="21" t="s">
        <v>206</v>
      </c>
      <c r="I149" s="21" t="s">
        <v>43</v>
      </c>
    </row>
    <row r="150" customFormat="false" ht="15" hidden="false" customHeight="true" outlineLevel="0" collapsed="false">
      <c r="A150" s="21" t="n">
        <v>0</v>
      </c>
      <c r="B150" s="21" t="n">
        <v>95</v>
      </c>
      <c r="C150" s="21" t="n">
        <v>23.99</v>
      </c>
      <c r="D150" s="21" t="n">
        <v>1</v>
      </c>
      <c r="E150" s="21" t="s">
        <v>105</v>
      </c>
      <c r="F150" s="21" t="n">
        <v>0</v>
      </c>
      <c r="G150" s="21" t="n">
        <v>1</v>
      </c>
      <c r="H150" s="21" t="s">
        <v>207</v>
      </c>
      <c r="I150" s="21" t="s">
        <v>43</v>
      </c>
    </row>
    <row r="151" customFormat="false" ht="15" hidden="false" customHeight="true" outlineLevel="0" collapsed="false">
      <c r="A151" s="21" t="n">
        <v>0</v>
      </c>
      <c r="B151" s="21" t="n">
        <v>75</v>
      </c>
      <c r="C151" s="21" t="n">
        <v>20.48</v>
      </c>
      <c r="D151" s="21" t="n">
        <v>9</v>
      </c>
      <c r="E151" s="21" t="s">
        <v>105</v>
      </c>
      <c r="F151" s="21" t="n">
        <v>1</v>
      </c>
      <c r="G151" s="21" t="n">
        <v>1</v>
      </c>
      <c r="H151" s="21" t="s">
        <v>208</v>
      </c>
      <c r="I151" s="21" t="s">
        <v>43</v>
      </c>
    </row>
    <row r="152" customFormat="false" ht="15" hidden="false" customHeight="true" outlineLevel="0" collapsed="false">
      <c r="A152" s="21" t="n">
        <v>0</v>
      </c>
      <c r="B152" s="21" t="n">
        <v>78</v>
      </c>
      <c r="C152" s="21" t="n">
        <v>12.22</v>
      </c>
      <c r="D152" s="21" t="n">
        <v>1</v>
      </c>
      <c r="E152" s="21" t="s">
        <v>105</v>
      </c>
      <c r="F152" s="21" t="n">
        <v>1</v>
      </c>
      <c r="G152" s="21" t="n">
        <v>1</v>
      </c>
      <c r="H152" s="21" t="s">
        <v>209</v>
      </c>
      <c r="I152" s="21" t="s">
        <v>43</v>
      </c>
    </row>
    <row r="153" customFormat="false" ht="15" hidden="false" customHeight="true" outlineLevel="0" collapsed="false">
      <c r="A153" s="21" t="n">
        <v>0</v>
      </c>
      <c r="B153" s="21" t="n">
        <v>64</v>
      </c>
      <c r="C153" s="21" t="n">
        <v>11.43</v>
      </c>
      <c r="D153" s="21" t="n">
        <v>6</v>
      </c>
      <c r="E153" s="21" t="s">
        <v>105</v>
      </c>
      <c r="F153" s="21" t="n">
        <v>1</v>
      </c>
      <c r="G153" s="21" t="n">
        <v>1</v>
      </c>
      <c r="H153" s="21" t="s">
        <v>210</v>
      </c>
      <c r="I153" s="21" t="s">
        <v>43</v>
      </c>
    </row>
    <row r="154" customFormat="false" ht="15" hidden="false" customHeight="true" outlineLevel="0" collapsed="false">
      <c r="A154" s="21" t="n">
        <v>0</v>
      </c>
      <c r="B154" s="21" t="n">
        <v>74</v>
      </c>
      <c r="C154" s="21" t="n">
        <v>24.59</v>
      </c>
      <c r="D154" s="21" t="n">
        <v>6</v>
      </c>
      <c r="E154" s="21" t="s">
        <v>105</v>
      </c>
      <c r="F154" s="21" t="n">
        <v>0</v>
      </c>
      <c r="G154" s="21" t="n">
        <v>1</v>
      </c>
      <c r="H154" s="21" t="s">
        <v>211</v>
      </c>
      <c r="I154" s="21" t="s">
        <v>43</v>
      </c>
    </row>
    <row r="155" customFormat="false" ht="15" hidden="false" customHeight="true" outlineLevel="0" collapsed="false">
      <c r="A155" s="21" t="n">
        <v>0</v>
      </c>
      <c r="B155" s="21" t="n">
        <v>69</v>
      </c>
      <c r="C155" s="21" t="n">
        <v>17.4</v>
      </c>
      <c r="D155" s="21" t="n">
        <v>6</v>
      </c>
      <c r="E155" s="21" t="s">
        <v>105</v>
      </c>
      <c r="F155" s="21" t="n">
        <v>1</v>
      </c>
      <c r="G155" s="21" t="n">
        <v>1</v>
      </c>
      <c r="H155" s="21" t="s">
        <v>212</v>
      </c>
      <c r="I155" s="21" t="s">
        <v>43</v>
      </c>
    </row>
    <row r="156" customFormat="false" ht="15" hidden="false" customHeight="true" outlineLevel="0" collapsed="false">
      <c r="A156" s="21" t="n">
        <v>0</v>
      </c>
      <c r="B156" s="21" t="n">
        <v>90</v>
      </c>
      <c r="C156" s="21" t="n">
        <v>11.89</v>
      </c>
      <c r="D156" s="21" t="n">
        <v>1</v>
      </c>
      <c r="E156" s="21" t="s">
        <v>116</v>
      </c>
      <c r="F156" s="21" t="n">
        <v>0</v>
      </c>
      <c r="G156" s="21" t="n">
        <v>1</v>
      </c>
      <c r="H156" s="21" t="s">
        <v>213</v>
      </c>
      <c r="I156" s="21" t="s">
        <v>43</v>
      </c>
    </row>
    <row r="157" customFormat="false" ht="15" hidden="false" customHeight="true" outlineLevel="0" collapsed="false">
      <c r="A157" s="21" t="n">
        <v>0</v>
      </c>
      <c r="B157" s="21" t="n">
        <v>89</v>
      </c>
      <c r="C157" s="21" t="n">
        <v>22.78</v>
      </c>
      <c r="D157" s="21" t="n">
        <v>5</v>
      </c>
      <c r="E157" s="21" t="s">
        <v>116</v>
      </c>
      <c r="F157" s="21" t="n">
        <v>0</v>
      </c>
      <c r="G157" s="21" t="n">
        <v>1</v>
      </c>
      <c r="H157" s="21" t="s">
        <v>214</v>
      </c>
      <c r="I157" s="21" t="s">
        <v>43</v>
      </c>
    </row>
    <row r="158" customFormat="false" ht="15" hidden="false" customHeight="true" outlineLevel="0" collapsed="false">
      <c r="A158" s="21" t="n">
        <v>0</v>
      </c>
      <c r="B158" s="21" t="n">
        <v>73</v>
      </c>
      <c r="C158" s="21" t="n">
        <v>22.16</v>
      </c>
      <c r="D158" s="21" t="n">
        <v>1</v>
      </c>
      <c r="E158" s="21" t="s">
        <v>116</v>
      </c>
      <c r="F158" s="21" t="n">
        <v>1</v>
      </c>
      <c r="G158" s="21" t="n">
        <v>1</v>
      </c>
      <c r="H158" s="21" t="s">
        <v>215</v>
      </c>
      <c r="I158" s="21" t="s">
        <v>43</v>
      </c>
    </row>
    <row r="159" customFormat="false" ht="15" hidden="false" customHeight="true" outlineLevel="0" collapsed="false">
      <c r="A159" s="21" t="n">
        <v>0</v>
      </c>
      <c r="B159" s="21" t="n">
        <v>53</v>
      </c>
      <c r="C159" s="21" t="n">
        <v>21.59</v>
      </c>
      <c r="D159" s="21" t="n">
        <v>1</v>
      </c>
      <c r="E159" s="21" t="s">
        <v>116</v>
      </c>
      <c r="F159" s="21" t="n">
        <v>1</v>
      </c>
      <c r="G159" s="21" t="n">
        <v>1</v>
      </c>
      <c r="H159" s="21" t="s">
        <v>216</v>
      </c>
      <c r="I159" s="21" t="s">
        <v>43</v>
      </c>
    </row>
    <row r="160" customFormat="false" ht="15" hidden="false" customHeight="true" outlineLevel="0" collapsed="false">
      <c r="A160" s="21" t="n">
        <v>0</v>
      </c>
      <c r="B160" s="21" t="n">
        <v>75</v>
      </c>
      <c r="C160" s="21" t="n">
        <v>21.98</v>
      </c>
      <c r="D160" s="21" t="n">
        <v>2</v>
      </c>
      <c r="E160" s="21" t="s">
        <v>116</v>
      </c>
      <c r="F160" s="21" t="n">
        <v>0</v>
      </c>
      <c r="G160" s="21" t="n">
        <v>1</v>
      </c>
      <c r="H160" s="21" t="s">
        <v>217</v>
      </c>
      <c r="I160" s="21" t="s">
        <v>43</v>
      </c>
    </row>
    <row r="161" customFormat="false" ht="15" hidden="false" customHeight="true" outlineLevel="0" collapsed="false">
      <c r="A161" s="21" t="n">
        <v>0</v>
      </c>
      <c r="B161" s="21" t="n">
        <v>62</v>
      </c>
      <c r="C161" s="21" t="n">
        <v>21.14</v>
      </c>
      <c r="D161" s="21" t="n">
        <v>5</v>
      </c>
      <c r="E161" s="21" t="s">
        <v>116</v>
      </c>
      <c r="F161" s="21" t="n">
        <v>1</v>
      </c>
      <c r="G161" s="21" t="n">
        <v>0</v>
      </c>
      <c r="H161" s="21" t="s">
        <v>218</v>
      </c>
      <c r="I161" s="21" t="s">
        <v>43</v>
      </c>
    </row>
    <row r="162" customFormat="false" ht="15" hidden="false" customHeight="true" outlineLevel="0" collapsed="false">
      <c r="A162" s="21" t="n">
        <v>0</v>
      </c>
      <c r="B162" s="21" t="n">
        <v>81</v>
      </c>
      <c r="C162" s="21" t="n">
        <v>16.96</v>
      </c>
      <c r="D162" s="21" t="n">
        <v>4</v>
      </c>
      <c r="E162" s="21" t="s">
        <v>116</v>
      </c>
      <c r="F162" s="21" t="n">
        <v>0</v>
      </c>
      <c r="G162" s="21" t="n">
        <v>0</v>
      </c>
      <c r="H162" s="21" t="s">
        <v>219</v>
      </c>
      <c r="I162" s="21" t="s">
        <v>43</v>
      </c>
    </row>
    <row r="163" customFormat="false" ht="15" hidden="false" customHeight="true" outlineLevel="0" collapsed="false">
      <c r="A163" s="21" t="n">
        <v>0</v>
      </c>
      <c r="B163" s="21" t="n">
        <v>84</v>
      </c>
      <c r="C163" s="21" t="n">
        <v>17.45</v>
      </c>
      <c r="D163" s="21" t="n">
        <v>8</v>
      </c>
      <c r="E163" s="21" t="s">
        <v>116</v>
      </c>
      <c r="F163" s="21" t="n">
        <v>1</v>
      </c>
      <c r="G163" s="21" t="n">
        <v>1</v>
      </c>
      <c r="H163" s="21" t="s">
        <v>220</v>
      </c>
      <c r="I163" s="21" t="s">
        <v>43</v>
      </c>
    </row>
    <row r="164" customFormat="false" ht="15" hidden="false" customHeight="true" outlineLevel="0" collapsed="false">
      <c r="A164" s="21" t="n">
        <v>0</v>
      </c>
      <c r="B164" s="21" t="n">
        <v>85</v>
      </c>
      <c r="C164" s="21" t="n">
        <v>16.92</v>
      </c>
      <c r="D164" s="21" t="n">
        <v>1</v>
      </c>
      <c r="E164" s="21" t="s">
        <v>116</v>
      </c>
      <c r="F164" s="21" t="n">
        <v>0</v>
      </c>
      <c r="G164" s="21" t="n">
        <v>0</v>
      </c>
      <c r="H164" s="21" t="s">
        <v>221</v>
      </c>
      <c r="I164" s="21" t="s">
        <v>43</v>
      </c>
    </row>
    <row r="165" customFormat="false" ht="15" hidden="false" customHeight="true" outlineLevel="0" collapsed="false">
      <c r="A165" s="21" t="n">
        <v>0</v>
      </c>
      <c r="B165" s="21" t="n">
        <v>87</v>
      </c>
      <c r="C165" s="21" t="n">
        <v>27.34</v>
      </c>
      <c r="D165" s="21" t="n">
        <v>2</v>
      </c>
      <c r="E165" s="21" t="s">
        <v>116</v>
      </c>
      <c r="F165" s="21" t="n">
        <v>1</v>
      </c>
      <c r="G165" s="21" t="n">
        <v>1</v>
      </c>
      <c r="H165" s="21" t="s">
        <v>222</v>
      </c>
      <c r="I165" s="21" t="s">
        <v>43</v>
      </c>
    </row>
    <row r="166" customFormat="false" ht="15" hidden="false" customHeight="true" outlineLevel="0" collapsed="false">
      <c r="A166" s="21" t="n">
        <v>0</v>
      </c>
      <c r="B166" s="21" t="n">
        <v>72</v>
      </c>
      <c r="C166" s="21" t="n">
        <v>16.6</v>
      </c>
      <c r="D166" s="21" t="n">
        <v>5</v>
      </c>
      <c r="E166" s="21" t="s">
        <v>116</v>
      </c>
      <c r="F166" s="21" t="n">
        <v>1</v>
      </c>
      <c r="G166" s="21" t="n">
        <v>1</v>
      </c>
      <c r="H166" s="21" t="s">
        <v>223</v>
      </c>
      <c r="I166" s="21" t="s">
        <v>43</v>
      </c>
    </row>
    <row r="167" customFormat="false" ht="15" hidden="false" customHeight="true" outlineLevel="0" collapsed="false">
      <c r="A167" s="21" t="n">
        <v>0</v>
      </c>
      <c r="B167" s="21" t="n">
        <v>72</v>
      </c>
      <c r="C167" s="21" t="n">
        <v>18.48</v>
      </c>
      <c r="D167" s="21" t="n">
        <v>1</v>
      </c>
      <c r="E167" s="21" t="s">
        <v>116</v>
      </c>
      <c r="F167" s="21" t="n">
        <v>0</v>
      </c>
      <c r="G167" s="21" t="n">
        <v>0</v>
      </c>
      <c r="H167" s="21" t="s">
        <v>224</v>
      </c>
      <c r="I167" s="21" t="s">
        <v>43</v>
      </c>
    </row>
    <row r="168" customFormat="false" ht="15" hidden="false" customHeight="true" outlineLevel="0" collapsed="false">
      <c r="A168" s="21" t="n">
        <v>0</v>
      </c>
      <c r="B168" s="21" t="n">
        <v>70</v>
      </c>
      <c r="C168" s="21" t="n">
        <v>14.91</v>
      </c>
      <c r="D168" s="21" t="n">
        <v>4</v>
      </c>
      <c r="E168" s="21" t="s">
        <v>116</v>
      </c>
      <c r="F168" s="21" t="n">
        <v>1</v>
      </c>
      <c r="G168" s="21" t="n">
        <v>1</v>
      </c>
      <c r="H168" s="21" t="s">
        <v>225</v>
      </c>
      <c r="I168" s="21" t="s">
        <v>43</v>
      </c>
    </row>
    <row r="169" customFormat="false" ht="15" hidden="false" customHeight="true" outlineLevel="0" collapsed="false">
      <c r="A169" s="21" t="n">
        <v>0</v>
      </c>
      <c r="B169" s="21" t="n">
        <v>88</v>
      </c>
      <c r="C169" s="21" t="n">
        <v>18.95</v>
      </c>
      <c r="D169" s="21" t="n">
        <v>6</v>
      </c>
      <c r="E169" s="21" t="s">
        <v>116</v>
      </c>
      <c r="F169" s="21" t="n">
        <v>0</v>
      </c>
      <c r="G169" s="21" t="n">
        <v>1</v>
      </c>
      <c r="H169" s="21" t="s">
        <v>226</v>
      </c>
      <c r="I169" s="21" t="s">
        <v>43</v>
      </c>
    </row>
    <row r="170" customFormat="false" ht="15" hidden="false" customHeight="true" outlineLevel="0" collapsed="false">
      <c r="A170" s="21" t="n">
        <v>0</v>
      </c>
      <c r="B170" s="21" t="n">
        <v>61</v>
      </c>
      <c r="C170" s="21" t="n">
        <v>15.23</v>
      </c>
      <c r="D170" s="21" t="n">
        <v>1</v>
      </c>
      <c r="E170" s="21" t="s">
        <v>116</v>
      </c>
      <c r="F170" s="21" t="n">
        <v>0</v>
      </c>
      <c r="G170" s="21" t="n">
        <v>1</v>
      </c>
      <c r="H170" s="21" t="s">
        <v>227</v>
      </c>
      <c r="I170" s="21" t="s">
        <v>43</v>
      </c>
    </row>
    <row r="171" customFormat="false" ht="15" hidden="false" customHeight="true" outlineLevel="0" collapsed="false">
      <c r="A171" s="21" t="n">
        <v>0</v>
      </c>
      <c r="B171" s="21" t="n">
        <v>82</v>
      </c>
      <c r="C171" s="21" t="n">
        <v>12.83</v>
      </c>
      <c r="D171" s="21" t="n">
        <v>3</v>
      </c>
      <c r="E171" s="21" t="s">
        <v>116</v>
      </c>
      <c r="F171" s="21" t="n">
        <v>1</v>
      </c>
      <c r="G171" s="21" t="n">
        <v>0</v>
      </c>
      <c r="H171" s="21" t="s">
        <v>228</v>
      </c>
      <c r="I171" s="21" t="s">
        <v>43</v>
      </c>
    </row>
    <row r="172" customFormat="false" ht="15" hidden="false" customHeight="true" outlineLevel="0" collapsed="false">
      <c r="A172" s="21" t="n">
        <v>0</v>
      </c>
      <c r="B172" s="21" t="n">
        <v>65</v>
      </c>
      <c r="C172" s="21" t="n">
        <v>22.53</v>
      </c>
      <c r="D172" s="21" t="n">
        <v>3</v>
      </c>
      <c r="E172" s="21" t="s">
        <v>116</v>
      </c>
      <c r="F172" s="21" t="n">
        <v>0</v>
      </c>
      <c r="G172" s="21" t="n">
        <v>1</v>
      </c>
      <c r="H172" s="21" t="s">
        <v>229</v>
      </c>
      <c r="I172" s="21" t="s">
        <v>43</v>
      </c>
    </row>
    <row r="173" customFormat="false" ht="15" hidden="false" customHeight="true" outlineLevel="0" collapsed="false">
      <c r="A173" s="21" t="n">
        <v>0</v>
      </c>
      <c r="B173" s="21" t="n">
        <v>77</v>
      </c>
      <c r="C173" s="21" t="n">
        <v>16.25</v>
      </c>
      <c r="D173" s="21" t="n">
        <v>12</v>
      </c>
      <c r="E173" s="21" t="s">
        <v>116</v>
      </c>
      <c r="F173" s="21" t="n">
        <v>1</v>
      </c>
      <c r="G173" s="21" t="n">
        <v>0</v>
      </c>
      <c r="H173" s="21" t="s">
        <v>230</v>
      </c>
      <c r="I173" s="21" t="s">
        <v>43</v>
      </c>
    </row>
    <row r="174" customFormat="false" ht="15" hidden="false" customHeight="true" outlineLevel="0" collapsed="false">
      <c r="A174" s="21" t="n">
        <v>0</v>
      </c>
      <c r="B174" s="21" t="n">
        <v>71</v>
      </c>
      <c r="C174" s="21" t="n">
        <v>20.58</v>
      </c>
      <c r="D174" s="21" t="n">
        <v>2</v>
      </c>
      <c r="E174" s="21" t="s">
        <v>116</v>
      </c>
      <c r="F174" s="21" t="n">
        <v>0</v>
      </c>
      <c r="G174" s="21" t="n">
        <v>0</v>
      </c>
      <c r="H174" s="21" t="s">
        <v>231</v>
      </c>
      <c r="I174" s="21" t="s">
        <v>43</v>
      </c>
    </row>
    <row r="175" customFormat="false" ht="15" hidden="false" customHeight="true" outlineLevel="0" collapsed="false">
      <c r="A175" s="21" t="n">
        <v>0</v>
      </c>
      <c r="B175" s="21" t="n">
        <v>90</v>
      </c>
      <c r="C175" s="21" t="n">
        <v>12.36</v>
      </c>
      <c r="D175" s="21" t="n">
        <v>1</v>
      </c>
      <c r="E175" s="21" t="s">
        <v>116</v>
      </c>
      <c r="F175" s="21" t="n">
        <v>0</v>
      </c>
      <c r="G175" s="21" t="n">
        <v>1</v>
      </c>
      <c r="H175" s="21" t="s">
        <v>232</v>
      </c>
      <c r="I175" s="21" t="s">
        <v>43</v>
      </c>
    </row>
    <row r="176" customFormat="false" ht="15" hidden="false" customHeight="true" outlineLevel="0" collapsed="false">
      <c r="A176" s="21" t="n">
        <v>0</v>
      </c>
      <c r="B176" s="21" t="n">
        <v>54</v>
      </c>
      <c r="C176" s="21" t="n">
        <v>17.98</v>
      </c>
      <c r="D176" s="21" t="n">
        <v>7</v>
      </c>
      <c r="E176" s="21" t="s">
        <v>116</v>
      </c>
      <c r="F176" s="21" t="n">
        <v>0</v>
      </c>
      <c r="G176" s="21" t="n">
        <v>1</v>
      </c>
      <c r="H176" s="21" t="s">
        <v>233</v>
      </c>
      <c r="I176" s="21" t="s">
        <v>43</v>
      </c>
    </row>
    <row r="177" customFormat="false" ht="15" hidden="false" customHeight="true" outlineLevel="0" collapsed="false">
      <c r="A177" s="21" t="n">
        <v>0</v>
      </c>
      <c r="B177" s="21" t="n">
        <v>68</v>
      </c>
      <c r="C177" s="21" t="n">
        <v>26.59</v>
      </c>
      <c r="D177" s="21" t="n">
        <v>1</v>
      </c>
      <c r="E177" s="21" t="s">
        <v>116</v>
      </c>
      <c r="F177" s="21" t="n">
        <v>0</v>
      </c>
      <c r="G177" s="21" t="n">
        <v>1</v>
      </c>
      <c r="H177" s="21" t="s">
        <v>234</v>
      </c>
      <c r="I177" s="21" t="s">
        <v>43</v>
      </c>
    </row>
    <row r="178" customFormat="false" ht="15" hidden="false" customHeight="true" outlineLevel="0" collapsed="false">
      <c r="A178" s="21" t="n">
        <v>0</v>
      </c>
      <c r="B178" s="21" t="n">
        <v>66</v>
      </c>
      <c r="C178" s="21" t="n">
        <v>14.11</v>
      </c>
      <c r="D178" s="21" t="n">
        <v>8</v>
      </c>
      <c r="E178" s="21" t="s">
        <v>116</v>
      </c>
      <c r="F178" s="21" t="n">
        <v>1</v>
      </c>
      <c r="G178" s="21" t="n">
        <v>0</v>
      </c>
      <c r="H178" s="21" t="s">
        <v>235</v>
      </c>
      <c r="I178" s="21" t="s">
        <v>43</v>
      </c>
    </row>
    <row r="179" customFormat="false" ht="15" hidden="false" customHeight="true" outlineLevel="0" collapsed="false">
      <c r="A179" s="21" t="n">
        <v>0</v>
      </c>
      <c r="B179" s="21" t="n">
        <v>93</v>
      </c>
      <c r="C179" s="21" t="n">
        <v>24.3</v>
      </c>
      <c r="D179" s="21" t="n">
        <v>9</v>
      </c>
      <c r="E179" s="21" t="s">
        <v>116</v>
      </c>
      <c r="F179" s="21" t="n">
        <v>1</v>
      </c>
      <c r="G179" s="21" t="n">
        <v>0</v>
      </c>
      <c r="H179" s="21" t="s">
        <v>193</v>
      </c>
      <c r="I179" s="21" t="s">
        <v>43</v>
      </c>
    </row>
    <row r="180" customFormat="false" ht="15" hidden="false" customHeight="true" outlineLevel="0" collapsed="false">
      <c r="A180" s="21" t="n">
        <v>0</v>
      </c>
      <c r="B180" s="21" t="n">
        <v>74</v>
      </c>
      <c r="C180" s="21" t="n">
        <v>15.12</v>
      </c>
      <c r="D180" s="21" t="n">
        <v>5</v>
      </c>
      <c r="E180" s="21" t="s">
        <v>116</v>
      </c>
      <c r="F180" s="21" t="n">
        <v>1</v>
      </c>
      <c r="G180" s="21" t="n">
        <v>1</v>
      </c>
      <c r="H180" s="21" t="s">
        <v>236</v>
      </c>
      <c r="I180" s="21" t="s">
        <v>43</v>
      </c>
    </row>
    <row r="181" customFormat="false" ht="15" hidden="false" customHeight="true" outlineLevel="0" collapsed="false">
      <c r="A181" s="21" t="n">
        <v>1</v>
      </c>
      <c r="B181" s="21" t="n">
        <v>65</v>
      </c>
      <c r="C181" s="21" t="n">
        <v>23.64</v>
      </c>
      <c r="D181" s="21" t="n">
        <v>6</v>
      </c>
      <c r="E181" s="21" t="s">
        <v>116</v>
      </c>
      <c r="F181" s="21" t="n">
        <v>1</v>
      </c>
      <c r="G181" s="21" t="n">
        <v>1</v>
      </c>
      <c r="H181" s="21" t="s">
        <v>237</v>
      </c>
      <c r="I181" s="21" t="s">
        <v>43</v>
      </c>
    </row>
    <row r="182" customFormat="false" ht="15" hidden="false" customHeight="true" outlineLevel="0" collapsed="false">
      <c r="A182" s="21" t="n">
        <v>0</v>
      </c>
      <c r="B182" s="21" t="n">
        <v>86</v>
      </c>
      <c r="C182" s="21" t="n">
        <v>14.62</v>
      </c>
      <c r="D182" s="21" t="n">
        <v>3</v>
      </c>
      <c r="E182" s="21" t="s">
        <v>116</v>
      </c>
      <c r="F182" s="21" t="n">
        <v>1</v>
      </c>
      <c r="G182" s="21" t="n">
        <v>0</v>
      </c>
      <c r="H182" s="21" t="s">
        <v>238</v>
      </c>
      <c r="I182" s="21" t="s">
        <v>43</v>
      </c>
    </row>
    <row r="183" customFormat="false" ht="15" hidden="false" customHeight="true" outlineLevel="0" collapsed="false">
      <c r="A183" s="21" t="n">
        <v>0</v>
      </c>
      <c r="B183" s="21" t="n">
        <v>72</v>
      </c>
      <c r="C183" s="21" t="n">
        <v>21.31</v>
      </c>
      <c r="D183" s="21" t="n">
        <v>6</v>
      </c>
      <c r="E183" s="21" t="s">
        <v>116</v>
      </c>
      <c r="F183" s="21" t="n">
        <v>1</v>
      </c>
      <c r="G183" s="21" t="n">
        <v>1</v>
      </c>
      <c r="H183" s="21" t="s">
        <v>239</v>
      </c>
      <c r="I183" s="21" t="s">
        <v>43</v>
      </c>
    </row>
    <row r="184" customFormat="false" ht="15" hidden="false" customHeight="true" outlineLevel="0" collapsed="false">
      <c r="A184" s="21" t="n">
        <v>0</v>
      </c>
      <c r="B184" s="21" t="n">
        <v>74</v>
      </c>
      <c r="C184" s="21" t="n">
        <v>18.13</v>
      </c>
      <c r="D184" s="21" t="n">
        <v>12</v>
      </c>
      <c r="E184" s="21" t="s">
        <v>116</v>
      </c>
      <c r="F184" s="21" t="n">
        <v>0</v>
      </c>
      <c r="G184" s="21" t="n">
        <v>0</v>
      </c>
      <c r="H184" s="21" t="s">
        <v>240</v>
      </c>
      <c r="I184" s="21" t="s">
        <v>43</v>
      </c>
    </row>
    <row r="185" customFormat="false" ht="15" hidden="false" customHeight="true" outlineLevel="0" collapsed="false">
      <c r="A185" s="21" t="n">
        <v>0</v>
      </c>
      <c r="B185" s="21" t="n">
        <v>74</v>
      </c>
      <c r="C185" s="21" t="n">
        <v>16.31</v>
      </c>
      <c r="D185" s="21" t="n">
        <v>9</v>
      </c>
      <c r="E185" s="21" t="s">
        <v>116</v>
      </c>
      <c r="F185" s="21" t="n">
        <v>0</v>
      </c>
      <c r="G185" s="21" t="n">
        <v>1</v>
      </c>
      <c r="H185" s="21" t="s">
        <v>241</v>
      </c>
      <c r="I185" s="21" t="s">
        <v>43</v>
      </c>
    </row>
    <row r="186" customFormat="false" ht="15" hidden="false" customHeight="true" outlineLevel="0" collapsed="false">
      <c r="A186" s="21" t="n">
        <v>0</v>
      </c>
      <c r="B186" s="21" t="n">
        <v>94</v>
      </c>
      <c r="C186" s="21" t="n">
        <v>12.39</v>
      </c>
      <c r="D186" s="21" t="n">
        <v>4</v>
      </c>
      <c r="E186" s="21" t="s">
        <v>116</v>
      </c>
      <c r="F186" s="21" t="n">
        <v>1</v>
      </c>
      <c r="G186" s="21" t="n">
        <v>0</v>
      </c>
      <c r="H186" s="21" t="s">
        <v>242</v>
      </c>
      <c r="I186" s="21" t="s">
        <v>43</v>
      </c>
    </row>
    <row r="187" customFormat="false" ht="15" hidden="false" customHeight="true" outlineLevel="0" collapsed="false">
      <c r="A187" s="21" t="n">
        <v>0</v>
      </c>
      <c r="B187" s="21" t="n">
        <v>61</v>
      </c>
      <c r="C187" s="21" t="n">
        <v>17.53</v>
      </c>
      <c r="D187" s="21" t="n">
        <v>3</v>
      </c>
      <c r="E187" s="21" t="s">
        <v>116</v>
      </c>
      <c r="F187" s="21" t="n">
        <v>0</v>
      </c>
      <c r="G187" s="21" t="n">
        <v>1</v>
      </c>
      <c r="H187" s="21" t="s">
        <v>243</v>
      </c>
      <c r="I187" s="21" t="s">
        <v>43</v>
      </c>
    </row>
    <row r="188" customFormat="false" ht="15" hidden="false" customHeight="true" outlineLevel="0" collapsed="false">
      <c r="A188" s="21" t="n">
        <v>0</v>
      </c>
      <c r="B188" s="21" t="n">
        <v>70</v>
      </c>
      <c r="C188" s="21" t="n">
        <v>22.91</v>
      </c>
      <c r="D188" s="21" t="n">
        <v>5</v>
      </c>
      <c r="E188" s="21" t="s">
        <v>116</v>
      </c>
      <c r="F188" s="21" t="n">
        <v>0</v>
      </c>
      <c r="G188" s="21" t="n">
        <v>1</v>
      </c>
      <c r="H188" s="21" t="s">
        <v>244</v>
      </c>
      <c r="I188" s="21" t="s">
        <v>43</v>
      </c>
    </row>
    <row r="189" customFormat="false" ht="15" hidden="false" customHeight="true" outlineLevel="0" collapsed="false">
      <c r="A189" s="21" t="n">
        <v>0</v>
      </c>
      <c r="B189" s="21" t="n">
        <v>70</v>
      </c>
      <c r="C189" s="21" t="n">
        <v>17.16</v>
      </c>
      <c r="D189" s="21" t="n">
        <v>3</v>
      </c>
      <c r="E189" s="21" t="s">
        <v>116</v>
      </c>
      <c r="F189" s="21" t="n">
        <v>0</v>
      </c>
      <c r="G189" s="21" t="n">
        <v>0</v>
      </c>
      <c r="H189" s="21" t="s">
        <v>245</v>
      </c>
      <c r="I189" s="21" t="s">
        <v>43</v>
      </c>
    </row>
    <row r="190" customFormat="false" ht="15" hidden="false" customHeight="true" outlineLevel="0" collapsed="false">
      <c r="A190" s="21" t="n">
        <v>0</v>
      </c>
      <c r="B190" s="21" t="n">
        <v>69</v>
      </c>
      <c r="C190" s="21" t="n">
        <v>17.99</v>
      </c>
      <c r="D190" s="21" t="n">
        <v>5</v>
      </c>
      <c r="E190" s="21" t="s">
        <v>116</v>
      </c>
      <c r="F190" s="21" t="n">
        <v>1</v>
      </c>
      <c r="G190" s="21" t="n">
        <v>1</v>
      </c>
      <c r="H190" s="21" t="s">
        <v>246</v>
      </c>
      <c r="I190" s="21" t="s">
        <v>43</v>
      </c>
    </row>
    <row r="191" customFormat="false" ht="15" hidden="false" customHeight="true" outlineLevel="0" collapsed="false">
      <c r="A191" s="21" t="n">
        <v>0</v>
      </c>
      <c r="B191" s="21" t="n">
        <v>60</v>
      </c>
      <c r="C191" s="21" t="n">
        <v>16.58</v>
      </c>
      <c r="D191" s="21" t="n">
        <v>7</v>
      </c>
      <c r="E191" s="21" t="s">
        <v>116</v>
      </c>
      <c r="F191" s="21" t="n">
        <v>0</v>
      </c>
      <c r="G191" s="21" t="n">
        <v>1</v>
      </c>
      <c r="H191" s="21" t="s">
        <v>247</v>
      </c>
      <c r="I191" s="21" t="s">
        <v>43</v>
      </c>
    </row>
    <row r="192" customFormat="false" ht="15" hidden="false" customHeight="true" outlineLevel="0" collapsed="false">
      <c r="A192" s="21" t="n">
        <v>0</v>
      </c>
      <c r="B192" s="21" t="n">
        <v>82</v>
      </c>
      <c r="C192" s="21" t="n">
        <v>18.95</v>
      </c>
      <c r="D192" s="21" t="n">
        <v>9</v>
      </c>
      <c r="E192" s="21" t="s">
        <v>116</v>
      </c>
      <c r="F192" s="21" t="n">
        <v>0</v>
      </c>
      <c r="G192" s="21" t="n">
        <v>0</v>
      </c>
      <c r="H192" s="21" t="s">
        <v>248</v>
      </c>
      <c r="I192" s="21" t="s">
        <v>43</v>
      </c>
    </row>
    <row r="193" customFormat="false" ht="15" hidden="false" customHeight="true" outlineLevel="0" collapsed="false">
      <c r="A193" s="21" t="n">
        <v>0</v>
      </c>
      <c r="B193" s="21" t="n">
        <v>70</v>
      </c>
      <c r="C193" s="21" t="n">
        <v>21.86</v>
      </c>
      <c r="D193" s="21" t="n">
        <v>5</v>
      </c>
      <c r="E193" s="21" t="s">
        <v>116</v>
      </c>
      <c r="F193" s="21" t="n">
        <v>0</v>
      </c>
      <c r="G193" s="21" t="n">
        <v>0</v>
      </c>
      <c r="H193" s="21" t="s">
        <v>249</v>
      </c>
      <c r="I193" s="21" t="s">
        <v>43</v>
      </c>
    </row>
    <row r="194" customFormat="false" ht="15" hidden="false" customHeight="true" outlineLevel="0" collapsed="false">
      <c r="A194" s="21" t="n">
        <v>0</v>
      </c>
      <c r="B194" s="21" t="n">
        <v>52</v>
      </c>
      <c r="C194" s="21" t="n">
        <v>9.73</v>
      </c>
      <c r="D194" s="21" t="n">
        <v>3</v>
      </c>
      <c r="E194" s="21" t="s">
        <v>116</v>
      </c>
      <c r="F194" s="21" t="n">
        <v>0</v>
      </c>
      <c r="G194" s="21" t="n">
        <v>0</v>
      </c>
      <c r="H194" s="21" t="s">
        <v>250</v>
      </c>
      <c r="I194" s="21" t="s">
        <v>43</v>
      </c>
    </row>
    <row r="195" customFormat="false" ht="15" hidden="false" customHeight="true" outlineLevel="0" collapsed="false">
      <c r="A195" s="21" t="n">
        <v>0</v>
      </c>
      <c r="B195" s="21" t="n">
        <v>75</v>
      </c>
      <c r="C195" s="21" t="n">
        <v>20.24</v>
      </c>
      <c r="D195" s="21" t="n">
        <v>6</v>
      </c>
      <c r="E195" s="21" t="s">
        <v>116</v>
      </c>
      <c r="F195" s="21" t="n">
        <v>1</v>
      </c>
      <c r="G195" s="21" t="n">
        <v>0</v>
      </c>
      <c r="H195" s="21" t="s">
        <v>251</v>
      </c>
      <c r="I195" s="21" t="s">
        <v>43</v>
      </c>
    </row>
    <row r="196" customFormat="false" ht="15" hidden="false" customHeight="true" outlineLevel="0" collapsed="false">
      <c r="A196" s="21" t="n">
        <v>0</v>
      </c>
      <c r="B196" s="21" t="n">
        <v>67</v>
      </c>
      <c r="C196" s="21" t="n">
        <v>17.11</v>
      </c>
      <c r="D196" s="21" t="n">
        <v>1</v>
      </c>
      <c r="E196" s="21" t="s">
        <v>116</v>
      </c>
      <c r="F196" s="21" t="n">
        <v>0</v>
      </c>
      <c r="G196" s="21" t="n">
        <v>1</v>
      </c>
      <c r="H196" s="21" t="s">
        <v>252</v>
      </c>
      <c r="I196" s="21" t="s">
        <v>43</v>
      </c>
    </row>
    <row r="197" customFormat="false" ht="15" hidden="false" customHeight="true" outlineLevel="0" collapsed="false">
      <c r="A197" s="21" t="n">
        <v>0</v>
      </c>
      <c r="B197" s="21" t="n">
        <v>85</v>
      </c>
      <c r="C197" s="21" t="n">
        <v>19.19</v>
      </c>
      <c r="D197" s="21" t="n">
        <v>1</v>
      </c>
      <c r="E197" s="21" t="s">
        <v>116</v>
      </c>
      <c r="F197" s="21" t="n">
        <v>0</v>
      </c>
      <c r="G197" s="21" t="n">
        <v>1</v>
      </c>
      <c r="H197" s="21" t="s">
        <v>253</v>
      </c>
      <c r="I197" s="21" t="s">
        <v>43</v>
      </c>
    </row>
    <row r="198" customFormat="false" ht="15" hidden="false" customHeight="true" outlineLevel="0" collapsed="false">
      <c r="A198" s="21" t="n">
        <v>0</v>
      </c>
      <c r="B198" s="21" t="n">
        <v>71</v>
      </c>
      <c r="C198" s="21" t="n">
        <v>10.71</v>
      </c>
      <c r="D198" s="21" t="n">
        <v>1</v>
      </c>
      <c r="E198" s="21" t="s">
        <v>116</v>
      </c>
      <c r="F198" s="21" t="n">
        <v>0</v>
      </c>
      <c r="G198" s="21" t="n">
        <v>1</v>
      </c>
      <c r="H198" s="21" t="s">
        <v>254</v>
      </c>
      <c r="I198" s="21" t="s">
        <v>43</v>
      </c>
    </row>
    <row r="199" customFormat="false" ht="15" hidden="false" customHeight="true" outlineLevel="0" collapsed="false">
      <c r="A199" s="21" t="n">
        <v>0</v>
      </c>
      <c r="B199" s="21" t="n">
        <v>73</v>
      </c>
      <c r="C199" s="21" t="n">
        <v>17.2</v>
      </c>
      <c r="D199" s="21" t="n">
        <v>2</v>
      </c>
      <c r="E199" s="21" t="s">
        <v>116</v>
      </c>
      <c r="F199" s="21" t="n">
        <v>0</v>
      </c>
      <c r="G199" s="21" t="n">
        <v>0</v>
      </c>
      <c r="H199" s="21" t="s">
        <v>255</v>
      </c>
      <c r="I199" s="21" t="s">
        <v>43</v>
      </c>
    </row>
    <row r="200" customFormat="false" ht="15" hidden="false" customHeight="true" outlineLevel="0" collapsed="false">
      <c r="A200" s="21" t="n">
        <v>0</v>
      </c>
      <c r="B200" s="21" t="n">
        <v>99</v>
      </c>
      <c r="C200" s="21" t="n">
        <v>15.4</v>
      </c>
      <c r="D200" s="21" t="n">
        <v>6</v>
      </c>
      <c r="E200" s="21" t="s">
        <v>116</v>
      </c>
      <c r="F200" s="21" t="n">
        <v>0</v>
      </c>
      <c r="G200" s="21" t="n">
        <v>1</v>
      </c>
      <c r="H200" s="21" t="s">
        <v>256</v>
      </c>
      <c r="I200" s="21" t="s">
        <v>43</v>
      </c>
    </row>
    <row r="201" customFormat="false" ht="15" hidden="false" customHeight="true" outlineLevel="0" collapsed="false">
      <c r="A201" s="21" t="n">
        <v>0</v>
      </c>
      <c r="B201" s="21" t="n">
        <v>79</v>
      </c>
      <c r="C201" s="21" t="n">
        <v>18.48</v>
      </c>
      <c r="D201" s="21" t="n">
        <v>9</v>
      </c>
      <c r="E201" s="21" t="s">
        <v>157</v>
      </c>
      <c r="F201" s="21" t="n">
        <v>0</v>
      </c>
      <c r="G201" s="21" t="n">
        <v>1</v>
      </c>
      <c r="H201" s="21" t="s">
        <v>257</v>
      </c>
      <c r="I201" s="21" t="s">
        <v>43</v>
      </c>
    </row>
    <row r="202" customFormat="false" ht="15" hidden="false" customHeight="true" outlineLevel="0" collapsed="false">
      <c r="A202" s="21" t="n">
        <v>0</v>
      </c>
      <c r="B202" s="21" t="n">
        <v>69</v>
      </c>
      <c r="C202" s="21" t="n">
        <v>9.96</v>
      </c>
      <c r="D202" s="21" t="n">
        <v>11</v>
      </c>
      <c r="E202" s="21" t="s">
        <v>157</v>
      </c>
      <c r="F202" s="21" t="n">
        <v>0</v>
      </c>
      <c r="G202" s="21" t="n">
        <v>1</v>
      </c>
      <c r="H202" s="21" t="s">
        <v>258</v>
      </c>
      <c r="I202" s="21" t="s">
        <v>43</v>
      </c>
    </row>
    <row r="203" customFormat="false" ht="15" hidden="false" customHeight="true" outlineLevel="0" collapsed="false">
      <c r="A203" s="21" t="n">
        <v>0</v>
      </c>
      <c r="B203" s="21" t="n">
        <v>62</v>
      </c>
      <c r="C203" s="21" t="n">
        <v>20.69</v>
      </c>
      <c r="D203" s="21" t="n">
        <v>6</v>
      </c>
      <c r="E203" s="21" t="s">
        <v>157</v>
      </c>
      <c r="F203" s="21" t="n">
        <v>0</v>
      </c>
      <c r="G203" s="21" t="n">
        <v>1</v>
      </c>
      <c r="H203" s="21" t="s">
        <v>259</v>
      </c>
      <c r="I203" s="21" t="s">
        <v>43</v>
      </c>
    </row>
    <row r="204" customFormat="false" ht="15" hidden="false" customHeight="true" outlineLevel="0" collapsed="false">
      <c r="A204" s="21" t="n">
        <v>0</v>
      </c>
      <c r="B204" s="21" t="n">
        <v>71</v>
      </c>
      <c r="C204" s="21" t="n">
        <v>5.74</v>
      </c>
      <c r="D204" s="21" t="n">
        <v>4</v>
      </c>
      <c r="E204" s="21" t="s">
        <v>58</v>
      </c>
      <c r="F204" s="21" t="n">
        <v>0</v>
      </c>
      <c r="G204" s="21" t="n">
        <v>0</v>
      </c>
      <c r="H204" s="21" t="s">
        <v>260</v>
      </c>
      <c r="I204" s="21" t="s">
        <v>38</v>
      </c>
    </row>
    <row r="205" customFormat="false" ht="15" hidden="false" customHeight="true" outlineLevel="0" collapsed="false">
      <c r="A205" s="21" t="n">
        <v>0</v>
      </c>
      <c r="B205" s="21" t="n">
        <v>26</v>
      </c>
      <c r="C205" s="21" t="n">
        <v>11.56</v>
      </c>
      <c r="D205" s="21" t="n">
        <v>3</v>
      </c>
      <c r="E205" s="21" t="s">
        <v>58</v>
      </c>
      <c r="F205" s="21" t="n">
        <v>0</v>
      </c>
      <c r="G205" s="21" t="n">
        <v>0</v>
      </c>
      <c r="H205" s="21" t="s">
        <v>261</v>
      </c>
      <c r="I205" s="21" t="s">
        <v>38</v>
      </c>
    </row>
    <row r="206" customFormat="false" ht="15" hidden="false" customHeight="true" outlineLevel="0" collapsed="false">
      <c r="A206" s="21" t="n">
        <v>0</v>
      </c>
      <c r="B206" s="21" t="n">
        <v>56</v>
      </c>
      <c r="C206" s="21" t="n">
        <v>10.76</v>
      </c>
      <c r="D206" s="21" t="n">
        <v>4</v>
      </c>
      <c r="E206" s="21" t="s">
        <v>58</v>
      </c>
      <c r="F206" s="21" t="n">
        <v>0</v>
      </c>
      <c r="G206" s="21" t="n">
        <v>0</v>
      </c>
      <c r="H206" s="21" t="s">
        <v>262</v>
      </c>
      <c r="I206" s="21" t="s">
        <v>38</v>
      </c>
    </row>
    <row r="207" customFormat="false" ht="15" hidden="false" customHeight="true" outlineLevel="0" collapsed="false">
      <c r="A207" s="21" t="n">
        <v>0</v>
      </c>
      <c r="B207" s="21" t="n">
        <v>33</v>
      </c>
      <c r="C207" s="21" t="n">
        <v>6.32</v>
      </c>
      <c r="D207" s="21" t="n">
        <v>4</v>
      </c>
      <c r="E207" s="21" t="s">
        <v>58</v>
      </c>
      <c r="F207" s="21" t="n">
        <v>1</v>
      </c>
      <c r="G207" s="21" t="n">
        <v>0</v>
      </c>
      <c r="H207" s="21" t="s">
        <v>263</v>
      </c>
      <c r="I207" s="21" t="s">
        <v>38</v>
      </c>
    </row>
    <row r="208" customFormat="false" ht="15" hidden="false" customHeight="true" outlineLevel="0" collapsed="false">
      <c r="A208" s="21" t="n">
        <v>0</v>
      </c>
      <c r="B208" s="21" t="n">
        <v>54</v>
      </c>
      <c r="C208" s="21" t="n">
        <v>17.18</v>
      </c>
      <c r="D208" s="21" t="n">
        <v>4</v>
      </c>
      <c r="E208" s="21" t="s">
        <v>58</v>
      </c>
      <c r="F208" s="21" t="n">
        <v>1</v>
      </c>
      <c r="G208" s="21" t="n">
        <v>1</v>
      </c>
      <c r="H208" s="21" t="s">
        <v>264</v>
      </c>
      <c r="I208" s="21" t="s">
        <v>38</v>
      </c>
    </row>
    <row r="209" customFormat="false" ht="15" hidden="false" customHeight="true" outlineLevel="0" collapsed="false">
      <c r="A209" s="21" t="n">
        <v>0</v>
      </c>
      <c r="B209" s="21" t="n">
        <v>42</v>
      </c>
      <c r="C209" s="21" t="n">
        <v>4.24</v>
      </c>
      <c r="D209" s="21" t="n">
        <v>3</v>
      </c>
      <c r="E209" s="21" t="s">
        <v>58</v>
      </c>
      <c r="F209" s="21" t="n">
        <v>0</v>
      </c>
      <c r="G209" s="21" t="n">
        <v>1</v>
      </c>
      <c r="H209" s="21" t="s">
        <v>265</v>
      </c>
      <c r="I209" s="21" t="s">
        <v>38</v>
      </c>
    </row>
    <row r="210" customFormat="false" ht="15" hidden="false" customHeight="true" outlineLevel="0" collapsed="false">
      <c r="A210" s="21" t="n">
        <v>1</v>
      </c>
      <c r="B210" s="21" t="n">
        <v>44</v>
      </c>
      <c r="C210" s="21" t="n">
        <v>10.75</v>
      </c>
      <c r="D210" s="21" t="n">
        <v>4</v>
      </c>
      <c r="E210" s="21" t="s">
        <v>58</v>
      </c>
      <c r="F210" s="21" t="n">
        <v>1</v>
      </c>
      <c r="G210" s="21" t="n">
        <v>0</v>
      </c>
      <c r="H210" s="21" t="s">
        <v>266</v>
      </c>
      <c r="I210" s="21" t="s">
        <v>38</v>
      </c>
    </row>
    <row r="211" customFormat="false" ht="15" hidden="false" customHeight="true" outlineLevel="0" collapsed="false">
      <c r="A211" s="21" t="n">
        <v>0</v>
      </c>
      <c r="B211" s="21" t="n">
        <v>52</v>
      </c>
      <c r="C211" s="21" t="n">
        <v>8.58</v>
      </c>
      <c r="D211" s="21" t="n">
        <v>5</v>
      </c>
      <c r="E211" s="21" t="s">
        <v>58</v>
      </c>
      <c r="F211" s="21" t="n">
        <v>1</v>
      </c>
      <c r="G211" s="21" t="n">
        <v>0</v>
      </c>
      <c r="H211" s="21" t="s">
        <v>267</v>
      </c>
      <c r="I211" s="21" t="s">
        <v>38</v>
      </c>
    </row>
    <row r="212" customFormat="false" ht="15" hidden="false" customHeight="true" outlineLevel="0" collapsed="false">
      <c r="A212" s="21" t="n">
        <v>1</v>
      </c>
      <c r="B212" s="21" t="n">
        <v>37</v>
      </c>
      <c r="C212" s="21" t="n">
        <v>9.48</v>
      </c>
      <c r="D212" s="21" t="n">
        <v>4</v>
      </c>
      <c r="E212" s="21" t="s">
        <v>58</v>
      </c>
      <c r="F212" s="21" t="n">
        <v>0</v>
      </c>
      <c r="G212" s="21" t="n">
        <v>0</v>
      </c>
      <c r="H212" s="21" t="s">
        <v>268</v>
      </c>
      <c r="I212" s="21" t="s">
        <v>38</v>
      </c>
    </row>
    <row r="213" customFormat="false" ht="15" hidden="false" customHeight="true" outlineLevel="0" collapsed="false">
      <c r="A213" s="21" t="n">
        <v>0</v>
      </c>
      <c r="B213" s="21" t="n">
        <v>50</v>
      </c>
      <c r="C213" s="21" t="n">
        <v>13.95</v>
      </c>
      <c r="D213" s="21" t="n">
        <v>2</v>
      </c>
      <c r="E213" s="21" t="s">
        <v>58</v>
      </c>
      <c r="F213" s="21" t="n">
        <v>0</v>
      </c>
      <c r="G213" s="21" t="n">
        <v>0</v>
      </c>
      <c r="H213" s="21" t="s">
        <v>269</v>
      </c>
      <c r="I213" s="21" t="s">
        <v>38</v>
      </c>
    </row>
    <row r="214" customFormat="false" ht="15" hidden="false" customHeight="true" outlineLevel="0" collapsed="false">
      <c r="A214" s="21" t="n">
        <v>0</v>
      </c>
      <c r="B214" s="21" t="n">
        <v>47</v>
      </c>
      <c r="C214" s="21" t="n">
        <v>13.47</v>
      </c>
      <c r="D214" s="21" t="n">
        <v>5</v>
      </c>
      <c r="E214" s="21" t="s">
        <v>58</v>
      </c>
      <c r="F214" s="21" t="n">
        <v>1</v>
      </c>
      <c r="G214" s="21" t="n">
        <v>0</v>
      </c>
      <c r="H214" s="21" t="s">
        <v>270</v>
      </c>
      <c r="I214" s="21" t="s">
        <v>38</v>
      </c>
    </row>
    <row r="215" customFormat="false" ht="15" hidden="false" customHeight="true" outlineLevel="0" collapsed="false">
      <c r="A215" s="21" t="n">
        <v>0</v>
      </c>
      <c r="B215" s="21" t="n">
        <v>57</v>
      </c>
      <c r="C215" s="21" t="n">
        <v>5.93</v>
      </c>
      <c r="D215" s="21" t="n">
        <v>3</v>
      </c>
      <c r="E215" s="21" t="s">
        <v>58</v>
      </c>
      <c r="F215" s="21" t="n">
        <v>0</v>
      </c>
      <c r="G215" s="21" t="n">
        <v>1</v>
      </c>
      <c r="H215" s="21" t="s">
        <v>271</v>
      </c>
      <c r="I215" s="21" t="s">
        <v>38</v>
      </c>
    </row>
    <row r="216" customFormat="false" ht="15" hidden="false" customHeight="true" outlineLevel="0" collapsed="false">
      <c r="A216" s="21" t="n">
        <v>0</v>
      </c>
      <c r="B216" s="21" t="n">
        <v>55</v>
      </c>
      <c r="C216" s="21" t="n">
        <v>9.93</v>
      </c>
      <c r="D216" s="21" t="n">
        <v>7</v>
      </c>
      <c r="E216" s="21" t="s">
        <v>72</v>
      </c>
      <c r="F216" s="21" t="n">
        <v>0</v>
      </c>
      <c r="G216" s="21" t="n">
        <v>0</v>
      </c>
      <c r="H216" s="21" t="s">
        <v>272</v>
      </c>
      <c r="I216" s="21" t="s">
        <v>38</v>
      </c>
    </row>
    <row r="217" customFormat="false" ht="15" hidden="false" customHeight="true" outlineLevel="0" collapsed="false">
      <c r="A217" s="21" t="n">
        <v>0</v>
      </c>
      <c r="B217" s="21" t="n">
        <v>54</v>
      </c>
      <c r="C217" s="21" t="n">
        <v>9.07</v>
      </c>
      <c r="D217" s="21" t="n">
        <v>3</v>
      </c>
      <c r="E217" s="21" t="s">
        <v>72</v>
      </c>
      <c r="F217" s="21" t="n">
        <v>1</v>
      </c>
      <c r="G217" s="21" t="n">
        <v>0</v>
      </c>
      <c r="H217" s="21" t="s">
        <v>273</v>
      </c>
      <c r="I217" s="21" t="s">
        <v>38</v>
      </c>
    </row>
    <row r="218" customFormat="false" ht="15" hidden="false" customHeight="true" outlineLevel="0" collapsed="false">
      <c r="A218" s="21" t="n">
        <v>1</v>
      </c>
      <c r="B218" s="21" t="n">
        <v>45</v>
      </c>
      <c r="C218" s="21" t="n">
        <v>7.68</v>
      </c>
      <c r="D218" s="21" t="n">
        <v>3</v>
      </c>
      <c r="E218" s="21" t="s">
        <v>72</v>
      </c>
      <c r="F218" s="21" t="n">
        <v>0</v>
      </c>
      <c r="G218" s="21" t="n">
        <v>0</v>
      </c>
      <c r="H218" s="21" t="s">
        <v>274</v>
      </c>
      <c r="I218" s="21" t="s">
        <v>38</v>
      </c>
    </row>
    <row r="219" customFormat="false" ht="15" hidden="false" customHeight="true" outlineLevel="0" collapsed="false">
      <c r="A219" s="21" t="n">
        <v>0</v>
      </c>
      <c r="B219" s="21" t="n">
        <v>34</v>
      </c>
      <c r="C219" s="21" t="n">
        <v>8.86</v>
      </c>
      <c r="D219" s="21" t="n">
        <v>5</v>
      </c>
      <c r="E219" s="21" t="s">
        <v>72</v>
      </c>
      <c r="F219" s="21" t="n">
        <v>0</v>
      </c>
      <c r="G219" s="21" t="n">
        <v>1</v>
      </c>
      <c r="H219" s="21" t="s">
        <v>275</v>
      </c>
      <c r="I219" s="21" t="s">
        <v>38</v>
      </c>
    </row>
    <row r="220" customFormat="false" ht="15" hidden="false" customHeight="true" outlineLevel="0" collapsed="false">
      <c r="A220" s="21" t="n">
        <v>0</v>
      </c>
      <c r="B220" s="21" t="n">
        <v>44</v>
      </c>
      <c r="C220" s="21" t="n">
        <v>5.97</v>
      </c>
      <c r="D220" s="21" t="n">
        <v>2</v>
      </c>
      <c r="E220" s="21" t="s">
        <v>72</v>
      </c>
      <c r="F220" s="21" t="n">
        <v>0</v>
      </c>
      <c r="G220" s="21" t="n">
        <v>0</v>
      </c>
      <c r="H220" s="21" t="s">
        <v>269</v>
      </c>
      <c r="I220" s="21" t="s">
        <v>38</v>
      </c>
    </row>
    <row r="221" customFormat="false" ht="15" hidden="false" customHeight="true" outlineLevel="0" collapsed="false">
      <c r="A221" s="21" t="n">
        <v>0</v>
      </c>
      <c r="B221" s="21" t="n">
        <v>42</v>
      </c>
      <c r="C221" s="21" t="n">
        <v>13.45</v>
      </c>
      <c r="D221" s="21" t="n">
        <v>7</v>
      </c>
      <c r="E221" s="21" t="s">
        <v>72</v>
      </c>
      <c r="F221" s="21" t="n">
        <v>0</v>
      </c>
      <c r="G221" s="21" t="n">
        <v>0</v>
      </c>
      <c r="H221" s="21" t="s">
        <v>276</v>
      </c>
      <c r="I221" s="21" t="s">
        <v>38</v>
      </c>
    </row>
    <row r="222" customFormat="false" ht="15" hidden="false" customHeight="true" outlineLevel="0" collapsed="false">
      <c r="A222" s="21" t="n">
        <v>0</v>
      </c>
      <c r="B222" s="21" t="n">
        <v>62</v>
      </c>
      <c r="C222" s="21" t="n">
        <v>7.77</v>
      </c>
      <c r="D222" s="21" t="n">
        <v>4</v>
      </c>
      <c r="E222" s="21" t="s">
        <v>72</v>
      </c>
      <c r="F222" s="21" t="n">
        <v>0</v>
      </c>
      <c r="G222" s="21" t="n">
        <v>0</v>
      </c>
      <c r="H222" s="21" t="s">
        <v>277</v>
      </c>
      <c r="I222" s="21" t="s">
        <v>38</v>
      </c>
    </row>
    <row r="223" customFormat="false" ht="15" hidden="false" customHeight="true" outlineLevel="0" collapsed="false">
      <c r="A223" s="21" t="n">
        <v>1</v>
      </c>
      <c r="B223" s="21" t="n">
        <v>53</v>
      </c>
      <c r="C223" s="21" t="n">
        <v>11.04</v>
      </c>
      <c r="D223" s="21" t="n">
        <v>6</v>
      </c>
      <c r="E223" s="21" t="s">
        <v>72</v>
      </c>
      <c r="F223" s="21" t="n">
        <v>0</v>
      </c>
      <c r="G223" s="21" t="n">
        <v>1</v>
      </c>
      <c r="H223" s="21" t="s">
        <v>278</v>
      </c>
      <c r="I223" s="21" t="s">
        <v>38</v>
      </c>
    </row>
    <row r="224" customFormat="false" ht="15" hidden="false" customHeight="true" outlineLevel="0" collapsed="false">
      <c r="A224" s="21" t="n">
        <v>0</v>
      </c>
      <c r="B224" s="21" t="n">
        <v>43</v>
      </c>
      <c r="C224" s="21" t="n">
        <v>6.81</v>
      </c>
      <c r="D224" s="21" t="n">
        <v>5</v>
      </c>
      <c r="E224" s="21" t="s">
        <v>72</v>
      </c>
      <c r="F224" s="21" t="n">
        <v>0</v>
      </c>
      <c r="G224" s="21" t="n">
        <v>1</v>
      </c>
      <c r="H224" s="21" t="s">
        <v>279</v>
      </c>
      <c r="I224" s="21" t="s">
        <v>38</v>
      </c>
    </row>
    <row r="225" customFormat="false" ht="15" hidden="false" customHeight="true" outlineLevel="0" collapsed="false">
      <c r="A225" s="21" t="n">
        <v>0</v>
      </c>
      <c r="B225" s="21" t="n">
        <v>54</v>
      </c>
      <c r="C225" s="21" t="n">
        <v>8.79</v>
      </c>
      <c r="D225" s="21" t="n">
        <v>7</v>
      </c>
      <c r="E225" s="21" t="s">
        <v>105</v>
      </c>
      <c r="F225" s="21" t="n">
        <v>0</v>
      </c>
      <c r="G225" s="21" t="n">
        <v>0</v>
      </c>
      <c r="H225" s="21" t="s">
        <v>280</v>
      </c>
      <c r="I225" s="21" t="s">
        <v>38</v>
      </c>
    </row>
    <row r="226" customFormat="false" ht="15" hidden="false" customHeight="true" outlineLevel="0" collapsed="false">
      <c r="A226" s="21" t="n">
        <v>0</v>
      </c>
      <c r="B226" s="21" t="n">
        <v>34</v>
      </c>
      <c r="C226" s="21" t="n">
        <v>6.29</v>
      </c>
      <c r="D226" s="21" t="n">
        <v>6</v>
      </c>
      <c r="E226" s="21" t="s">
        <v>105</v>
      </c>
      <c r="F226" s="21" t="n">
        <v>1</v>
      </c>
      <c r="G226" s="21" t="n">
        <v>0</v>
      </c>
      <c r="H226" s="21" t="s">
        <v>281</v>
      </c>
      <c r="I226" s="21" t="s">
        <v>38</v>
      </c>
    </row>
    <row r="227" customFormat="false" ht="15" hidden="false" customHeight="true" outlineLevel="0" collapsed="false">
      <c r="A227" s="21" t="n">
        <v>0</v>
      </c>
      <c r="B227" s="21" t="n">
        <v>42</v>
      </c>
      <c r="C227" s="21" t="n">
        <v>8.73</v>
      </c>
      <c r="D227" s="21" t="n">
        <v>4</v>
      </c>
      <c r="E227" s="21" t="s">
        <v>105</v>
      </c>
      <c r="F227" s="21" t="n">
        <v>0</v>
      </c>
      <c r="G227" s="21" t="n">
        <v>0</v>
      </c>
      <c r="H227" s="21" t="s">
        <v>282</v>
      </c>
      <c r="I227" s="21" t="s">
        <v>38</v>
      </c>
    </row>
    <row r="228" customFormat="false" ht="15" hidden="false" customHeight="true" outlineLevel="0" collapsed="false">
      <c r="A228" s="21" t="n">
        <v>0</v>
      </c>
      <c r="B228" s="21" t="n">
        <v>47</v>
      </c>
      <c r="C228" s="21" t="n">
        <v>7.98</v>
      </c>
      <c r="D228" s="21" t="n">
        <v>5</v>
      </c>
      <c r="E228" s="21" t="s">
        <v>105</v>
      </c>
      <c r="F228" s="21" t="n">
        <v>0</v>
      </c>
      <c r="G228" s="21" t="n">
        <v>1</v>
      </c>
      <c r="H228" s="21" t="s">
        <v>283</v>
      </c>
      <c r="I228" s="21" t="s">
        <v>38</v>
      </c>
    </row>
    <row r="229" customFormat="false" ht="15" hidden="false" customHeight="true" outlineLevel="0" collapsed="false">
      <c r="A229" s="21" t="n">
        <v>0</v>
      </c>
      <c r="B229" s="21" t="n">
        <v>40</v>
      </c>
      <c r="C229" s="21" t="n">
        <v>12.35</v>
      </c>
      <c r="D229" s="21" t="n">
        <v>4</v>
      </c>
      <c r="E229" s="21" t="s">
        <v>105</v>
      </c>
      <c r="F229" s="21" t="n">
        <v>0</v>
      </c>
      <c r="G229" s="21" t="n">
        <v>0</v>
      </c>
      <c r="H229" s="21" t="s">
        <v>284</v>
      </c>
      <c r="I229" s="21" t="s">
        <v>38</v>
      </c>
    </row>
    <row r="230" customFormat="false" ht="15" hidden="false" customHeight="true" outlineLevel="0" collapsed="false">
      <c r="A230" s="21" t="n">
        <v>0</v>
      </c>
      <c r="B230" s="21" t="n">
        <v>27</v>
      </c>
      <c r="C230" s="21" t="n">
        <v>9.99</v>
      </c>
      <c r="D230" s="21" t="n">
        <v>5</v>
      </c>
      <c r="E230" s="21" t="s">
        <v>105</v>
      </c>
      <c r="F230" s="21" t="n">
        <v>0</v>
      </c>
      <c r="G230" s="21" t="n">
        <v>0</v>
      </c>
      <c r="H230" s="21" t="s">
        <v>285</v>
      </c>
      <c r="I230" s="21" t="s">
        <v>38</v>
      </c>
    </row>
    <row r="231" customFormat="false" ht="15" hidden="false" customHeight="true" outlineLevel="0" collapsed="false">
      <c r="A231" s="21" t="n">
        <v>0</v>
      </c>
      <c r="B231" s="21" t="n">
        <v>42</v>
      </c>
      <c r="C231" s="21" t="n">
        <v>6.36</v>
      </c>
      <c r="D231" s="21" t="n">
        <v>3</v>
      </c>
      <c r="E231" s="21" t="s">
        <v>105</v>
      </c>
      <c r="F231" s="21" t="n">
        <v>0</v>
      </c>
      <c r="G231" s="21" t="n">
        <v>0</v>
      </c>
      <c r="H231" s="21" t="s">
        <v>286</v>
      </c>
      <c r="I231" s="21" t="s">
        <v>38</v>
      </c>
    </row>
    <row r="232" customFormat="false" ht="15" hidden="false" customHeight="true" outlineLevel="0" collapsed="false">
      <c r="A232" s="21" t="n">
        <v>0</v>
      </c>
      <c r="B232" s="21" t="n">
        <v>36</v>
      </c>
      <c r="C232" s="21" t="n">
        <v>11.08</v>
      </c>
      <c r="D232" s="21" t="n">
        <v>1</v>
      </c>
      <c r="E232" s="21" t="s">
        <v>105</v>
      </c>
      <c r="F232" s="21" t="n">
        <v>0</v>
      </c>
      <c r="G232" s="21" t="n">
        <v>0</v>
      </c>
      <c r="H232" s="21" t="s">
        <v>287</v>
      </c>
      <c r="I232" s="21" t="s">
        <v>38</v>
      </c>
    </row>
    <row r="233" customFormat="false" ht="15" hidden="false" customHeight="true" outlineLevel="0" collapsed="false">
      <c r="A233" s="21" t="n">
        <v>0</v>
      </c>
      <c r="B233" s="21" t="n">
        <v>45</v>
      </c>
      <c r="C233" s="21" t="n">
        <v>5.83</v>
      </c>
      <c r="D233" s="21" t="n">
        <v>5</v>
      </c>
      <c r="E233" s="21" t="s">
        <v>105</v>
      </c>
      <c r="F233" s="21" t="n">
        <v>1</v>
      </c>
      <c r="G233" s="21" t="n">
        <v>1</v>
      </c>
      <c r="H233" s="21" t="s">
        <v>288</v>
      </c>
      <c r="I233" s="21" t="s">
        <v>38</v>
      </c>
    </row>
    <row r="234" customFormat="false" ht="15" hidden="false" customHeight="true" outlineLevel="0" collapsed="false">
      <c r="A234" s="21" t="n">
        <v>0</v>
      </c>
      <c r="B234" s="21" t="n">
        <v>50</v>
      </c>
      <c r="C234" s="21" t="n">
        <v>9.3</v>
      </c>
      <c r="D234" s="21" t="n">
        <v>5</v>
      </c>
      <c r="E234" s="21" t="s">
        <v>105</v>
      </c>
      <c r="F234" s="21" t="n">
        <v>0</v>
      </c>
      <c r="G234" s="21" t="n">
        <v>0</v>
      </c>
      <c r="H234" s="21" t="s">
        <v>289</v>
      </c>
      <c r="I234" s="21" t="s">
        <v>38</v>
      </c>
    </row>
    <row r="235" customFormat="false" ht="15" hidden="false" customHeight="true" outlineLevel="0" collapsed="false">
      <c r="A235" s="21" t="n">
        <v>0</v>
      </c>
      <c r="B235" s="21" t="n">
        <v>51</v>
      </c>
      <c r="C235" s="21" t="n">
        <v>12.51</v>
      </c>
      <c r="D235" s="21" t="n">
        <v>1</v>
      </c>
      <c r="E235" s="21" t="s">
        <v>105</v>
      </c>
      <c r="F235" s="21" t="n">
        <v>1</v>
      </c>
      <c r="G235" s="21" t="n">
        <v>1</v>
      </c>
      <c r="H235" s="21" t="s">
        <v>290</v>
      </c>
      <c r="I235" s="21" t="s">
        <v>38</v>
      </c>
    </row>
    <row r="236" customFormat="false" ht="15" hidden="false" customHeight="true" outlineLevel="0" collapsed="false">
      <c r="A236" s="21" t="n">
        <v>0</v>
      </c>
      <c r="B236" s="21" t="n">
        <v>67</v>
      </c>
      <c r="C236" s="21" t="n">
        <v>8.96</v>
      </c>
      <c r="D236" s="21" t="n">
        <v>2</v>
      </c>
      <c r="E236" s="21" t="s">
        <v>105</v>
      </c>
      <c r="F236" s="21" t="n">
        <v>0</v>
      </c>
      <c r="G236" s="21" t="n">
        <v>0</v>
      </c>
      <c r="H236" s="21" t="s">
        <v>291</v>
      </c>
      <c r="I236" s="21" t="s">
        <v>38</v>
      </c>
    </row>
    <row r="237" customFormat="false" ht="15" hidden="false" customHeight="true" outlineLevel="0" collapsed="false">
      <c r="A237" s="21" t="n">
        <v>0</v>
      </c>
      <c r="B237" s="21" t="n">
        <v>47</v>
      </c>
      <c r="C237" s="21" t="n">
        <v>12.23</v>
      </c>
      <c r="D237" s="21" t="n">
        <v>3</v>
      </c>
      <c r="E237" s="21" t="s">
        <v>116</v>
      </c>
      <c r="F237" s="21" t="n">
        <v>0</v>
      </c>
      <c r="G237" s="21" t="n">
        <v>0</v>
      </c>
      <c r="H237" s="21" t="s">
        <v>292</v>
      </c>
      <c r="I237" s="21" t="s">
        <v>38</v>
      </c>
    </row>
    <row r="238" customFormat="false" ht="15" hidden="false" customHeight="true" outlineLevel="0" collapsed="false">
      <c r="A238" s="21" t="n">
        <v>1</v>
      </c>
      <c r="B238" s="21" t="n">
        <v>53</v>
      </c>
      <c r="C238" s="21" t="n">
        <v>6.57</v>
      </c>
      <c r="D238" s="21" t="n">
        <v>3</v>
      </c>
      <c r="E238" s="21" t="s">
        <v>116</v>
      </c>
      <c r="F238" s="21" t="n">
        <v>1</v>
      </c>
      <c r="G238" s="21" t="n">
        <v>1</v>
      </c>
      <c r="H238" s="21" t="s">
        <v>293</v>
      </c>
      <c r="I238" s="21" t="s">
        <v>38</v>
      </c>
    </row>
    <row r="239" customFormat="false" ht="15" hidden="false" customHeight="true" outlineLevel="0" collapsed="false">
      <c r="A239" s="21" t="n">
        <v>0</v>
      </c>
      <c r="B239" s="21" t="n">
        <v>28</v>
      </c>
      <c r="C239" s="21" t="n">
        <v>2.2</v>
      </c>
      <c r="D239" s="21" t="n">
        <v>7</v>
      </c>
      <c r="E239" s="21" t="s">
        <v>116</v>
      </c>
      <c r="F239" s="21" t="n">
        <v>0</v>
      </c>
      <c r="G239" s="21" t="n">
        <v>0</v>
      </c>
      <c r="H239" s="21" t="s">
        <v>294</v>
      </c>
      <c r="I239" s="21" t="s">
        <v>38</v>
      </c>
    </row>
    <row r="240" customFormat="false" ht="15" hidden="false" customHeight="true" outlineLevel="0" collapsed="false">
      <c r="A240" s="21" t="n">
        <v>0</v>
      </c>
      <c r="B240" s="21" t="n">
        <v>32</v>
      </c>
      <c r="C240" s="21" t="n">
        <v>6.6</v>
      </c>
      <c r="D240" s="21" t="n">
        <v>4</v>
      </c>
      <c r="E240" s="21" t="s">
        <v>116</v>
      </c>
      <c r="F240" s="21" t="n">
        <v>1</v>
      </c>
      <c r="G240" s="21" t="n">
        <v>0</v>
      </c>
      <c r="H240" s="21" t="s">
        <v>295</v>
      </c>
      <c r="I240" s="21" t="s">
        <v>38</v>
      </c>
    </row>
    <row r="241" customFormat="false" ht="15" hidden="false" customHeight="true" outlineLevel="0" collapsed="false">
      <c r="A241" s="21" t="n">
        <v>0</v>
      </c>
      <c r="B241" s="21" t="n">
        <v>41</v>
      </c>
      <c r="C241" s="21" t="n">
        <v>11.34</v>
      </c>
      <c r="D241" s="21" t="n">
        <v>6</v>
      </c>
      <c r="E241" s="21" t="s">
        <v>116</v>
      </c>
      <c r="F241" s="21" t="n">
        <v>0</v>
      </c>
      <c r="G241" s="21" t="n">
        <v>0</v>
      </c>
      <c r="H241" s="21" t="s">
        <v>296</v>
      </c>
      <c r="I241" s="21" t="s">
        <v>38</v>
      </c>
    </row>
    <row r="242" customFormat="false" ht="15" hidden="false" customHeight="true" outlineLevel="0" collapsed="false">
      <c r="A242" s="21" t="n">
        <v>1</v>
      </c>
      <c r="B242" s="21" t="n">
        <v>39</v>
      </c>
      <c r="C242" s="21" t="n">
        <v>5.27</v>
      </c>
      <c r="D242" s="21" t="n">
        <v>5</v>
      </c>
      <c r="E242" s="21" t="s">
        <v>116</v>
      </c>
      <c r="F242" s="21" t="n">
        <v>0</v>
      </c>
      <c r="G242" s="21" t="n">
        <v>0</v>
      </c>
      <c r="H242" s="21" t="s">
        <v>297</v>
      </c>
      <c r="I242" s="21" t="s">
        <v>38</v>
      </c>
    </row>
    <row r="243" customFormat="false" ht="15" hidden="false" customHeight="true" outlineLevel="0" collapsed="false">
      <c r="A243" s="21" t="n">
        <v>0</v>
      </c>
      <c r="B243" s="21" t="n">
        <v>44</v>
      </c>
      <c r="C243" s="21" t="n">
        <v>4.8</v>
      </c>
      <c r="D243" s="21" t="n">
        <v>6</v>
      </c>
      <c r="E243" s="21" t="s">
        <v>116</v>
      </c>
      <c r="F243" s="21" t="n">
        <v>0</v>
      </c>
      <c r="G243" s="21" t="n">
        <v>1</v>
      </c>
      <c r="H243" s="21" t="s">
        <v>298</v>
      </c>
      <c r="I243" s="21" t="s">
        <v>38</v>
      </c>
    </row>
    <row r="244" customFormat="false" ht="15" hidden="false" customHeight="true" outlineLevel="0" collapsed="false">
      <c r="A244" s="21" t="n">
        <v>0</v>
      </c>
      <c r="B244" s="21" t="n">
        <v>38</v>
      </c>
      <c r="C244" s="21" t="n">
        <v>9.81</v>
      </c>
      <c r="D244" s="21" t="n">
        <v>5</v>
      </c>
      <c r="E244" s="21" t="s">
        <v>116</v>
      </c>
      <c r="F244" s="21" t="n">
        <v>1</v>
      </c>
      <c r="G244" s="21" t="n">
        <v>1</v>
      </c>
      <c r="H244" s="21" t="s">
        <v>299</v>
      </c>
      <c r="I244" s="21" t="s">
        <v>38</v>
      </c>
    </row>
    <row r="245" customFormat="false" ht="15" hidden="false" customHeight="true" outlineLevel="0" collapsed="false">
      <c r="A245" s="21" t="n">
        <v>0</v>
      </c>
      <c r="B245" s="21" t="n">
        <v>56</v>
      </c>
      <c r="C245" s="21" t="n">
        <v>16.23</v>
      </c>
      <c r="D245" s="21" t="n">
        <v>3</v>
      </c>
      <c r="E245" s="21" t="s">
        <v>116</v>
      </c>
      <c r="F245" s="21" t="n">
        <v>0</v>
      </c>
      <c r="G245" s="21" t="n">
        <v>0</v>
      </c>
      <c r="H245" s="21" t="s">
        <v>300</v>
      </c>
      <c r="I245" s="21" t="s">
        <v>38</v>
      </c>
    </row>
    <row r="246" customFormat="false" ht="15" hidden="false" customHeight="true" outlineLevel="0" collapsed="false">
      <c r="A246" s="21" t="n">
        <v>0</v>
      </c>
      <c r="B246" s="21" t="n">
        <v>36</v>
      </c>
      <c r="C246" s="21" t="n">
        <v>4.05</v>
      </c>
      <c r="D246" s="21" t="n">
        <v>3</v>
      </c>
      <c r="E246" s="21" t="s">
        <v>116</v>
      </c>
      <c r="F246" s="21" t="n">
        <v>0</v>
      </c>
      <c r="G246" s="21" t="n">
        <v>1</v>
      </c>
      <c r="H246" s="21" t="s">
        <v>301</v>
      </c>
      <c r="I246" s="21" t="s">
        <v>38</v>
      </c>
    </row>
    <row r="247" customFormat="false" ht="15" hidden="false" customHeight="true" outlineLevel="0" collapsed="false">
      <c r="A247" s="21" t="n">
        <v>0</v>
      </c>
      <c r="B247" s="21" t="n">
        <v>23</v>
      </c>
      <c r="C247" s="21" t="n">
        <v>13.79</v>
      </c>
      <c r="D247" s="21" t="n">
        <v>3</v>
      </c>
      <c r="E247" s="21" t="s">
        <v>116</v>
      </c>
      <c r="F247" s="21" t="n">
        <v>0</v>
      </c>
      <c r="G247" s="21" t="n">
        <v>0</v>
      </c>
      <c r="H247" s="21" t="s">
        <v>302</v>
      </c>
      <c r="I247" s="21" t="s">
        <v>38</v>
      </c>
    </row>
    <row r="248" customFormat="false" ht="15" hidden="false" customHeight="true" outlineLevel="0" collapsed="false">
      <c r="A248" s="21" t="n">
        <v>0</v>
      </c>
      <c r="B248" s="21" t="n">
        <v>64</v>
      </c>
      <c r="C248" s="21" t="n">
        <v>4.81</v>
      </c>
      <c r="D248" s="21" t="n">
        <v>4</v>
      </c>
      <c r="E248" s="21" t="s">
        <v>116</v>
      </c>
      <c r="F248" s="21" t="n">
        <v>0</v>
      </c>
      <c r="G248" s="21" t="n">
        <v>0</v>
      </c>
      <c r="H248" s="21" t="s">
        <v>303</v>
      </c>
      <c r="I248" s="21" t="s">
        <v>38</v>
      </c>
    </row>
    <row r="249" customFormat="false" ht="15" hidden="false" customHeight="true" outlineLevel="0" collapsed="false">
      <c r="A249" s="21" t="n">
        <v>0</v>
      </c>
      <c r="B249" s="21" t="n">
        <v>57</v>
      </c>
      <c r="C249" s="21" t="n">
        <v>12.73</v>
      </c>
      <c r="D249" s="21" t="n">
        <v>5</v>
      </c>
      <c r="E249" s="21" t="s">
        <v>116</v>
      </c>
      <c r="F249" s="21" t="n">
        <v>1</v>
      </c>
      <c r="G249" s="21" t="n">
        <v>0</v>
      </c>
      <c r="H249" s="21" t="s">
        <v>304</v>
      </c>
      <c r="I249" s="21" t="s">
        <v>38</v>
      </c>
    </row>
    <row r="250" customFormat="false" ht="15" hidden="false" customHeight="true" outlineLevel="0" collapsed="false">
      <c r="A250" s="21" t="n">
        <v>1</v>
      </c>
      <c r="B250" s="21" t="n">
        <v>51</v>
      </c>
      <c r="C250" s="21" t="n">
        <v>11.83</v>
      </c>
      <c r="D250" s="21" t="n">
        <v>5</v>
      </c>
      <c r="E250" s="21" t="s">
        <v>116</v>
      </c>
      <c r="F250" s="21" t="n">
        <v>1</v>
      </c>
      <c r="G250" s="21" t="n">
        <v>1</v>
      </c>
      <c r="H250" s="21" t="s">
        <v>305</v>
      </c>
      <c r="I250" s="21" t="s">
        <v>38</v>
      </c>
    </row>
    <row r="251" customFormat="false" ht="15" hidden="false" customHeight="true" outlineLevel="0" collapsed="false">
      <c r="A251" s="21" t="n">
        <v>0</v>
      </c>
      <c r="B251" s="21" t="n">
        <v>39</v>
      </c>
      <c r="C251" s="21" t="n">
        <v>8.71</v>
      </c>
      <c r="D251" s="21" t="n">
        <v>5</v>
      </c>
      <c r="E251" s="21" t="s">
        <v>116</v>
      </c>
      <c r="F251" s="21" t="n">
        <v>1</v>
      </c>
      <c r="G251" s="21" t="n">
        <v>0</v>
      </c>
      <c r="H251" s="21" t="s">
        <v>306</v>
      </c>
      <c r="I251" s="21" t="s">
        <v>38</v>
      </c>
    </row>
    <row r="252" customFormat="false" ht="15" hidden="false" customHeight="true" outlineLevel="0" collapsed="false">
      <c r="A252" s="21" t="n">
        <v>1</v>
      </c>
      <c r="B252" s="21" t="n">
        <v>45</v>
      </c>
      <c r="C252" s="21" t="n">
        <v>8.11</v>
      </c>
      <c r="D252" s="21" t="n">
        <v>4</v>
      </c>
      <c r="E252" s="21" t="s">
        <v>116</v>
      </c>
      <c r="F252" s="21" t="n">
        <v>0</v>
      </c>
      <c r="G252" s="21" t="n">
        <v>0</v>
      </c>
      <c r="H252" s="21" t="s">
        <v>307</v>
      </c>
      <c r="I252" s="21" t="s">
        <v>38</v>
      </c>
    </row>
    <row r="253" customFormat="false" ht="15" hidden="false" customHeight="true" outlineLevel="0" collapsed="false">
      <c r="A253" s="21" t="n">
        <v>0</v>
      </c>
      <c r="B253" s="21" t="n">
        <v>36</v>
      </c>
      <c r="C253" s="21" t="n">
        <v>9.6</v>
      </c>
      <c r="D253" s="21" t="n">
        <v>4</v>
      </c>
      <c r="E253" s="21" t="s">
        <v>116</v>
      </c>
      <c r="F253" s="21" t="n">
        <v>0</v>
      </c>
      <c r="G253" s="21" t="n">
        <v>0</v>
      </c>
      <c r="H253" s="21" t="s">
        <v>308</v>
      </c>
      <c r="I253" s="21" t="s">
        <v>38</v>
      </c>
    </row>
    <row r="254" customFormat="false" ht="15" hidden="false" customHeight="true" outlineLevel="0" collapsed="false">
      <c r="A254" s="21" t="n">
        <v>0</v>
      </c>
      <c r="B254" s="21" t="n">
        <v>34</v>
      </c>
      <c r="C254" s="21" t="n">
        <v>11.97</v>
      </c>
      <c r="D254" s="21" t="n">
        <v>2</v>
      </c>
      <c r="E254" s="21" t="s">
        <v>116</v>
      </c>
      <c r="F254" s="21" t="n">
        <v>1</v>
      </c>
      <c r="G254" s="21" t="n">
        <v>0</v>
      </c>
      <c r="H254" s="21" t="s">
        <v>309</v>
      </c>
      <c r="I254" s="21" t="s">
        <v>38</v>
      </c>
    </row>
    <row r="255" customFormat="false" ht="15" hidden="false" customHeight="true" outlineLevel="0" collapsed="false">
      <c r="A255" s="21" t="n">
        <v>1</v>
      </c>
      <c r="B255" s="21" t="n">
        <v>52</v>
      </c>
      <c r="C255" s="21" t="n">
        <v>8.98</v>
      </c>
      <c r="D255" s="21" t="n">
        <v>2</v>
      </c>
      <c r="E255" s="21" t="s">
        <v>116</v>
      </c>
      <c r="F255" s="21" t="n">
        <v>1</v>
      </c>
      <c r="G255" s="21" t="n">
        <v>1</v>
      </c>
      <c r="H255" s="21" t="s">
        <v>310</v>
      </c>
      <c r="I255" s="21" t="s">
        <v>38</v>
      </c>
    </row>
    <row r="256" customFormat="false" ht="15" hidden="false" customHeight="true" outlineLevel="0" collapsed="false">
      <c r="A256" s="21" t="n">
        <v>0</v>
      </c>
      <c r="B256" s="21" t="n">
        <v>47</v>
      </c>
      <c r="C256" s="21" t="n">
        <v>11.39</v>
      </c>
      <c r="D256" s="21" t="n">
        <v>2</v>
      </c>
      <c r="E256" s="21" t="s">
        <v>116</v>
      </c>
      <c r="F256" s="21" t="n">
        <v>0</v>
      </c>
      <c r="G256" s="21" t="n">
        <v>1</v>
      </c>
      <c r="H256" s="21" t="s">
        <v>311</v>
      </c>
      <c r="I256" s="21" t="s">
        <v>38</v>
      </c>
    </row>
    <row r="257" customFormat="false" ht="15" hidden="false" customHeight="true" outlineLevel="0" collapsed="false">
      <c r="A257" s="21" t="n">
        <v>0</v>
      </c>
      <c r="B257" s="21" t="n">
        <v>44</v>
      </c>
      <c r="C257" s="21" t="n">
        <v>12.34</v>
      </c>
      <c r="D257" s="21" t="n">
        <v>4</v>
      </c>
      <c r="E257" s="21" t="s">
        <v>116</v>
      </c>
      <c r="F257" s="21" t="n">
        <v>0</v>
      </c>
      <c r="G257" s="21" t="n">
        <v>1</v>
      </c>
      <c r="H257" s="21" t="s">
        <v>312</v>
      </c>
      <c r="I257" s="21" t="s">
        <v>38</v>
      </c>
    </row>
    <row r="258" customFormat="false" ht="15" hidden="false" customHeight="true" outlineLevel="0" collapsed="false">
      <c r="A258" s="21" t="n">
        <v>0</v>
      </c>
      <c r="B258" s="21" t="n">
        <v>54</v>
      </c>
      <c r="C258" s="21" t="n">
        <v>10.4</v>
      </c>
      <c r="D258" s="21" t="n">
        <v>5</v>
      </c>
      <c r="E258" s="21" t="s">
        <v>116</v>
      </c>
      <c r="F258" s="21" t="n">
        <v>0</v>
      </c>
      <c r="G258" s="21" t="n">
        <v>0</v>
      </c>
      <c r="H258" s="21" t="s">
        <v>313</v>
      </c>
      <c r="I258" s="21" t="s">
        <v>38</v>
      </c>
    </row>
    <row r="259" customFormat="false" ht="15" hidden="false" customHeight="true" outlineLevel="0" collapsed="false">
      <c r="A259" s="21" t="n">
        <v>0</v>
      </c>
      <c r="B259" s="21" t="n">
        <v>44</v>
      </c>
      <c r="C259" s="21" t="n">
        <v>9.65</v>
      </c>
      <c r="D259" s="21" t="n">
        <v>2</v>
      </c>
      <c r="E259" s="21" t="s">
        <v>116</v>
      </c>
      <c r="F259" s="21" t="n">
        <v>0</v>
      </c>
      <c r="G259" s="21" t="n">
        <v>0</v>
      </c>
      <c r="H259" s="21" t="s">
        <v>314</v>
      </c>
      <c r="I259" s="21" t="s">
        <v>38</v>
      </c>
    </row>
    <row r="260" customFormat="false" ht="15" hidden="false" customHeight="true" outlineLevel="0" collapsed="false">
      <c r="A260" s="21" t="n">
        <v>0</v>
      </c>
      <c r="B260" s="21" t="n">
        <v>33</v>
      </c>
      <c r="C260" s="21" t="n">
        <v>9.12</v>
      </c>
      <c r="D260" s="21" t="n">
        <v>5</v>
      </c>
      <c r="E260" s="21" t="s">
        <v>116</v>
      </c>
      <c r="F260" s="21" t="n">
        <v>1</v>
      </c>
      <c r="G260" s="21" t="n">
        <v>0</v>
      </c>
      <c r="H260" s="21" t="s">
        <v>315</v>
      </c>
      <c r="I260" s="21" t="s">
        <v>38</v>
      </c>
    </row>
    <row r="261" customFormat="false" ht="15" hidden="false" customHeight="true" outlineLevel="0" collapsed="false">
      <c r="A261" s="21" t="n">
        <v>0</v>
      </c>
      <c r="B261" s="21" t="n">
        <v>31</v>
      </c>
      <c r="C261" s="21" t="n">
        <v>6.51</v>
      </c>
      <c r="D261" s="21" t="n">
        <v>4</v>
      </c>
      <c r="E261" s="21" t="s">
        <v>116</v>
      </c>
      <c r="F261" s="21" t="n">
        <v>0</v>
      </c>
      <c r="G261" s="21" t="n">
        <v>0</v>
      </c>
      <c r="H261" s="21" t="s">
        <v>316</v>
      </c>
      <c r="I261" s="21" t="s">
        <v>38</v>
      </c>
    </row>
    <row r="262" customFormat="false" ht="15" hidden="false" customHeight="true" outlineLevel="0" collapsed="false">
      <c r="A262" s="21" t="n">
        <v>0</v>
      </c>
      <c r="B262" s="21" t="n">
        <v>39</v>
      </c>
      <c r="C262" s="21" t="n">
        <v>7.68</v>
      </c>
      <c r="D262" s="21" t="n">
        <v>1</v>
      </c>
      <c r="E262" s="21" t="s">
        <v>116</v>
      </c>
      <c r="F262" s="21" t="n">
        <v>0</v>
      </c>
      <c r="G262" s="21" t="n">
        <v>1</v>
      </c>
      <c r="H262" s="21" t="s">
        <v>317</v>
      </c>
      <c r="I262" s="21" t="s">
        <v>38</v>
      </c>
    </row>
    <row r="263" customFormat="false" ht="15" hidden="false" customHeight="true" outlineLevel="0" collapsed="false">
      <c r="A263" s="21" t="n">
        <v>0</v>
      </c>
      <c r="B263" s="21" t="n">
        <v>55</v>
      </c>
      <c r="C263" s="21" t="n">
        <v>7.06</v>
      </c>
      <c r="D263" s="21" t="n">
        <v>4</v>
      </c>
      <c r="E263" s="21" t="s">
        <v>116</v>
      </c>
      <c r="F263" s="21" t="n">
        <v>0</v>
      </c>
      <c r="G263" s="21" t="n">
        <v>0</v>
      </c>
      <c r="H263" s="21" t="s">
        <v>318</v>
      </c>
      <c r="I263" s="21" t="s">
        <v>38</v>
      </c>
    </row>
    <row r="264" customFormat="false" ht="15" hidden="false" customHeight="true" outlineLevel="0" collapsed="false">
      <c r="A264" s="21" t="n">
        <v>0</v>
      </c>
      <c r="B264" s="21" t="n">
        <v>45</v>
      </c>
      <c r="C264" s="21" t="n">
        <v>15.45</v>
      </c>
      <c r="D264" s="21" t="n">
        <v>5</v>
      </c>
      <c r="E264" s="21" t="s">
        <v>116</v>
      </c>
      <c r="F264" s="21" t="n">
        <v>0</v>
      </c>
      <c r="G264" s="21" t="n">
        <v>0</v>
      </c>
      <c r="H264" s="21" t="s">
        <v>319</v>
      </c>
      <c r="I264" s="21" t="s">
        <v>38</v>
      </c>
    </row>
    <row r="265" customFormat="false" ht="15" hidden="false" customHeight="true" outlineLevel="0" collapsed="false">
      <c r="A265" s="21" t="n">
        <v>0</v>
      </c>
      <c r="B265" s="21" t="n">
        <v>44</v>
      </c>
      <c r="C265" s="21" t="n">
        <v>10.21</v>
      </c>
      <c r="D265" s="21" t="n">
        <v>2</v>
      </c>
      <c r="E265" s="21" t="s">
        <v>116</v>
      </c>
      <c r="F265" s="21" t="n">
        <v>0</v>
      </c>
      <c r="G265" s="21" t="n">
        <v>1</v>
      </c>
      <c r="H265" s="21" t="s">
        <v>320</v>
      </c>
      <c r="I265" s="21" t="s">
        <v>38</v>
      </c>
    </row>
    <row r="266" customFormat="false" ht="15" hidden="false" customHeight="true" outlineLevel="0" collapsed="false">
      <c r="A266" s="21" t="n">
        <v>0</v>
      </c>
      <c r="B266" s="21" t="n">
        <v>49</v>
      </c>
      <c r="C266" s="21" t="n">
        <v>8.3</v>
      </c>
      <c r="D266" s="21" t="n">
        <v>5</v>
      </c>
      <c r="E266" s="21" t="s">
        <v>116</v>
      </c>
      <c r="F266" s="21" t="n">
        <v>0</v>
      </c>
      <c r="G266" s="21" t="n">
        <v>0</v>
      </c>
      <c r="H266" s="21" t="s">
        <v>321</v>
      </c>
      <c r="I266" s="21" t="s">
        <v>38</v>
      </c>
    </row>
    <row r="267" customFormat="false" ht="15" hidden="false" customHeight="true" outlineLevel="0" collapsed="false">
      <c r="A267" s="21" t="n">
        <v>0</v>
      </c>
      <c r="B267" s="21" t="n">
        <v>44</v>
      </c>
      <c r="C267" s="21" t="n">
        <v>8.1</v>
      </c>
      <c r="D267" s="21" t="n">
        <v>4</v>
      </c>
      <c r="E267" s="21" t="s">
        <v>116</v>
      </c>
      <c r="F267" s="21" t="n">
        <v>0</v>
      </c>
      <c r="G267" s="21" t="n">
        <v>1</v>
      </c>
      <c r="H267" s="21" t="s">
        <v>322</v>
      </c>
      <c r="I267" s="21" t="s">
        <v>38</v>
      </c>
    </row>
    <row r="268" customFormat="false" ht="15" hidden="false" customHeight="true" outlineLevel="0" collapsed="false">
      <c r="A268" s="21" t="n">
        <v>1</v>
      </c>
      <c r="B268" s="21" t="n">
        <v>70</v>
      </c>
      <c r="C268" s="21" t="n">
        <v>3.51</v>
      </c>
      <c r="D268" s="21" t="n">
        <v>4</v>
      </c>
      <c r="E268" s="21" t="s">
        <v>116</v>
      </c>
      <c r="F268" s="21" t="n">
        <v>1</v>
      </c>
      <c r="G268" s="21" t="n">
        <v>0</v>
      </c>
      <c r="H268" s="21" t="s">
        <v>323</v>
      </c>
      <c r="I268" s="21" t="s">
        <v>38</v>
      </c>
    </row>
    <row r="269" customFormat="false" ht="15" hidden="false" customHeight="true" outlineLevel="0" collapsed="false">
      <c r="A269" s="21" t="n">
        <v>0</v>
      </c>
      <c r="B269" s="21" t="n">
        <v>44</v>
      </c>
      <c r="C269" s="21" t="n">
        <v>5.65</v>
      </c>
      <c r="D269" s="21" t="n">
        <v>6</v>
      </c>
      <c r="E269" s="21" t="s">
        <v>116</v>
      </c>
      <c r="F269" s="21" t="n">
        <v>0</v>
      </c>
      <c r="G269" s="21" t="n">
        <v>0</v>
      </c>
      <c r="H269" s="21" t="s">
        <v>324</v>
      </c>
      <c r="I269" s="21" t="s">
        <v>38</v>
      </c>
    </row>
    <row r="270" customFormat="false" ht="15" hidden="false" customHeight="true" outlineLevel="0" collapsed="false">
      <c r="A270" s="21" t="n">
        <v>0</v>
      </c>
      <c r="B270" s="21" t="n">
        <v>34</v>
      </c>
      <c r="C270" s="21" t="n">
        <v>10.66</v>
      </c>
      <c r="D270" s="21" t="n">
        <v>4</v>
      </c>
      <c r="E270" s="21" t="s">
        <v>116</v>
      </c>
      <c r="F270" s="21" t="n">
        <v>1</v>
      </c>
      <c r="G270" s="21" t="n">
        <v>0</v>
      </c>
      <c r="H270" s="21" t="s">
        <v>325</v>
      </c>
      <c r="I270" s="21" t="s">
        <v>38</v>
      </c>
    </row>
    <row r="271" customFormat="false" ht="15" hidden="false" customHeight="true" outlineLevel="0" collapsed="false">
      <c r="A271" s="21" t="n">
        <v>0</v>
      </c>
      <c r="B271" s="21" t="n">
        <v>49</v>
      </c>
      <c r="C271" s="21" t="n">
        <v>9.64</v>
      </c>
      <c r="D271" s="21" t="n">
        <v>2</v>
      </c>
      <c r="E271" s="21" t="s">
        <v>116</v>
      </c>
      <c r="F271" s="21" t="n">
        <v>0</v>
      </c>
      <c r="G271" s="21" t="n">
        <v>0</v>
      </c>
      <c r="H271" s="21" t="s">
        <v>326</v>
      </c>
      <c r="I271" s="21" t="s">
        <v>38</v>
      </c>
    </row>
    <row r="272" customFormat="false" ht="15" hidden="false" customHeight="true" outlineLevel="0" collapsed="false">
      <c r="A272" s="21" t="n">
        <v>1</v>
      </c>
      <c r="B272" s="21" t="n">
        <v>50</v>
      </c>
      <c r="C272" s="21" t="n">
        <v>6.91</v>
      </c>
      <c r="D272" s="21" t="n">
        <v>4</v>
      </c>
      <c r="E272" s="21" t="s">
        <v>116</v>
      </c>
      <c r="F272" s="21" t="n">
        <v>0</v>
      </c>
      <c r="G272" s="21" t="n">
        <v>0</v>
      </c>
      <c r="H272" s="21" t="s">
        <v>327</v>
      </c>
      <c r="I272" s="21" t="s">
        <v>38</v>
      </c>
    </row>
    <row r="273" customFormat="false" ht="15" hidden="false" customHeight="true" outlineLevel="0" collapsed="false">
      <c r="A273" s="21" t="n">
        <v>0</v>
      </c>
      <c r="B273" s="21" t="n">
        <v>47</v>
      </c>
      <c r="C273" s="21" t="n">
        <v>7.48</v>
      </c>
      <c r="D273" s="21" t="n">
        <v>5</v>
      </c>
      <c r="E273" s="21" t="s">
        <v>116</v>
      </c>
      <c r="F273" s="21" t="n">
        <v>0</v>
      </c>
      <c r="G273" s="21" t="n">
        <v>1</v>
      </c>
      <c r="H273" s="21" t="s">
        <v>328</v>
      </c>
      <c r="I273" s="21" t="s">
        <v>38</v>
      </c>
    </row>
    <row r="274" customFormat="false" ht="15" hidden="false" customHeight="true" outlineLevel="0" collapsed="false">
      <c r="A274" s="21" t="n">
        <v>0</v>
      </c>
      <c r="B274" s="21" t="n">
        <v>46</v>
      </c>
      <c r="C274" s="21" t="n">
        <v>5.45</v>
      </c>
      <c r="D274" s="21" t="n">
        <v>3</v>
      </c>
      <c r="E274" s="21" t="s">
        <v>116</v>
      </c>
      <c r="F274" s="21" t="n">
        <v>1</v>
      </c>
      <c r="G274" s="21" t="n">
        <v>1</v>
      </c>
      <c r="H274" s="21" t="s">
        <v>329</v>
      </c>
      <c r="I274" s="21" t="s">
        <v>38</v>
      </c>
    </row>
    <row r="275" customFormat="false" ht="15" hidden="false" customHeight="true" outlineLevel="0" collapsed="false">
      <c r="A275" s="21" t="n">
        <v>0</v>
      </c>
      <c r="B275" s="21" t="n">
        <v>31</v>
      </c>
      <c r="C275" s="21" t="n">
        <v>11.61</v>
      </c>
      <c r="D275" s="21" t="n">
        <v>4</v>
      </c>
      <c r="E275" s="21" t="s">
        <v>116</v>
      </c>
      <c r="F275" s="21" t="n">
        <v>1</v>
      </c>
      <c r="G275" s="21" t="n">
        <v>1</v>
      </c>
      <c r="H275" s="21" t="s">
        <v>330</v>
      </c>
      <c r="I275" s="21" t="s">
        <v>38</v>
      </c>
    </row>
    <row r="276" customFormat="false" ht="15" hidden="false" customHeight="true" outlineLevel="0" collapsed="false">
      <c r="A276" s="21" t="n">
        <v>0</v>
      </c>
      <c r="B276" s="21" t="n">
        <v>36</v>
      </c>
      <c r="C276" s="21" t="n">
        <v>8</v>
      </c>
      <c r="D276" s="21" t="n">
        <v>6</v>
      </c>
      <c r="E276" s="21" t="s">
        <v>116</v>
      </c>
      <c r="F276" s="21" t="n">
        <v>0</v>
      </c>
      <c r="G276" s="21" t="n">
        <v>1</v>
      </c>
      <c r="H276" s="21" t="s">
        <v>331</v>
      </c>
      <c r="I276" s="21" t="s">
        <v>38</v>
      </c>
    </row>
    <row r="277" customFormat="false" ht="15" hidden="false" customHeight="true" outlineLevel="0" collapsed="false">
      <c r="A277" s="21" t="n">
        <v>0</v>
      </c>
      <c r="B277" s="21" t="n">
        <v>39</v>
      </c>
      <c r="C277" s="21" t="n">
        <v>11.06</v>
      </c>
      <c r="D277" s="21" t="n">
        <v>2</v>
      </c>
      <c r="E277" s="21" t="s">
        <v>116</v>
      </c>
      <c r="F277" s="21" t="n">
        <v>1</v>
      </c>
      <c r="G277" s="21" t="n">
        <v>0</v>
      </c>
      <c r="H277" s="21" t="s">
        <v>332</v>
      </c>
      <c r="I277" s="21" t="s">
        <v>38</v>
      </c>
    </row>
    <row r="278" customFormat="false" ht="15" hidden="false" customHeight="true" outlineLevel="0" collapsed="false">
      <c r="A278" s="21" t="n">
        <v>0</v>
      </c>
      <c r="B278" s="21" t="n">
        <v>46</v>
      </c>
      <c r="C278" s="21" t="n">
        <v>7.57</v>
      </c>
      <c r="D278" s="21" t="n">
        <v>6</v>
      </c>
      <c r="E278" s="21" t="s">
        <v>116</v>
      </c>
      <c r="F278" s="21" t="n">
        <v>1</v>
      </c>
      <c r="G278" s="21" t="n">
        <v>0</v>
      </c>
      <c r="H278" s="21" t="s">
        <v>333</v>
      </c>
      <c r="I278" s="21" t="s">
        <v>38</v>
      </c>
    </row>
    <row r="279" customFormat="false" ht="15" hidden="false" customHeight="true" outlineLevel="0" collapsed="false">
      <c r="A279" s="21" t="n">
        <v>0</v>
      </c>
      <c r="B279" s="21" t="n">
        <v>32</v>
      </c>
      <c r="C279" s="21" t="n">
        <v>14.96</v>
      </c>
      <c r="D279" s="21" t="n">
        <v>2</v>
      </c>
      <c r="E279" s="21" t="s">
        <v>116</v>
      </c>
      <c r="F279" s="21" t="n">
        <v>1</v>
      </c>
      <c r="G279" s="21" t="n">
        <v>1</v>
      </c>
      <c r="H279" s="21" t="s">
        <v>334</v>
      </c>
      <c r="I279" s="21" t="s">
        <v>38</v>
      </c>
    </row>
    <row r="280" customFormat="false" ht="15" hidden="false" customHeight="true" outlineLevel="0" collapsed="false">
      <c r="A280" s="21" t="n">
        <v>0</v>
      </c>
      <c r="B280" s="21" t="n">
        <v>57</v>
      </c>
      <c r="C280" s="21" t="n">
        <v>10.63</v>
      </c>
      <c r="D280" s="21" t="n">
        <v>4</v>
      </c>
      <c r="E280" s="21" t="s">
        <v>116</v>
      </c>
      <c r="F280" s="21" t="n">
        <v>1</v>
      </c>
      <c r="G280" s="21" t="n">
        <v>0</v>
      </c>
      <c r="H280" s="21" t="s">
        <v>335</v>
      </c>
      <c r="I280" s="21" t="s">
        <v>38</v>
      </c>
    </row>
    <row r="281" customFormat="false" ht="15" hidden="false" customHeight="true" outlineLevel="0" collapsed="false">
      <c r="A281" s="21" t="n">
        <v>0</v>
      </c>
      <c r="B281" s="21" t="n">
        <v>42</v>
      </c>
      <c r="C281" s="21" t="n">
        <v>11.58</v>
      </c>
      <c r="D281" s="21" t="n">
        <v>5</v>
      </c>
      <c r="E281" s="21" t="s">
        <v>116</v>
      </c>
      <c r="F281" s="21" t="n">
        <v>1</v>
      </c>
      <c r="G281" s="21" t="n">
        <v>0</v>
      </c>
      <c r="H281" s="21" t="s">
        <v>336</v>
      </c>
      <c r="I281" s="21" t="s">
        <v>38</v>
      </c>
    </row>
    <row r="282" customFormat="false" ht="15" hidden="false" customHeight="true" outlineLevel="0" collapsed="false">
      <c r="A282" s="21" t="n">
        <v>0</v>
      </c>
      <c r="B282" s="21" t="n">
        <v>46</v>
      </c>
      <c r="C282" s="21" t="n">
        <v>12.25</v>
      </c>
      <c r="D282" s="21" t="n">
        <v>5</v>
      </c>
      <c r="E282" s="21" t="s">
        <v>116</v>
      </c>
      <c r="F282" s="21" t="n">
        <v>1</v>
      </c>
      <c r="G282" s="21" t="n">
        <v>1</v>
      </c>
      <c r="H282" s="21" t="s">
        <v>337</v>
      </c>
      <c r="I282" s="21" t="s">
        <v>38</v>
      </c>
    </row>
    <row r="283" customFormat="false" ht="15" hidden="false" customHeight="true" outlineLevel="0" collapsed="false">
      <c r="A283" s="21" t="n">
        <v>1</v>
      </c>
      <c r="B283" s="21" t="n">
        <v>40</v>
      </c>
      <c r="C283" s="21" t="n">
        <v>10.41</v>
      </c>
      <c r="D283" s="21" t="n">
        <v>5</v>
      </c>
      <c r="E283" s="21" t="s">
        <v>116</v>
      </c>
      <c r="F283" s="21" t="n">
        <v>0</v>
      </c>
      <c r="G283" s="21" t="n">
        <v>0</v>
      </c>
      <c r="H283" s="21" t="s">
        <v>338</v>
      </c>
      <c r="I283" s="21" t="s">
        <v>38</v>
      </c>
    </row>
    <row r="284" customFormat="false" ht="15" hidden="false" customHeight="true" outlineLevel="0" collapsed="false">
      <c r="A284" s="21" t="n">
        <v>1</v>
      </c>
      <c r="B284" s="21" t="n">
        <v>37</v>
      </c>
      <c r="C284" s="21" t="n">
        <v>8.82</v>
      </c>
      <c r="D284" s="21" t="n">
        <v>4</v>
      </c>
      <c r="E284" s="21" t="s">
        <v>116</v>
      </c>
      <c r="F284" s="21" t="n">
        <v>0</v>
      </c>
      <c r="G284" s="21" t="n">
        <v>1</v>
      </c>
      <c r="H284" s="21" t="s">
        <v>339</v>
      </c>
      <c r="I284" s="21" t="s">
        <v>38</v>
      </c>
    </row>
    <row r="285" customFormat="false" ht="15" hidden="false" customHeight="true" outlineLevel="0" collapsed="false">
      <c r="A285" s="21" t="n">
        <v>0</v>
      </c>
      <c r="B285" s="21" t="n">
        <v>34</v>
      </c>
      <c r="C285" s="21" t="n">
        <v>8.45</v>
      </c>
      <c r="D285" s="21" t="n">
        <v>5</v>
      </c>
      <c r="E285" s="21" t="s">
        <v>116</v>
      </c>
      <c r="F285" s="21" t="n">
        <v>1</v>
      </c>
      <c r="G285" s="21" t="n">
        <v>0</v>
      </c>
      <c r="H285" s="21" t="s">
        <v>340</v>
      </c>
      <c r="I285" s="21" t="s">
        <v>38</v>
      </c>
    </row>
    <row r="286" customFormat="false" ht="15" hidden="false" customHeight="true" outlineLevel="0" collapsed="false">
      <c r="A286" s="21" t="n">
        <v>0</v>
      </c>
      <c r="B286" s="21" t="n">
        <v>46</v>
      </c>
      <c r="C286" s="21" t="n">
        <v>10.17</v>
      </c>
      <c r="D286" s="21" t="n">
        <v>6</v>
      </c>
      <c r="E286" s="21" t="s">
        <v>116</v>
      </c>
      <c r="F286" s="21" t="n">
        <v>0</v>
      </c>
      <c r="G286" s="21" t="n">
        <v>1</v>
      </c>
      <c r="H286" s="21" t="s">
        <v>341</v>
      </c>
      <c r="I286" s="21" t="s">
        <v>38</v>
      </c>
    </row>
    <row r="287" customFormat="false" ht="15" hidden="false" customHeight="true" outlineLevel="0" collapsed="false">
      <c r="A287" s="21" t="n">
        <v>0</v>
      </c>
      <c r="B287" s="21" t="n">
        <v>32</v>
      </c>
      <c r="C287" s="21" t="n">
        <v>6.58</v>
      </c>
      <c r="D287" s="21" t="n">
        <v>1</v>
      </c>
      <c r="E287" s="21" t="s">
        <v>116</v>
      </c>
      <c r="F287" s="21" t="n">
        <v>0</v>
      </c>
      <c r="G287" s="21" t="n">
        <v>0</v>
      </c>
      <c r="H287" s="21" t="s">
        <v>342</v>
      </c>
      <c r="I287" s="21" t="s">
        <v>38</v>
      </c>
    </row>
    <row r="288" customFormat="false" ht="15" hidden="false" customHeight="true" outlineLevel="0" collapsed="false">
      <c r="A288" s="21" t="n">
        <v>0</v>
      </c>
      <c r="B288" s="21" t="n">
        <v>35</v>
      </c>
      <c r="C288" s="21" t="n">
        <v>9.39</v>
      </c>
      <c r="D288" s="21" t="n">
        <v>4</v>
      </c>
      <c r="E288" s="21" t="s">
        <v>116</v>
      </c>
      <c r="F288" s="21" t="n">
        <v>0</v>
      </c>
      <c r="G288" s="21" t="n">
        <v>1</v>
      </c>
      <c r="H288" s="21" t="s">
        <v>343</v>
      </c>
      <c r="I288" s="21" t="s">
        <v>38</v>
      </c>
    </row>
    <row r="289" customFormat="false" ht="15" hidden="false" customHeight="true" outlineLevel="0" collapsed="false">
      <c r="A289" s="21" t="n">
        <v>0</v>
      </c>
      <c r="B289" s="21" t="n">
        <v>28</v>
      </c>
      <c r="C289" s="21" t="n">
        <v>9.4</v>
      </c>
      <c r="D289" s="21" t="n">
        <v>5</v>
      </c>
      <c r="E289" s="21" t="s">
        <v>116</v>
      </c>
      <c r="F289" s="21" t="n">
        <v>0</v>
      </c>
      <c r="G289" s="21" t="n">
        <v>0</v>
      </c>
      <c r="H289" s="21" t="s">
        <v>344</v>
      </c>
      <c r="I289" s="21" t="s">
        <v>38</v>
      </c>
    </row>
    <row r="290" customFormat="false" ht="15" hidden="false" customHeight="true" outlineLevel="0" collapsed="false">
      <c r="A290" s="21" t="n">
        <v>0</v>
      </c>
      <c r="B290" s="21" t="n">
        <v>44</v>
      </c>
      <c r="C290" s="21" t="n">
        <v>5.96</v>
      </c>
      <c r="D290" s="21" t="n">
        <v>4</v>
      </c>
      <c r="E290" s="21" t="s">
        <v>116</v>
      </c>
      <c r="F290" s="21" t="n">
        <v>0</v>
      </c>
      <c r="G290" s="21" t="n">
        <v>0</v>
      </c>
      <c r="H290" s="21" t="s">
        <v>345</v>
      </c>
      <c r="I290" s="21" t="s">
        <v>38</v>
      </c>
    </row>
    <row r="291" customFormat="false" ht="15" hidden="false" customHeight="true" outlineLevel="0" collapsed="false">
      <c r="A291" s="21" t="n">
        <v>0</v>
      </c>
      <c r="B291" s="21" t="n">
        <v>50</v>
      </c>
      <c r="C291" s="21" t="n">
        <v>9.4</v>
      </c>
      <c r="D291" s="21" t="n">
        <v>6</v>
      </c>
      <c r="E291" s="21" t="s">
        <v>116</v>
      </c>
      <c r="F291" s="21" t="n">
        <v>1</v>
      </c>
      <c r="G291" s="21" t="n">
        <v>0</v>
      </c>
      <c r="H291" s="21" t="s">
        <v>346</v>
      </c>
      <c r="I291" s="21" t="s">
        <v>38</v>
      </c>
    </row>
    <row r="292" customFormat="false" ht="15" hidden="false" customHeight="true" outlineLevel="0" collapsed="false">
      <c r="A292" s="21" t="n">
        <v>0</v>
      </c>
      <c r="B292" s="21" t="n">
        <v>45</v>
      </c>
      <c r="C292" s="21" t="n">
        <v>12.58</v>
      </c>
      <c r="D292" s="21" t="n">
        <v>4</v>
      </c>
      <c r="E292" s="21" t="s">
        <v>116</v>
      </c>
      <c r="F292" s="21" t="n">
        <v>0</v>
      </c>
      <c r="G292" s="21" t="n">
        <v>0</v>
      </c>
      <c r="H292" s="21" t="s">
        <v>347</v>
      </c>
      <c r="I292" s="21" t="s">
        <v>38</v>
      </c>
    </row>
    <row r="293" customFormat="false" ht="15" hidden="false" customHeight="true" outlineLevel="0" collapsed="false">
      <c r="A293" s="21" t="n">
        <v>0</v>
      </c>
      <c r="B293" s="21" t="n">
        <v>37</v>
      </c>
      <c r="C293" s="21" t="n">
        <v>10.36</v>
      </c>
      <c r="D293" s="21" t="n">
        <v>2</v>
      </c>
      <c r="E293" s="21" t="s">
        <v>116</v>
      </c>
      <c r="F293" s="21" t="n">
        <v>0</v>
      </c>
      <c r="G293" s="21" t="n">
        <v>0</v>
      </c>
      <c r="H293" s="21" t="s">
        <v>348</v>
      </c>
      <c r="I293" s="21" t="s">
        <v>38</v>
      </c>
    </row>
    <row r="294" customFormat="false" ht="15" hidden="false" customHeight="true" outlineLevel="0" collapsed="false">
      <c r="A294" s="21" t="n">
        <v>0</v>
      </c>
      <c r="B294" s="21" t="n">
        <v>52</v>
      </c>
      <c r="C294" s="21" t="n">
        <v>3.3</v>
      </c>
      <c r="D294" s="21" t="n">
        <v>7</v>
      </c>
      <c r="E294" s="21" t="s">
        <v>116</v>
      </c>
      <c r="F294" s="21" t="n">
        <v>0</v>
      </c>
      <c r="G294" s="21" t="n">
        <v>0</v>
      </c>
      <c r="H294" s="21" t="s">
        <v>349</v>
      </c>
      <c r="I294" s="21" t="s">
        <v>38</v>
      </c>
    </row>
    <row r="295" customFormat="false" ht="15" hidden="false" customHeight="true" outlineLevel="0" collapsed="false">
      <c r="A295" s="21" t="n">
        <v>0</v>
      </c>
      <c r="B295" s="21" t="n">
        <v>44</v>
      </c>
      <c r="C295" s="21" t="n">
        <v>13.14</v>
      </c>
      <c r="D295" s="21" t="n">
        <v>4</v>
      </c>
      <c r="E295" s="21" t="s">
        <v>116</v>
      </c>
      <c r="F295" s="21" t="n">
        <v>1</v>
      </c>
      <c r="G295" s="21" t="n">
        <v>0</v>
      </c>
      <c r="H295" s="21" t="s">
        <v>350</v>
      </c>
      <c r="I295" s="21" t="s">
        <v>38</v>
      </c>
    </row>
    <row r="296" customFormat="false" ht="15" hidden="false" customHeight="true" outlineLevel="0" collapsed="false">
      <c r="A296" s="21" t="n">
        <v>0</v>
      </c>
      <c r="B296" s="21" t="n">
        <v>49</v>
      </c>
      <c r="C296" s="21" t="n">
        <v>10.51</v>
      </c>
      <c r="D296" s="21" t="n">
        <v>5</v>
      </c>
      <c r="E296" s="21" t="s">
        <v>116</v>
      </c>
      <c r="F296" s="21" t="n">
        <v>0</v>
      </c>
      <c r="G296" s="21" t="n">
        <v>0</v>
      </c>
      <c r="H296" s="21" t="s">
        <v>351</v>
      </c>
      <c r="I296" s="21" t="s">
        <v>38</v>
      </c>
    </row>
    <row r="297" customFormat="false" ht="15" hidden="false" customHeight="true" outlineLevel="0" collapsed="false">
      <c r="A297" s="21" t="n">
        <v>0</v>
      </c>
      <c r="B297" s="21" t="n">
        <v>35</v>
      </c>
      <c r="C297" s="21" t="n">
        <v>14.67</v>
      </c>
      <c r="D297" s="21" t="n">
        <v>1</v>
      </c>
      <c r="E297" s="21" t="s">
        <v>157</v>
      </c>
      <c r="F297" s="21" t="n">
        <v>1</v>
      </c>
      <c r="G297" s="21" t="n">
        <v>0</v>
      </c>
      <c r="H297" s="21" t="s">
        <v>352</v>
      </c>
      <c r="I297" s="21" t="s">
        <v>38</v>
      </c>
    </row>
    <row r="298" customFormat="false" ht="15" hidden="false" customHeight="true" outlineLevel="0" collapsed="false">
      <c r="A298" s="21" t="n">
        <v>0</v>
      </c>
      <c r="B298" s="21" t="n">
        <v>52</v>
      </c>
      <c r="C298" s="21" t="n">
        <v>12.8</v>
      </c>
      <c r="D298" s="21" t="n">
        <v>7</v>
      </c>
      <c r="E298" s="21" t="s">
        <v>157</v>
      </c>
      <c r="F298" s="21" t="n">
        <v>0</v>
      </c>
      <c r="G298" s="21" t="n">
        <v>0</v>
      </c>
      <c r="H298" s="21" t="s">
        <v>353</v>
      </c>
      <c r="I298" s="21" t="s">
        <v>38</v>
      </c>
    </row>
    <row r="299" customFormat="false" ht="15" hidden="false" customHeight="true" outlineLevel="0" collapsed="false">
      <c r="A299" s="21" t="n">
        <v>0</v>
      </c>
      <c r="B299" s="21" t="n">
        <v>43</v>
      </c>
      <c r="C299" s="21" t="n">
        <v>7.88</v>
      </c>
      <c r="D299" s="21" t="n">
        <v>4</v>
      </c>
      <c r="E299" s="21" t="s">
        <v>157</v>
      </c>
      <c r="F299" s="21" t="n">
        <v>0</v>
      </c>
      <c r="G299" s="21" t="n">
        <v>0</v>
      </c>
      <c r="H299" s="21" t="s">
        <v>354</v>
      </c>
      <c r="I299" s="21" t="s">
        <v>38</v>
      </c>
    </row>
    <row r="300" customFormat="false" ht="15" hidden="false" customHeight="true" outlineLevel="0" collapsed="false">
      <c r="A300" s="21" t="n">
        <v>0</v>
      </c>
      <c r="B300" s="21" t="n">
        <v>40</v>
      </c>
      <c r="C300" s="21" t="n">
        <v>3.78</v>
      </c>
      <c r="D300" s="21" t="n">
        <v>4</v>
      </c>
      <c r="E300" s="21" t="s">
        <v>157</v>
      </c>
      <c r="F300" s="21" t="n">
        <v>1</v>
      </c>
      <c r="G300" s="21" t="n">
        <v>1</v>
      </c>
      <c r="H300" s="21" t="s">
        <v>355</v>
      </c>
      <c r="I300" s="21" t="s">
        <v>38</v>
      </c>
    </row>
    <row r="301" customFormat="false" ht="15" hidden="false" customHeight="true" outlineLevel="0" collapsed="false">
      <c r="A301" s="21" t="n">
        <v>0</v>
      </c>
      <c r="B301" s="21" t="n">
        <v>41</v>
      </c>
      <c r="C301" s="21" t="n">
        <v>10.23</v>
      </c>
      <c r="D301" s="21" t="n">
        <v>4</v>
      </c>
      <c r="E301" s="21" t="s">
        <v>157</v>
      </c>
      <c r="F301" s="21" t="n">
        <v>0</v>
      </c>
      <c r="G301" s="21" t="n">
        <v>0</v>
      </c>
      <c r="H301" s="21" t="s">
        <v>356</v>
      </c>
      <c r="I301" s="21" t="s">
        <v>38</v>
      </c>
    </row>
    <row r="302" customFormat="false" ht="15" hidden="false" customHeight="true" outlineLevel="0" collapsed="false">
      <c r="A302" s="21" t="n">
        <v>0</v>
      </c>
      <c r="B302" s="21" t="n">
        <v>39</v>
      </c>
      <c r="C302" s="21" t="n">
        <v>9.13</v>
      </c>
      <c r="D302" s="21" t="n">
        <v>4</v>
      </c>
      <c r="E302" s="21" t="s">
        <v>157</v>
      </c>
      <c r="F302" s="21" t="n">
        <v>0</v>
      </c>
      <c r="G302" s="21" t="n">
        <v>0</v>
      </c>
      <c r="H302" s="21" t="s">
        <v>357</v>
      </c>
      <c r="I302" s="21" t="s">
        <v>38</v>
      </c>
    </row>
    <row r="303" customFormat="false" ht="15" hidden="false" customHeight="true" outlineLevel="0" collapsed="false">
      <c r="A303" s="21" t="n">
        <v>0</v>
      </c>
      <c r="B303" s="21" t="n">
        <v>44</v>
      </c>
      <c r="C303" s="21" t="n">
        <v>9.53</v>
      </c>
      <c r="D303" s="21" t="n">
        <v>4</v>
      </c>
      <c r="E303" s="21" t="s">
        <v>157</v>
      </c>
      <c r="F303" s="21" t="n">
        <v>0</v>
      </c>
      <c r="G303" s="21" t="n">
        <v>1</v>
      </c>
      <c r="H303" s="21" t="s">
        <v>358</v>
      </c>
      <c r="I303" s="21" t="s">
        <v>38</v>
      </c>
    </row>
    <row r="304" customFormat="false" ht="15" hidden="false" customHeight="true" outlineLevel="0" collapsed="false">
      <c r="A304" s="21" t="n">
        <v>0</v>
      </c>
      <c r="B304" s="21" t="n">
        <v>58</v>
      </c>
      <c r="C304" s="21" t="n">
        <v>8.05</v>
      </c>
      <c r="D304" s="21" t="n">
        <v>1</v>
      </c>
      <c r="E304" s="21" t="s">
        <v>58</v>
      </c>
      <c r="F304" s="21" t="n">
        <v>1</v>
      </c>
      <c r="G304" s="21" t="n">
        <v>0</v>
      </c>
      <c r="H304" s="21" t="s">
        <v>359</v>
      </c>
      <c r="I304" s="21" t="s">
        <v>37</v>
      </c>
    </row>
    <row r="305" customFormat="false" ht="15" hidden="false" customHeight="true" outlineLevel="0" collapsed="false">
      <c r="A305" s="21" t="n">
        <v>0</v>
      </c>
      <c r="B305" s="21" t="n">
        <v>56</v>
      </c>
      <c r="C305" s="21" t="n">
        <v>9.44</v>
      </c>
      <c r="D305" s="21" t="n">
        <v>4</v>
      </c>
      <c r="E305" s="21" t="s">
        <v>58</v>
      </c>
      <c r="F305" s="21" t="n">
        <v>1</v>
      </c>
      <c r="G305" s="21" t="n">
        <v>0</v>
      </c>
      <c r="H305" s="21" t="s">
        <v>360</v>
      </c>
      <c r="I305" s="21" t="s">
        <v>37</v>
      </c>
    </row>
    <row r="306" customFormat="false" ht="15" hidden="false" customHeight="true" outlineLevel="0" collapsed="false">
      <c r="A306" s="21" t="n">
        <v>1</v>
      </c>
      <c r="B306" s="21" t="n">
        <v>59</v>
      </c>
      <c r="C306" s="21" t="n">
        <v>4.04</v>
      </c>
      <c r="D306" s="21" t="n">
        <v>4</v>
      </c>
      <c r="E306" s="21" t="s">
        <v>58</v>
      </c>
      <c r="F306" s="21" t="n">
        <v>1</v>
      </c>
      <c r="G306" s="21" t="n">
        <v>0</v>
      </c>
      <c r="H306" s="21" t="s">
        <v>361</v>
      </c>
      <c r="I306" s="21" t="s">
        <v>37</v>
      </c>
    </row>
    <row r="307" customFormat="false" ht="15" hidden="false" customHeight="true" outlineLevel="0" collapsed="false">
      <c r="A307" s="21" t="n">
        <v>0</v>
      </c>
      <c r="B307" s="21" t="n">
        <v>70</v>
      </c>
      <c r="C307" s="21" t="n">
        <v>12.37</v>
      </c>
      <c r="D307" s="21" t="n">
        <v>1</v>
      </c>
      <c r="E307" s="21" t="s">
        <v>58</v>
      </c>
      <c r="F307" s="21" t="n">
        <v>1</v>
      </c>
      <c r="G307" s="21" t="n">
        <v>0</v>
      </c>
      <c r="H307" s="21" t="s">
        <v>362</v>
      </c>
      <c r="I307" s="21" t="s">
        <v>37</v>
      </c>
    </row>
    <row r="308" customFormat="false" ht="15" hidden="false" customHeight="true" outlineLevel="0" collapsed="false">
      <c r="A308" s="21" t="n">
        <v>0</v>
      </c>
      <c r="B308" s="21" t="n">
        <v>52</v>
      </c>
      <c r="C308" s="21" t="n">
        <v>11.42</v>
      </c>
      <c r="D308" s="21" t="n">
        <v>2</v>
      </c>
      <c r="E308" s="21" t="s">
        <v>58</v>
      </c>
      <c r="F308" s="21" t="n">
        <v>0</v>
      </c>
      <c r="G308" s="21" t="n">
        <v>0</v>
      </c>
      <c r="H308" s="21" t="s">
        <v>363</v>
      </c>
      <c r="I308" s="21" t="s">
        <v>37</v>
      </c>
    </row>
    <row r="309" customFormat="false" ht="15" hidden="false" customHeight="true" outlineLevel="0" collapsed="false">
      <c r="A309" s="21" t="n">
        <v>0</v>
      </c>
      <c r="B309" s="21" t="n">
        <v>56</v>
      </c>
      <c r="C309" s="21" t="n">
        <v>8.7</v>
      </c>
      <c r="D309" s="21" t="n">
        <v>5</v>
      </c>
      <c r="E309" s="21" t="s">
        <v>58</v>
      </c>
      <c r="F309" s="21" t="n">
        <v>1</v>
      </c>
      <c r="G309" s="21" t="n">
        <v>0</v>
      </c>
      <c r="H309" s="21" t="s">
        <v>364</v>
      </c>
      <c r="I309" s="21" t="s">
        <v>37</v>
      </c>
    </row>
    <row r="310" customFormat="false" ht="15" hidden="false" customHeight="true" outlineLevel="0" collapsed="false">
      <c r="A310" s="21" t="n">
        <v>0</v>
      </c>
      <c r="B310" s="21" t="n">
        <v>57</v>
      </c>
      <c r="C310" s="21" t="n">
        <v>9.47</v>
      </c>
      <c r="D310" s="21" t="n">
        <v>5</v>
      </c>
      <c r="E310" s="21" t="s">
        <v>58</v>
      </c>
      <c r="F310" s="21" t="n">
        <v>1</v>
      </c>
      <c r="G310" s="21" t="n">
        <v>1</v>
      </c>
      <c r="H310" s="21" t="s">
        <v>365</v>
      </c>
      <c r="I310" s="21" t="s">
        <v>37</v>
      </c>
    </row>
    <row r="311" customFormat="false" ht="15" hidden="false" customHeight="true" outlineLevel="0" collapsed="false">
      <c r="A311" s="21" t="n">
        <v>0</v>
      </c>
      <c r="B311" s="21" t="n">
        <v>66</v>
      </c>
      <c r="C311" s="21" t="n">
        <v>8.32</v>
      </c>
      <c r="D311" s="21" t="n">
        <v>5</v>
      </c>
      <c r="E311" s="21" t="s">
        <v>58</v>
      </c>
      <c r="F311" s="21" t="n">
        <v>1</v>
      </c>
      <c r="G311" s="21" t="n">
        <v>0</v>
      </c>
      <c r="H311" s="21" t="s">
        <v>366</v>
      </c>
      <c r="I311" s="21" t="s">
        <v>37</v>
      </c>
    </row>
    <row r="312" customFormat="false" ht="15" hidden="false" customHeight="true" outlineLevel="0" collapsed="false">
      <c r="A312" s="21" t="n">
        <v>1</v>
      </c>
      <c r="B312" s="21" t="n">
        <v>58</v>
      </c>
      <c r="C312" s="21" t="n">
        <v>11.89</v>
      </c>
      <c r="D312" s="21" t="n">
        <v>1</v>
      </c>
      <c r="E312" s="21" t="s">
        <v>58</v>
      </c>
      <c r="F312" s="21" t="n">
        <v>0</v>
      </c>
      <c r="G312" s="21" t="n">
        <v>1</v>
      </c>
      <c r="H312" s="21" t="s">
        <v>367</v>
      </c>
      <c r="I312" s="21" t="s">
        <v>37</v>
      </c>
    </row>
    <row r="313" customFormat="false" ht="15" hidden="false" customHeight="true" outlineLevel="0" collapsed="false">
      <c r="A313" s="21" t="n">
        <v>0</v>
      </c>
      <c r="B313" s="21" t="n">
        <v>61</v>
      </c>
      <c r="C313" s="21" t="n">
        <v>7.57</v>
      </c>
      <c r="D313" s="21" t="n">
        <v>5</v>
      </c>
      <c r="E313" s="21" t="s">
        <v>58</v>
      </c>
      <c r="F313" s="21" t="n">
        <v>0</v>
      </c>
      <c r="G313" s="21" t="n">
        <v>0</v>
      </c>
      <c r="H313" s="21" t="s">
        <v>368</v>
      </c>
      <c r="I313" s="21" t="s">
        <v>37</v>
      </c>
    </row>
    <row r="314" customFormat="false" ht="15" hidden="false" customHeight="true" outlineLevel="0" collapsed="false">
      <c r="A314" s="21" t="n">
        <v>0</v>
      </c>
      <c r="B314" s="21" t="n">
        <v>56</v>
      </c>
      <c r="C314" s="21" t="n">
        <v>9.66</v>
      </c>
      <c r="D314" s="21" t="n">
        <v>2</v>
      </c>
      <c r="E314" s="21" t="s">
        <v>58</v>
      </c>
      <c r="F314" s="21" t="n">
        <v>1</v>
      </c>
      <c r="G314" s="21" t="n">
        <v>0</v>
      </c>
      <c r="H314" s="21" t="s">
        <v>369</v>
      </c>
      <c r="I314" s="21" t="s">
        <v>37</v>
      </c>
    </row>
    <row r="315" customFormat="false" ht="15" hidden="false" customHeight="true" outlineLevel="0" collapsed="false">
      <c r="A315" s="21" t="n">
        <v>0</v>
      </c>
      <c r="B315" s="21" t="n">
        <v>65</v>
      </c>
      <c r="C315" s="21" t="n">
        <v>8.65</v>
      </c>
      <c r="D315" s="21" t="n">
        <v>4</v>
      </c>
      <c r="E315" s="21" t="s">
        <v>58</v>
      </c>
      <c r="F315" s="21" t="n">
        <v>0</v>
      </c>
      <c r="G315" s="21" t="n">
        <v>0</v>
      </c>
      <c r="H315" s="21" t="s">
        <v>370</v>
      </c>
      <c r="I315" s="21" t="s">
        <v>37</v>
      </c>
    </row>
    <row r="316" customFormat="false" ht="15" hidden="false" customHeight="true" outlineLevel="0" collapsed="false">
      <c r="A316" s="21" t="n">
        <v>0</v>
      </c>
      <c r="B316" s="21" t="n">
        <v>53</v>
      </c>
      <c r="C316" s="21" t="n">
        <v>9.51</v>
      </c>
      <c r="D316" s="21" t="n">
        <v>3</v>
      </c>
      <c r="E316" s="21" t="s">
        <v>58</v>
      </c>
      <c r="F316" s="21" t="n">
        <v>1</v>
      </c>
      <c r="G316" s="21" t="n">
        <v>0</v>
      </c>
      <c r="H316" s="21" t="s">
        <v>371</v>
      </c>
      <c r="I316" s="21" t="s">
        <v>37</v>
      </c>
    </row>
    <row r="317" customFormat="false" ht="15" hidden="false" customHeight="true" outlineLevel="0" collapsed="false">
      <c r="A317" s="21" t="n">
        <v>0</v>
      </c>
      <c r="B317" s="21" t="n">
        <v>57</v>
      </c>
      <c r="C317" s="21" t="n">
        <v>6.37</v>
      </c>
      <c r="D317" s="21" t="n">
        <v>7</v>
      </c>
      <c r="E317" s="21" t="s">
        <v>58</v>
      </c>
      <c r="F317" s="21" t="n">
        <v>0</v>
      </c>
      <c r="G317" s="21" t="n">
        <v>0</v>
      </c>
      <c r="H317" s="21" t="s">
        <v>372</v>
      </c>
      <c r="I317" s="21" t="s">
        <v>37</v>
      </c>
    </row>
    <row r="318" customFormat="false" ht="15" hidden="false" customHeight="true" outlineLevel="0" collapsed="false">
      <c r="A318" s="21" t="n">
        <v>0</v>
      </c>
      <c r="B318" s="21" t="n">
        <v>63</v>
      </c>
      <c r="C318" s="21" t="n">
        <v>12.74</v>
      </c>
      <c r="D318" s="21" t="n">
        <v>1</v>
      </c>
      <c r="E318" s="21" t="s">
        <v>58</v>
      </c>
      <c r="F318" s="21" t="n">
        <v>0</v>
      </c>
      <c r="G318" s="21" t="n">
        <v>1</v>
      </c>
      <c r="H318" s="21" t="s">
        <v>373</v>
      </c>
      <c r="I318" s="21" t="s">
        <v>37</v>
      </c>
    </row>
    <row r="319" customFormat="false" ht="15" hidden="false" customHeight="true" outlineLevel="0" collapsed="false">
      <c r="A319" s="21" t="n">
        <v>0</v>
      </c>
      <c r="B319" s="21" t="n">
        <v>57</v>
      </c>
      <c r="C319" s="21" t="n">
        <v>9.25</v>
      </c>
      <c r="D319" s="21" t="n">
        <v>5</v>
      </c>
      <c r="E319" s="21" t="s">
        <v>58</v>
      </c>
      <c r="F319" s="21" t="n">
        <v>0</v>
      </c>
      <c r="G319" s="21" t="n">
        <v>0</v>
      </c>
      <c r="H319" s="21" t="s">
        <v>374</v>
      </c>
      <c r="I319" s="21" t="s">
        <v>37</v>
      </c>
    </row>
    <row r="320" customFormat="false" ht="15" hidden="false" customHeight="true" outlineLevel="0" collapsed="false">
      <c r="A320" s="21" t="n">
        <v>0</v>
      </c>
      <c r="B320" s="21" t="n">
        <v>57</v>
      </c>
      <c r="C320" s="21" t="n">
        <v>8.61</v>
      </c>
      <c r="D320" s="21" t="n">
        <v>2</v>
      </c>
      <c r="E320" s="21" t="s">
        <v>58</v>
      </c>
      <c r="F320" s="21" t="n">
        <v>1</v>
      </c>
      <c r="G320" s="21" t="n">
        <v>1</v>
      </c>
      <c r="H320" s="21" t="s">
        <v>174</v>
      </c>
      <c r="I320" s="21" t="s">
        <v>37</v>
      </c>
    </row>
    <row r="321" customFormat="false" ht="15" hidden="false" customHeight="true" outlineLevel="0" collapsed="false">
      <c r="A321" s="21" t="n">
        <v>0</v>
      </c>
      <c r="B321" s="21" t="n">
        <v>60</v>
      </c>
      <c r="C321" s="21" t="n">
        <v>9.01</v>
      </c>
      <c r="D321" s="21" t="n">
        <v>3</v>
      </c>
      <c r="E321" s="21" t="s">
        <v>72</v>
      </c>
      <c r="F321" s="21" t="n">
        <v>1</v>
      </c>
      <c r="G321" s="21" t="n">
        <v>0</v>
      </c>
      <c r="H321" s="21" t="s">
        <v>375</v>
      </c>
      <c r="I321" s="21" t="s">
        <v>37</v>
      </c>
    </row>
    <row r="322" customFormat="false" ht="15" hidden="false" customHeight="true" outlineLevel="0" collapsed="false">
      <c r="A322" s="21" t="n">
        <v>0</v>
      </c>
      <c r="B322" s="21" t="n">
        <v>67</v>
      </c>
      <c r="C322" s="21" t="n">
        <v>10.17</v>
      </c>
      <c r="D322" s="21" t="n">
        <v>2</v>
      </c>
      <c r="E322" s="21" t="s">
        <v>72</v>
      </c>
      <c r="F322" s="21" t="n">
        <v>0</v>
      </c>
      <c r="G322" s="21" t="n">
        <v>0</v>
      </c>
      <c r="H322" s="21" t="s">
        <v>376</v>
      </c>
      <c r="I322" s="21" t="s">
        <v>37</v>
      </c>
    </row>
    <row r="323" customFormat="false" ht="15" hidden="false" customHeight="true" outlineLevel="0" collapsed="false">
      <c r="A323" s="21" t="n">
        <v>0</v>
      </c>
      <c r="B323" s="21" t="n">
        <v>52</v>
      </c>
      <c r="C323" s="21" t="n">
        <v>9.33</v>
      </c>
      <c r="D323" s="21" t="n">
        <v>3</v>
      </c>
      <c r="E323" s="21" t="s">
        <v>72</v>
      </c>
      <c r="F323" s="21" t="n">
        <v>0</v>
      </c>
      <c r="G323" s="21" t="n">
        <v>0</v>
      </c>
      <c r="H323" s="21" t="s">
        <v>377</v>
      </c>
      <c r="I323" s="21" t="s">
        <v>37</v>
      </c>
    </row>
    <row r="324" customFormat="false" ht="15" hidden="false" customHeight="true" outlineLevel="0" collapsed="false">
      <c r="A324" s="21" t="n">
        <v>0</v>
      </c>
      <c r="B324" s="21" t="n">
        <v>59</v>
      </c>
      <c r="C324" s="21" t="n">
        <v>11.53</v>
      </c>
      <c r="D324" s="21" t="n">
        <v>6</v>
      </c>
      <c r="E324" s="21" t="s">
        <v>72</v>
      </c>
      <c r="F324" s="21" t="n">
        <v>0</v>
      </c>
      <c r="G324" s="21" t="n">
        <v>0</v>
      </c>
      <c r="H324" s="21" t="s">
        <v>378</v>
      </c>
      <c r="I324" s="21" t="s">
        <v>37</v>
      </c>
    </row>
    <row r="325" customFormat="false" ht="15" hidden="false" customHeight="true" outlineLevel="0" collapsed="false">
      <c r="A325" s="21" t="n">
        <v>0</v>
      </c>
      <c r="B325" s="21" t="n">
        <v>72</v>
      </c>
      <c r="C325" s="21" t="n">
        <v>7.37</v>
      </c>
      <c r="D325" s="21" t="n">
        <v>8</v>
      </c>
      <c r="E325" s="21" t="s">
        <v>72</v>
      </c>
      <c r="F325" s="21" t="n">
        <v>1</v>
      </c>
      <c r="G325" s="21" t="n">
        <v>0</v>
      </c>
      <c r="H325" s="21" t="s">
        <v>379</v>
      </c>
      <c r="I325" s="21" t="s">
        <v>37</v>
      </c>
    </row>
    <row r="326" customFormat="false" ht="15" hidden="false" customHeight="true" outlineLevel="0" collapsed="false">
      <c r="A326" s="21" t="n">
        <v>0</v>
      </c>
      <c r="B326" s="21" t="n">
        <v>52</v>
      </c>
      <c r="C326" s="21" t="n">
        <v>8.17</v>
      </c>
      <c r="D326" s="21" t="n">
        <v>5</v>
      </c>
      <c r="E326" s="21" t="s">
        <v>72</v>
      </c>
      <c r="F326" s="21" t="n">
        <v>1</v>
      </c>
      <c r="G326" s="21" t="n">
        <v>0</v>
      </c>
      <c r="H326" s="21" t="s">
        <v>380</v>
      </c>
      <c r="I326" s="21" t="s">
        <v>37</v>
      </c>
    </row>
    <row r="327" customFormat="false" ht="15" hidden="false" customHeight="true" outlineLevel="0" collapsed="false">
      <c r="A327" s="21" t="n">
        <v>1</v>
      </c>
      <c r="B327" s="21" t="n">
        <v>64</v>
      </c>
      <c r="C327" s="21" t="n">
        <v>9.12</v>
      </c>
      <c r="D327" s="21" t="n">
        <v>5</v>
      </c>
      <c r="E327" s="21" t="s">
        <v>72</v>
      </c>
      <c r="F327" s="21" t="n">
        <v>1</v>
      </c>
      <c r="G327" s="21" t="n">
        <v>0</v>
      </c>
      <c r="H327" s="21" t="s">
        <v>381</v>
      </c>
      <c r="I327" s="21" t="s">
        <v>37</v>
      </c>
    </row>
    <row r="328" customFormat="false" ht="15" hidden="false" customHeight="true" outlineLevel="0" collapsed="false">
      <c r="A328" s="21" t="n">
        <v>0</v>
      </c>
      <c r="B328" s="21" t="n">
        <v>57</v>
      </c>
      <c r="C328" s="21" t="n">
        <v>9.9</v>
      </c>
      <c r="D328" s="21" t="n">
        <v>5</v>
      </c>
      <c r="E328" s="21" t="s">
        <v>72</v>
      </c>
      <c r="F328" s="21" t="n">
        <v>0</v>
      </c>
      <c r="G328" s="21" t="n">
        <v>1</v>
      </c>
      <c r="H328" s="21" t="s">
        <v>382</v>
      </c>
      <c r="I328" s="21" t="s">
        <v>37</v>
      </c>
    </row>
    <row r="329" customFormat="false" ht="15" hidden="false" customHeight="true" outlineLevel="0" collapsed="false">
      <c r="A329" s="21" t="n">
        <v>0</v>
      </c>
      <c r="B329" s="21" t="n">
        <v>61</v>
      </c>
      <c r="C329" s="21" t="n">
        <v>9.07</v>
      </c>
      <c r="D329" s="21" t="n">
        <v>9</v>
      </c>
      <c r="E329" s="21" t="s">
        <v>72</v>
      </c>
      <c r="F329" s="21" t="n">
        <v>0</v>
      </c>
      <c r="G329" s="21" t="n">
        <v>1</v>
      </c>
      <c r="H329" s="21" t="s">
        <v>383</v>
      </c>
      <c r="I329" s="21" t="s">
        <v>37</v>
      </c>
    </row>
    <row r="330" customFormat="false" ht="15" hidden="false" customHeight="true" outlineLevel="0" collapsed="false">
      <c r="A330" s="21" t="n">
        <v>0</v>
      </c>
      <c r="B330" s="21" t="n">
        <v>59</v>
      </c>
      <c r="C330" s="21" t="n">
        <v>15.01</v>
      </c>
      <c r="D330" s="21" t="n">
        <v>5</v>
      </c>
      <c r="E330" s="21" t="s">
        <v>72</v>
      </c>
      <c r="F330" s="21" t="n">
        <v>0</v>
      </c>
      <c r="G330" s="21" t="n">
        <v>0</v>
      </c>
      <c r="H330" s="21" t="s">
        <v>384</v>
      </c>
      <c r="I330" s="21" t="s">
        <v>37</v>
      </c>
    </row>
    <row r="331" customFormat="false" ht="15" hidden="false" customHeight="true" outlineLevel="0" collapsed="false">
      <c r="A331" s="21" t="n">
        <v>0</v>
      </c>
      <c r="B331" s="21" t="n">
        <v>61</v>
      </c>
      <c r="C331" s="21" t="n">
        <v>6.42</v>
      </c>
      <c r="D331" s="21" t="n">
        <v>6</v>
      </c>
      <c r="E331" s="21" t="s">
        <v>72</v>
      </c>
      <c r="F331" s="21" t="n">
        <v>1</v>
      </c>
      <c r="G331" s="21" t="n">
        <v>0</v>
      </c>
      <c r="H331" s="21" t="s">
        <v>385</v>
      </c>
      <c r="I331" s="21" t="s">
        <v>37</v>
      </c>
    </row>
    <row r="332" customFormat="false" ht="15" hidden="false" customHeight="true" outlineLevel="0" collapsed="false">
      <c r="A332" s="21" t="n">
        <v>0</v>
      </c>
      <c r="B332" s="21" t="n">
        <v>59</v>
      </c>
      <c r="C332" s="21" t="n">
        <v>6.63</v>
      </c>
      <c r="D332" s="21" t="n">
        <v>9</v>
      </c>
      <c r="E332" s="21" t="s">
        <v>72</v>
      </c>
      <c r="F332" s="21" t="n">
        <v>1</v>
      </c>
      <c r="G332" s="21" t="n">
        <v>0</v>
      </c>
      <c r="H332" s="21" t="s">
        <v>386</v>
      </c>
      <c r="I332" s="21" t="s">
        <v>37</v>
      </c>
    </row>
    <row r="333" customFormat="false" ht="15" hidden="false" customHeight="true" outlineLevel="0" collapsed="false">
      <c r="A333" s="21" t="n">
        <v>0</v>
      </c>
      <c r="B333" s="21" t="n">
        <v>69</v>
      </c>
      <c r="C333" s="21" t="n">
        <v>17.79</v>
      </c>
      <c r="D333" s="21" t="n">
        <v>10</v>
      </c>
      <c r="E333" s="21" t="s">
        <v>72</v>
      </c>
      <c r="F333" s="21" t="n">
        <v>0</v>
      </c>
      <c r="G333" s="21" t="n">
        <v>1</v>
      </c>
      <c r="H333" s="21" t="s">
        <v>387</v>
      </c>
      <c r="I333" s="21" t="s">
        <v>37</v>
      </c>
    </row>
    <row r="334" customFormat="false" ht="15" hidden="false" customHeight="true" outlineLevel="0" collapsed="false">
      <c r="A334" s="21" t="n">
        <v>0</v>
      </c>
      <c r="B334" s="21" t="n">
        <v>60</v>
      </c>
      <c r="C334" s="21" t="n">
        <v>7.31</v>
      </c>
      <c r="D334" s="21" t="n">
        <v>4</v>
      </c>
      <c r="E334" s="21" t="s">
        <v>105</v>
      </c>
      <c r="F334" s="21" t="n">
        <v>1</v>
      </c>
      <c r="G334" s="21" t="n">
        <v>0</v>
      </c>
      <c r="H334" s="21" t="s">
        <v>388</v>
      </c>
      <c r="I334" s="21" t="s">
        <v>37</v>
      </c>
    </row>
    <row r="335" customFormat="false" ht="15" hidden="false" customHeight="true" outlineLevel="0" collapsed="false">
      <c r="A335" s="21" t="n">
        <v>0</v>
      </c>
      <c r="B335" s="21" t="n">
        <v>59</v>
      </c>
      <c r="C335" s="21" t="n">
        <v>9.5</v>
      </c>
      <c r="D335" s="21" t="n">
        <v>5</v>
      </c>
      <c r="E335" s="21" t="s">
        <v>105</v>
      </c>
      <c r="F335" s="21" t="n">
        <v>1</v>
      </c>
      <c r="G335" s="21" t="n">
        <v>1</v>
      </c>
      <c r="H335" s="21" t="s">
        <v>389</v>
      </c>
      <c r="I335" s="21" t="s">
        <v>37</v>
      </c>
    </row>
    <row r="336" customFormat="false" ht="15" hidden="false" customHeight="true" outlineLevel="0" collapsed="false">
      <c r="A336" s="21" t="n">
        <v>0</v>
      </c>
      <c r="B336" s="21" t="n">
        <v>63</v>
      </c>
      <c r="C336" s="21" t="n">
        <v>5.39</v>
      </c>
      <c r="D336" s="21" t="n">
        <v>2</v>
      </c>
      <c r="E336" s="21" t="s">
        <v>105</v>
      </c>
      <c r="F336" s="21" t="n">
        <v>0</v>
      </c>
      <c r="G336" s="21" t="n">
        <v>0</v>
      </c>
      <c r="H336" s="21" t="s">
        <v>390</v>
      </c>
      <c r="I336" s="21" t="s">
        <v>37</v>
      </c>
    </row>
    <row r="337" customFormat="false" ht="15" hidden="false" customHeight="true" outlineLevel="0" collapsed="false">
      <c r="A337" s="21" t="n">
        <v>0</v>
      </c>
      <c r="B337" s="21" t="n">
        <v>58</v>
      </c>
      <c r="C337" s="21" t="n">
        <v>13.27</v>
      </c>
      <c r="D337" s="21" t="n">
        <v>1</v>
      </c>
      <c r="E337" s="21" t="s">
        <v>105</v>
      </c>
      <c r="F337" s="21" t="n">
        <v>1</v>
      </c>
      <c r="G337" s="21" t="n">
        <v>1</v>
      </c>
      <c r="H337" s="21" t="s">
        <v>391</v>
      </c>
      <c r="I337" s="21" t="s">
        <v>37</v>
      </c>
    </row>
    <row r="338" customFormat="false" ht="15" hidden="false" customHeight="true" outlineLevel="0" collapsed="false">
      <c r="A338" s="21" t="n">
        <v>0</v>
      </c>
      <c r="B338" s="21" t="n">
        <v>62</v>
      </c>
      <c r="C338" s="21" t="n">
        <v>10.88</v>
      </c>
      <c r="D338" s="21" t="n">
        <v>2</v>
      </c>
      <c r="E338" s="21" t="s">
        <v>105</v>
      </c>
      <c r="F338" s="21" t="n">
        <v>0</v>
      </c>
      <c r="G338" s="21" t="n">
        <v>0</v>
      </c>
      <c r="H338" s="21" t="s">
        <v>392</v>
      </c>
      <c r="I338" s="21" t="s">
        <v>37</v>
      </c>
    </row>
    <row r="339" customFormat="false" ht="15" hidden="false" customHeight="true" outlineLevel="0" collapsed="false">
      <c r="A339" s="21" t="n">
        <v>0</v>
      </c>
      <c r="B339" s="21" t="n">
        <v>62</v>
      </c>
      <c r="C339" s="21" t="n">
        <v>8.44</v>
      </c>
      <c r="D339" s="21" t="n">
        <v>1</v>
      </c>
      <c r="E339" s="21" t="s">
        <v>105</v>
      </c>
      <c r="F339" s="21" t="n">
        <v>1</v>
      </c>
      <c r="G339" s="21" t="n">
        <v>0</v>
      </c>
      <c r="H339" s="21" t="s">
        <v>393</v>
      </c>
      <c r="I339" s="21" t="s">
        <v>37</v>
      </c>
    </row>
    <row r="340" customFormat="false" ht="15" hidden="false" customHeight="true" outlineLevel="0" collapsed="false">
      <c r="A340" s="21" t="n">
        <v>0</v>
      </c>
      <c r="B340" s="21" t="n">
        <v>66</v>
      </c>
      <c r="C340" s="21" t="n">
        <v>6.55</v>
      </c>
      <c r="D340" s="21" t="n">
        <v>1</v>
      </c>
      <c r="E340" s="21" t="s">
        <v>105</v>
      </c>
      <c r="F340" s="21" t="n">
        <v>1</v>
      </c>
      <c r="G340" s="21" t="n">
        <v>0</v>
      </c>
      <c r="H340" s="21" t="s">
        <v>394</v>
      </c>
      <c r="I340" s="21" t="s">
        <v>37</v>
      </c>
    </row>
    <row r="341" customFormat="false" ht="15" hidden="false" customHeight="true" outlineLevel="0" collapsed="false">
      <c r="A341" s="21" t="n">
        <v>0</v>
      </c>
      <c r="B341" s="21" t="n">
        <v>54</v>
      </c>
      <c r="C341" s="21" t="n">
        <v>8.97</v>
      </c>
      <c r="D341" s="21" t="n">
        <v>3</v>
      </c>
      <c r="E341" s="21" t="s">
        <v>105</v>
      </c>
      <c r="F341" s="21" t="n">
        <v>1</v>
      </c>
      <c r="G341" s="21" t="n">
        <v>0</v>
      </c>
      <c r="H341" s="21" t="s">
        <v>395</v>
      </c>
      <c r="I341" s="21" t="s">
        <v>37</v>
      </c>
    </row>
    <row r="342" customFormat="false" ht="15" hidden="false" customHeight="true" outlineLevel="0" collapsed="false">
      <c r="A342" s="21" t="n">
        <v>1</v>
      </c>
      <c r="B342" s="21" t="n">
        <v>65</v>
      </c>
      <c r="C342" s="21" t="n">
        <v>12.78</v>
      </c>
      <c r="D342" s="21" t="n">
        <v>6</v>
      </c>
      <c r="E342" s="21" t="s">
        <v>116</v>
      </c>
      <c r="F342" s="21" t="n">
        <v>0</v>
      </c>
      <c r="G342" s="21" t="n">
        <v>0</v>
      </c>
      <c r="H342" s="21" t="s">
        <v>396</v>
      </c>
      <c r="I342" s="21" t="s">
        <v>37</v>
      </c>
    </row>
    <row r="343" customFormat="false" ht="15" hidden="false" customHeight="true" outlineLevel="0" collapsed="false">
      <c r="A343" s="21" t="n">
        <v>0</v>
      </c>
      <c r="B343" s="21" t="n">
        <v>58</v>
      </c>
      <c r="C343" s="21" t="n">
        <v>4.62</v>
      </c>
      <c r="D343" s="21" t="n">
        <v>1</v>
      </c>
      <c r="E343" s="21" t="s">
        <v>116</v>
      </c>
      <c r="F343" s="21" t="n">
        <v>1</v>
      </c>
      <c r="G343" s="21" t="n">
        <v>1</v>
      </c>
      <c r="H343" s="21" t="s">
        <v>397</v>
      </c>
      <c r="I343" s="21" t="s">
        <v>37</v>
      </c>
    </row>
    <row r="344" customFormat="false" ht="15" hidden="false" customHeight="true" outlineLevel="0" collapsed="false">
      <c r="A344" s="21" t="n">
        <v>0</v>
      </c>
      <c r="B344" s="21" t="n">
        <v>59</v>
      </c>
      <c r="C344" s="21" t="n">
        <v>6.31</v>
      </c>
      <c r="D344" s="21" t="n">
        <v>1</v>
      </c>
      <c r="E344" s="21" t="s">
        <v>116</v>
      </c>
      <c r="F344" s="21" t="n">
        <v>0</v>
      </c>
      <c r="G344" s="21" t="n">
        <v>0</v>
      </c>
      <c r="H344" s="21" t="s">
        <v>398</v>
      </c>
      <c r="I344" s="21" t="s">
        <v>37</v>
      </c>
    </row>
    <row r="345" customFormat="false" ht="15" hidden="false" customHeight="true" outlineLevel="0" collapsed="false">
      <c r="A345" s="21" t="n">
        <v>0</v>
      </c>
      <c r="B345" s="21" t="n">
        <v>57</v>
      </c>
      <c r="C345" s="21" t="n">
        <v>7.69</v>
      </c>
      <c r="D345" s="21" t="n">
        <v>3</v>
      </c>
      <c r="E345" s="21" t="s">
        <v>116</v>
      </c>
      <c r="F345" s="21" t="n">
        <v>0</v>
      </c>
      <c r="G345" s="21" t="n">
        <v>0</v>
      </c>
      <c r="H345" s="21" t="s">
        <v>399</v>
      </c>
      <c r="I345" s="21" t="s">
        <v>37</v>
      </c>
    </row>
    <row r="346" customFormat="false" ht="15" hidden="false" customHeight="true" outlineLevel="0" collapsed="false">
      <c r="A346" s="21" t="n">
        <v>0</v>
      </c>
      <c r="B346" s="21" t="n">
        <v>68</v>
      </c>
      <c r="C346" s="21" t="n">
        <v>7.15</v>
      </c>
      <c r="D346" s="21" t="n">
        <v>6</v>
      </c>
      <c r="E346" s="21" t="s">
        <v>116</v>
      </c>
      <c r="F346" s="21" t="n">
        <v>0</v>
      </c>
      <c r="G346" s="21" t="n">
        <v>0</v>
      </c>
      <c r="H346" s="21" t="s">
        <v>400</v>
      </c>
      <c r="I346" s="21" t="s">
        <v>37</v>
      </c>
    </row>
    <row r="347" customFormat="false" ht="15" hidden="false" customHeight="true" outlineLevel="0" collapsed="false">
      <c r="A347" s="21" t="n">
        <v>0</v>
      </c>
      <c r="B347" s="21" t="n">
        <v>60</v>
      </c>
      <c r="C347" s="21" t="n">
        <v>12.66</v>
      </c>
      <c r="D347" s="21" t="n">
        <v>8</v>
      </c>
      <c r="E347" s="21" t="s">
        <v>116</v>
      </c>
      <c r="F347" s="21" t="n">
        <v>0</v>
      </c>
      <c r="G347" s="21" t="n">
        <v>0</v>
      </c>
      <c r="H347" s="21" t="s">
        <v>401</v>
      </c>
      <c r="I347" s="21" t="s">
        <v>37</v>
      </c>
    </row>
    <row r="348" customFormat="false" ht="15" hidden="false" customHeight="true" outlineLevel="0" collapsed="false">
      <c r="A348" s="21" t="n">
        <v>0</v>
      </c>
      <c r="B348" s="21" t="n">
        <v>66</v>
      </c>
      <c r="C348" s="21" t="n">
        <v>5.14</v>
      </c>
      <c r="D348" s="21" t="n">
        <v>5</v>
      </c>
      <c r="E348" s="21" t="s">
        <v>116</v>
      </c>
      <c r="F348" s="21" t="n">
        <v>0</v>
      </c>
      <c r="G348" s="21" t="n">
        <v>0</v>
      </c>
      <c r="H348" s="21" t="s">
        <v>402</v>
      </c>
      <c r="I348" s="21" t="s">
        <v>37</v>
      </c>
    </row>
    <row r="349" customFormat="false" ht="15" hidden="false" customHeight="true" outlineLevel="0" collapsed="false">
      <c r="A349" s="21" t="n">
        <v>0</v>
      </c>
      <c r="B349" s="21" t="n">
        <v>60</v>
      </c>
      <c r="C349" s="21" t="n">
        <v>9.19</v>
      </c>
      <c r="D349" s="21" t="n">
        <v>3</v>
      </c>
      <c r="E349" s="21" t="s">
        <v>116</v>
      </c>
      <c r="F349" s="21" t="n">
        <v>1</v>
      </c>
      <c r="G349" s="21" t="n">
        <v>1</v>
      </c>
      <c r="H349" s="21" t="s">
        <v>403</v>
      </c>
      <c r="I349" s="21" t="s">
        <v>37</v>
      </c>
    </row>
    <row r="350" customFormat="false" ht="15" hidden="false" customHeight="true" outlineLevel="0" collapsed="false">
      <c r="A350" s="21" t="n">
        <v>0</v>
      </c>
      <c r="B350" s="21" t="n">
        <v>62</v>
      </c>
      <c r="C350" s="21" t="n">
        <v>9.22</v>
      </c>
      <c r="D350" s="21" t="n">
        <v>4</v>
      </c>
      <c r="E350" s="21" t="s">
        <v>116</v>
      </c>
      <c r="F350" s="21" t="n">
        <v>0</v>
      </c>
      <c r="G350" s="21" t="n">
        <v>0</v>
      </c>
      <c r="H350" s="21" t="s">
        <v>404</v>
      </c>
      <c r="I350" s="21" t="s">
        <v>37</v>
      </c>
    </row>
    <row r="351" customFormat="false" ht="15" hidden="false" customHeight="true" outlineLevel="0" collapsed="false">
      <c r="A351" s="21" t="n">
        <v>1</v>
      </c>
      <c r="B351" s="21" t="n">
        <v>63</v>
      </c>
      <c r="C351" s="21" t="n">
        <v>7.73</v>
      </c>
      <c r="D351" s="21" t="n">
        <v>6</v>
      </c>
      <c r="E351" s="21" t="s">
        <v>116</v>
      </c>
      <c r="F351" s="21" t="n">
        <v>0</v>
      </c>
      <c r="G351" s="21" t="n">
        <v>0</v>
      </c>
      <c r="H351" s="21" t="s">
        <v>405</v>
      </c>
      <c r="I351" s="21" t="s">
        <v>37</v>
      </c>
    </row>
    <row r="352" customFormat="false" ht="15" hidden="false" customHeight="true" outlineLevel="0" collapsed="false">
      <c r="A352" s="21" t="n">
        <v>0</v>
      </c>
      <c r="B352" s="21" t="n">
        <v>63</v>
      </c>
      <c r="C352" s="21" t="n">
        <v>10.27</v>
      </c>
      <c r="D352" s="21" t="n">
        <v>1</v>
      </c>
      <c r="E352" s="21" t="s">
        <v>116</v>
      </c>
      <c r="F352" s="21" t="n">
        <v>1</v>
      </c>
      <c r="G352" s="21" t="n">
        <v>0</v>
      </c>
      <c r="H352" s="21" t="s">
        <v>406</v>
      </c>
      <c r="I352" s="21" t="s">
        <v>37</v>
      </c>
    </row>
    <row r="353" customFormat="false" ht="15" hidden="false" customHeight="true" outlineLevel="0" collapsed="false">
      <c r="A353" s="21" t="n">
        <v>0</v>
      </c>
      <c r="B353" s="21" t="n">
        <v>61</v>
      </c>
      <c r="C353" s="21" t="n">
        <v>7.96</v>
      </c>
      <c r="D353" s="21" t="n">
        <v>8</v>
      </c>
      <c r="E353" s="21" t="s">
        <v>116</v>
      </c>
      <c r="F353" s="21" t="n">
        <v>0</v>
      </c>
      <c r="G353" s="21" t="n">
        <v>0</v>
      </c>
      <c r="H353" s="21" t="s">
        <v>407</v>
      </c>
      <c r="I353" s="21" t="s">
        <v>37</v>
      </c>
    </row>
    <row r="354" customFormat="false" ht="15" hidden="false" customHeight="true" outlineLevel="0" collapsed="false">
      <c r="A354" s="21" t="n">
        <v>1</v>
      </c>
      <c r="B354" s="21" t="n">
        <v>62</v>
      </c>
      <c r="C354" s="21" t="n">
        <v>10.35</v>
      </c>
      <c r="D354" s="21" t="n">
        <v>7</v>
      </c>
      <c r="E354" s="21" t="s">
        <v>116</v>
      </c>
      <c r="F354" s="21" t="n">
        <v>1</v>
      </c>
      <c r="G354" s="21" t="n">
        <v>0</v>
      </c>
      <c r="H354" s="21" t="s">
        <v>408</v>
      </c>
      <c r="I354" s="21" t="s">
        <v>37</v>
      </c>
    </row>
    <row r="355" customFormat="false" ht="15" hidden="false" customHeight="true" outlineLevel="0" collapsed="false">
      <c r="A355" s="21" t="n">
        <v>0</v>
      </c>
      <c r="B355" s="21" t="n">
        <v>60</v>
      </c>
      <c r="C355" s="21" t="n">
        <v>8.09</v>
      </c>
      <c r="D355" s="21" t="n">
        <v>6</v>
      </c>
      <c r="E355" s="21" t="s">
        <v>116</v>
      </c>
      <c r="F355" s="21" t="n">
        <v>1</v>
      </c>
      <c r="G355" s="21" t="n">
        <v>0</v>
      </c>
      <c r="H355" s="21" t="s">
        <v>409</v>
      </c>
      <c r="I355" s="21" t="s">
        <v>37</v>
      </c>
    </row>
    <row r="356" customFormat="false" ht="15" hidden="false" customHeight="true" outlineLevel="0" collapsed="false">
      <c r="A356" s="21" t="n">
        <v>0</v>
      </c>
      <c r="B356" s="21" t="n">
        <v>63</v>
      </c>
      <c r="C356" s="21" t="n">
        <v>4.18</v>
      </c>
      <c r="D356" s="21" t="n">
        <v>3</v>
      </c>
      <c r="E356" s="21" t="s">
        <v>116</v>
      </c>
      <c r="F356" s="21" t="n">
        <v>1</v>
      </c>
      <c r="G356" s="21" t="n">
        <v>0</v>
      </c>
      <c r="H356" s="21" t="s">
        <v>410</v>
      </c>
      <c r="I356" s="21" t="s">
        <v>37</v>
      </c>
    </row>
    <row r="357" customFormat="false" ht="15" hidden="false" customHeight="true" outlineLevel="0" collapsed="false">
      <c r="A357" s="21" t="n">
        <v>0</v>
      </c>
      <c r="B357" s="21" t="n">
        <v>63</v>
      </c>
      <c r="C357" s="21" t="n">
        <v>5.78</v>
      </c>
      <c r="D357" s="21" t="n">
        <v>2</v>
      </c>
      <c r="E357" s="21" t="s">
        <v>116</v>
      </c>
      <c r="F357" s="21" t="n">
        <v>0</v>
      </c>
      <c r="G357" s="21" t="n">
        <v>0</v>
      </c>
      <c r="H357" s="21" t="s">
        <v>411</v>
      </c>
      <c r="I357" s="21" t="s">
        <v>37</v>
      </c>
    </row>
    <row r="358" customFormat="false" ht="15" hidden="false" customHeight="true" outlineLevel="0" collapsed="false">
      <c r="A358" s="21" t="n">
        <v>0</v>
      </c>
      <c r="B358" s="21" t="n">
        <v>52</v>
      </c>
      <c r="C358" s="21" t="n">
        <v>9.45</v>
      </c>
      <c r="D358" s="21" t="n">
        <v>6</v>
      </c>
      <c r="E358" s="21" t="s">
        <v>116</v>
      </c>
      <c r="F358" s="21" t="n">
        <v>0</v>
      </c>
      <c r="G358" s="21" t="n">
        <v>0</v>
      </c>
      <c r="H358" s="21" t="s">
        <v>412</v>
      </c>
      <c r="I358" s="21" t="s">
        <v>37</v>
      </c>
    </row>
    <row r="359" customFormat="false" ht="15" hidden="false" customHeight="true" outlineLevel="0" collapsed="false">
      <c r="A359" s="21" t="n">
        <v>0</v>
      </c>
      <c r="B359" s="21" t="n">
        <v>52</v>
      </c>
      <c r="C359" s="21" t="n">
        <v>8.61</v>
      </c>
      <c r="D359" s="21" t="n">
        <v>5</v>
      </c>
      <c r="E359" s="21" t="s">
        <v>116</v>
      </c>
      <c r="F359" s="21" t="n">
        <v>1</v>
      </c>
      <c r="G359" s="21" t="n">
        <v>0</v>
      </c>
      <c r="H359" s="21" t="s">
        <v>413</v>
      </c>
      <c r="I359" s="21" t="s">
        <v>37</v>
      </c>
    </row>
    <row r="360" customFormat="false" ht="15" hidden="false" customHeight="true" outlineLevel="0" collapsed="false">
      <c r="A360" s="21" t="n">
        <v>0</v>
      </c>
      <c r="B360" s="21" t="n">
        <v>55</v>
      </c>
      <c r="C360" s="21" t="n">
        <v>8.88</v>
      </c>
      <c r="D360" s="21" t="n">
        <v>2</v>
      </c>
      <c r="E360" s="21" t="s">
        <v>116</v>
      </c>
      <c r="F360" s="21" t="n">
        <v>1</v>
      </c>
      <c r="G360" s="21" t="n">
        <v>0</v>
      </c>
      <c r="H360" s="21" t="s">
        <v>414</v>
      </c>
      <c r="I360" s="21" t="s">
        <v>37</v>
      </c>
    </row>
    <row r="361" customFormat="false" ht="15" hidden="false" customHeight="true" outlineLevel="0" collapsed="false">
      <c r="A361" s="21" t="n">
        <v>0</v>
      </c>
      <c r="B361" s="21" t="n">
        <v>51</v>
      </c>
      <c r="C361" s="21" t="n">
        <v>6.17</v>
      </c>
      <c r="D361" s="21" t="n">
        <v>6</v>
      </c>
      <c r="E361" s="21" t="s">
        <v>116</v>
      </c>
      <c r="F361" s="21" t="n">
        <v>0</v>
      </c>
      <c r="G361" s="21" t="n">
        <v>0</v>
      </c>
      <c r="H361" s="21" t="s">
        <v>415</v>
      </c>
      <c r="I361" s="21" t="s">
        <v>37</v>
      </c>
    </row>
    <row r="362" customFormat="false" ht="15" hidden="false" customHeight="true" outlineLevel="0" collapsed="false">
      <c r="A362" s="21" t="n">
        <v>0</v>
      </c>
      <c r="B362" s="21" t="n">
        <v>62</v>
      </c>
      <c r="C362" s="21" t="n">
        <v>9.04</v>
      </c>
      <c r="D362" s="21" t="n">
        <v>3</v>
      </c>
      <c r="E362" s="21" t="s">
        <v>116</v>
      </c>
      <c r="F362" s="21" t="n">
        <v>1</v>
      </c>
      <c r="G362" s="21" t="n">
        <v>0</v>
      </c>
      <c r="H362" s="21" t="s">
        <v>416</v>
      </c>
      <c r="I362" s="21" t="s">
        <v>37</v>
      </c>
    </row>
    <row r="363" customFormat="false" ht="15" hidden="false" customHeight="true" outlineLevel="0" collapsed="false">
      <c r="A363" s="21" t="n">
        <v>0</v>
      </c>
      <c r="B363" s="21" t="n">
        <v>50</v>
      </c>
      <c r="C363" s="21" t="n">
        <v>7.14</v>
      </c>
      <c r="D363" s="21" t="n">
        <v>2</v>
      </c>
      <c r="E363" s="21" t="s">
        <v>116</v>
      </c>
      <c r="F363" s="21" t="n">
        <v>0</v>
      </c>
      <c r="G363" s="21" t="n">
        <v>0</v>
      </c>
      <c r="H363" s="21" t="s">
        <v>417</v>
      </c>
      <c r="I363" s="21" t="s">
        <v>37</v>
      </c>
    </row>
    <row r="364" customFormat="false" ht="15" hidden="false" customHeight="true" outlineLevel="0" collapsed="false">
      <c r="A364" s="21" t="n">
        <v>0</v>
      </c>
      <c r="B364" s="21" t="n">
        <v>51</v>
      </c>
      <c r="C364" s="21" t="n">
        <v>7.9</v>
      </c>
      <c r="D364" s="21" t="n">
        <v>5</v>
      </c>
      <c r="E364" s="21" t="s">
        <v>116</v>
      </c>
      <c r="F364" s="21" t="n">
        <v>0</v>
      </c>
      <c r="G364" s="21" t="n">
        <v>0</v>
      </c>
      <c r="H364" s="21" t="s">
        <v>418</v>
      </c>
      <c r="I364" s="21" t="s">
        <v>37</v>
      </c>
    </row>
    <row r="365" customFormat="false" ht="15" hidden="false" customHeight="true" outlineLevel="0" collapsed="false">
      <c r="A365" s="21" t="n">
        <v>0</v>
      </c>
      <c r="B365" s="21" t="n">
        <v>68</v>
      </c>
      <c r="C365" s="21" t="n">
        <v>6.46</v>
      </c>
      <c r="D365" s="21" t="n">
        <v>3</v>
      </c>
      <c r="E365" s="21" t="s">
        <v>116</v>
      </c>
      <c r="F365" s="21" t="n">
        <v>1</v>
      </c>
      <c r="G365" s="21" t="n">
        <v>0</v>
      </c>
      <c r="H365" s="21" t="s">
        <v>419</v>
      </c>
      <c r="I365" s="21" t="s">
        <v>37</v>
      </c>
    </row>
    <row r="366" customFormat="false" ht="15" hidden="false" customHeight="true" outlineLevel="0" collapsed="false">
      <c r="A366" s="21" t="n">
        <v>0</v>
      </c>
      <c r="B366" s="21" t="n">
        <v>56</v>
      </c>
      <c r="C366" s="21" t="n">
        <v>9.86</v>
      </c>
      <c r="D366" s="21" t="n">
        <v>7</v>
      </c>
      <c r="E366" s="21" t="s">
        <v>116</v>
      </c>
      <c r="F366" s="21" t="n">
        <v>1</v>
      </c>
      <c r="G366" s="21" t="n">
        <v>0</v>
      </c>
      <c r="H366" s="21" t="s">
        <v>420</v>
      </c>
      <c r="I366" s="21" t="s">
        <v>37</v>
      </c>
    </row>
    <row r="367" customFormat="false" ht="15" hidden="false" customHeight="true" outlineLevel="0" collapsed="false">
      <c r="A367" s="21" t="n">
        <v>0</v>
      </c>
      <c r="B367" s="21" t="n">
        <v>62</v>
      </c>
      <c r="C367" s="21" t="n">
        <v>3.98</v>
      </c>
      <c r="D367" s="21" t="n">
        <v>1</v>
      </c>
      <c r="E367" s="21" t="s">
        <v>116</v>
      </c>
      <c r="F367" s="21" t="n">
        <v>0</v>
      </c>
      <c r="G367" s="21" t="n">
        <v>0</v>
      </c>
      <c r="H367" s="21" t="s">
        <v>421</v>
      </c>
      <c r="I367" s="21" t="s">
        <v>37</v>
      </c>
    </row>
    <row r="368" customFormat="false" ht="15" hidden="false" customHeight="true" outlineLevel="0" collapsed="false">
      <c r="A368" s="21" t="n">
        <v>0</v>
      </c>
      <c r="B368" s="21" t="n">
        <v>58</v>
      </c>
      <c r="C368" s="21" t="n">
        <v>8.38</v>
      </c>
      <c r="D368" s="21" t="n">
        <v>2</v>
      </c>
      <c r="E368" s="21" t="s">
        <v>116</v>
      </c>
      <c r="F368" s="21" t="n">
        <v>0</v>
      </c>
      <c r="G368" s="21" t="n">
        <v>0</v>
      </c>
      <c r="H368" s="21" t="s">
        <v>422</v>
      </c>
      <c r="I368" s="21" t="s">
        <v>37</v>
      </c>
    </row>
    <row r="369" customFormat="false" ht="15" hidden="false" customHeight="true" outlineLevel="0" collapsed="false">
      <c r="A369" s="21" t="n">
        <v>0</v>
      </c>
      <c r="B369" s="21" t="n">
        <v>69</v>
      </c>
      <c r="C369" s="21" t="n">
        <v>7.58</v>
      </c>
      <c r="D369" s="21" t="n">
        <v>8</v>
      </c>
      <c r="E369" s="21" t="s">
        <v>116</v>
      </c>
      <c r="F369" s="21" t="n">
        <v>1</v>
      </c>
      <c r="G369" s="21" t="n">
        <v>0</v>
      </c>
      <c r="H369" s="21" t="s">
        <v>423</v>
      </c>
      <c r="I369" s="21" t="s">
        <v>37</v>
      </c>
    </row>
    <row r="370" customFormat="false" ht="15" hidden="false" customHeight="true" outlineLevel="0" collapsed="false">
      <c r="A370" s="21" t="n">
        <v>0</v>
      </c>
      <c r="B370" s="21" t="n">
        <v>61</v>
      </c>
      <c r="C370" s="21" t="n">
        <v>11.22</v>
      </c>
      <c r="D370" s="21" t="n">
        <v>2</v>
      </c>
      <c r="E370" s="21" t="s">
        <v>116</v>
      </c>
      <c r="F370" s="21" t="n">
        <v>1</v>
      </c>
      <c r="G370" s="21" t="n">
        <v>0</v>
      </c>
      <c r="H370" s="21" t="s">
        <v>424</v>
      </c>
      <c r="I370" s="21" t="s">
        <v>37</v>
      </c>
    </row>
    <row r="371" customFormat="false" ht="15" hidden="false" customHeight="true" outlineLevel="0" collapsed="false">
      <c r="A371" s="21" t="n">
        <v>0</v>
      </c>
      <c r="B371" s="21" t="n">
        <v>55</v>
      </c>
      <c r="C371" s="21" t="n">
        <v>12.39</v>
      </c>
      <c r="D371" s="21" t="n">
        <v>1</v>
      </c>
      <c r="E371" s="21" t="s">
        <v>116</v>
      </c>
      <c r="F371" s="21" t="n">
        <v>1</v>
      </c>
      <c r="G371" s="21" t="n">
        <v>0</v>
      </c>
      <c r="H371" s="21" t="s">
        <v>425</v>
      </c>
      <c r="I371" s="21" t="s">
        <v>37</v>
      </c>
    </row>
    <row r="372" customFormat="false" ht="15" hidden="false" customHeight="true" outlineLevel="0" collapsed="false">
      <c r="A372" s="21" t="n">
        <v>1</v>
      </c>
      <c r="B372" s="21" t="n">
        <v>60</v>
      </c>
      <c r="C372" s="21" t="n">
        <v>13.15</v>
      </c>
      <c r="D372" s="21" t="n">
        <v>1</v>
      </c>
      <c r="E372" s="21" t="s">
        <v>116</v>
      </c>
      <c r="F372" s="21" t="n">
        <v>0</v>
      </c>
      <c r="G372" s="21" t="n">
        <v>0</v>
      </c>
      <c r="H372" s="21" t="s">
        <v>426</v>
      </c>
      <c r="I372" s="21" t="s">
        <v>37</v>
      </c>
    </row>
    <row r="373" customFormat="false" ht="15" hidden="false" customHeight="true" outlineLevel="0" collapsed="false">
      <c r="A373" s="21" t="n">
        <v>0</v>
      </c>
      <c r="B373" s="21" t="n">
        <v>56</v>
      </c>
      <c r="C373" s="21" t="n">
        <v>9.07</v>
      </c>
      <c r="D373" s="21" t="n">
        <v>6</v>
      </c>
      <c r="E373" s="21" t="s">
        <v>116</v>
      </c>
      <c r="F373" s="21" t="n">
        <v>1</v>
      </c>
      <c r="G373" s="21" t="n">
        <v>0</v>
      </c>
      <c r="H373" s="21" t="s">
        <v>427</v>
      </c>
      <c r="I373" s="21" t="s">
        <v>37</v>
      </c>
    </row>
    <row r="374" customFormat="false" ht="15" hidden="false" customHeight="true" outlineLevel="0" collapsed="false">
      <c r="A374" s="21" t="n">
        <v>0</v>
      </c>
      <c r="B374" s="21" t="n">
        <v>60</v>
      </c>
      <c r="C374" s="21" t="n">
        <v>11.41</v>
      </c>
      <c r="D374" s="21" t="n">
        <v>3</v>
      </c>
      <c r="E374" s="21" t="s">
        <v>116</v>
      </c>
      <c r="F374" s="21" t="n">
        <v>0</v>
      </c>
      <c r="G374" s="21" t="n">
        <v>0</v>
      </c>
      <c r="H374" s="21" t="s">
        <v>428</v>
      </c>
      <c r="I374" s="21" t="s">
        <v>37</v>
      </c>
    </row>
    <row r="375" customFormat="false" ht="15" hidden="false" customHeight="true" outlineLevel="0" collapsed="false">
      <c r="A375" s="21" t="n">
        <v>0</v>
      </c>
      <c r="B375" s="21" t="n">
        <v>61</v>
      </c>
      <c r="C375" s="21" t="n">
        <v>11.84</v>
      </c>
      <c r="D375" s="21" t="n">
        <v>1</v>
      </c>
      <c r="E375" s="21" t="s">
        <v>116</v>
      </c>
      <c r="F375" s="21" t="n">
        <v>1</v>
      </c>
      <c r="G375" s="21" t="n">
        <v>0</v>
      </c>
      <c r="H375" s="21" t="s">
        <v>429</v>
      </c>
      <c r="I375" s="21" t="s">
        <v>37</v>
      </c>
    </row>
    <row r="376" customFormat="false" ht="15" hidden="false" customHeight="true" outlineLevel="0" collapsed="false">
      <c r="A376" s="21" t="n">
        <v>0</v>
      </c>
      <c r="B376" s="21" t="n">
        <v>69</v>
      </c>
      <c r="C376" s="21" t="n">
        <v>9.31</v>
      </c>
      <c r="D376" s="21" t="n">
        <v>6</v>
      </c>
      <c r="E376" s="21" t="s">
        <v>116</v>
      </c>
      <c r="F376" s="21" t="n">
        <v>1</v>
      </c>
      <c r="G376" s="21" t="n">
        <v>0</v>
      </c>
      <c r="H376" s="21" t="s">
        <v>430</v>
      </c>
      <c r="I376" s="21" t="s">
        <v>37</v>
      </c>
    </row>
    <row r="377" customFormat="false" ht="15" hidden="false" customHeight="true" outlineLevel="0" collapsed="false">
      <c r="A377" s="21" t="n">
        <v>0</v>
      </c>
      <c r="B377" s="21" t="n">
        <v>62</v>
      </c>
      <c r="C377" s="21" t="n">
        <v>13.42</v>
      </c>
      <c r="D377" s="21" t="n">
        <v>4</v>
      </c>
      <c r="E377" s="21" t="s">
        <v>116</v>
      </c>
      <c r="F377" s="21" t="n">
        <v>1</v>
      </c>
      <c r="G377" s="21" t="n">
        <v>0</v>
      </c>
      <c r="H377" s="21" t="s">
        <v>323</v>
      </c>
      <c r="I377" s="21" t="s">
        <v>37</v>
      </c>
    </row>
    <row r="378" customFormat="false" ht="15" hidden="false" customHeight="true" outlineLevel="0" collapsed="false">
      <c r="A378" s="21" t="n">
        <v>0</v>
      </c>
      <c r="B378" s="21" t="n">
        <v>47</v>
      </c>
      <c r="C378" s="21" t="n">
        <v>12.33</v>
      </c>
      <c r="D378" s="21" t="n">
        <v>2</v>
      </c>
      <c r="E378" s="21" t="s">
        <v>116</v>
      </c>
      <c r="F378" s="21" t="n">
        <v>1</v>
      </c>
      <c r="G378" s="21" t="n">
        <v>0</v>
      </c>
      <c r="H378" s="21" t="s">
        <v>142</v>
      </c>
      <c r="I378" s="21" t="s">
        <v>37</v>
      </c>
    </row>
    <row r="379" customFormat="false" ht="15" hidden="false" customHeight="true" outlineLevel="0" collapsed="false">
      <c r="A379" s="21" t="n">
        <v>0</v>
      </c>
      <c r="B379" s="21" t="n">
        <v>58</v>
      </c>
      <c r="C379" s="21" t="n">
        <v>8.72</v>
      </c>
      <c r="D379" s="21" t="n">
        <v>5</v>
      </c>
      <c r="E379" s="21" t="s">
        <v>116</v>
      </c>
      <c r="F379" s="21" t="n">
        <v>0</v>
      </c>
      <c r="G379" s="21" t="n">
        <v>0</v>
      </c>
      <c r="H379" s="21" t="s">
        <v>431</v>
      </c>
      <c r="I379" s="21" t="s">
        <v>37</v>
      </c>
    </row>
    <row r="380" customFormat="false" ht="15" hidden="false" customHeight="true" outlineLevel="0" collapsed="false">
      <c r="A380" s="21" t="n">
        <v>0</v>
      </c>
      <c r="B380" s="21" t="n">
        <v>70</v>
      </c>
      <c r="C380" s="21" t="n">
        <v>7.71</v>
      </c>
      <c r="D380" s="21" t="n">
        <v>4</v>
      </c>
      <c r="E380" s="21" t="s">
        <v>116</v>
      </c>
      <c r="F380" s="21" t="n">
        <v>1</v>
      </c>
      <c r="G380" s="21" t="n">
        <v>0</v>
      </c>
      <c r="H380" s="21" t="s">
        <v>432</v>
      </c>
      <c r="I380" s="21" t="s">
        <v>37</v>
      </c>
    </row>
    <row r="381" customFormat="false" ht="15" hidden="false" customHeight="true" outlineLevel="0" collapsed="false">
      <c r="A381" s="21" t="n">
        <v>0</v>
      </c>
      <c r="B381" s="21" t="n">
        <v>60</v>
      </c>
      <c r="C381" s="21" t="n">
        <v>6.94</v>
      </c>
      <c r="D381" s="21" t="n">
        <v>10</v>
      </c>
      <c r="E381" s="21" t="s">
        <v>116</v>
      </c>
      <c r="F381" s="21" t="n">
        <v>0</v>
      </c>
      <c r="G381" s="21" t="n">
        <v>0</v>
      </c>
      <c r="H381" s="21" t="s">
        <v>433</v>
      </c>
      <c r="I381" s="21" t="s">
        <v>37</v>
      </c>
    </row>
    <row r="382" customFormat="false" ht="15" hidden="false" customHeight="true" outlineLevel="0" collapsed="false">
      <c r="A382" s="21" t="n">
        <v>0</v>
      </c>
      <c r="B382" s="21" t="n">
        <v>59</v>
      </c>
      <c r="C382" s="21" t="n">
        <v>12.18</v>
      </c>
      <c r="D382" s="21" t="n">
        <v>1</v>
      </c>
      <c r="E382" s="21" t="s">
        <v>116</v>
      </c>
      <c r="F382" s="21" t="n">
        <v>0</v>
      </c>
      <c r="G382" s="21" t="n">
        <v>0</v>
      </c>
      <c r="H382" s="21" t="s">
        <v>434</v>
      </c>
      <c r="I382" s="21" t="s">
        <v>37</v>
      </c>
    </row>
    <row r="383" customFormat="false" ht="15" hidden="false" customHeight="true" outlineLevel="0" collapsed="false">
      <c r="A383" s="21" t="n">
        <v>0</v>
      </c>
      <c r="B383" s="21" t="n">
        <v>65</v>
      </c>
      <c r="C383" s="21" t="n">
        <v>13.21</v>
      </c>
      <c r="D383" s="21" t="n">
        <v>3</v>
      </c>
      <c r="E383" s="21" t="s">
        <v>116</v>
      </c>
      <c r="F383" s="21" t="n">
        <v>0</v>
      </c>
      <c r="G383" s="21" t="n">
        <v>0</v>
      </c>
      <c r="H383" s="21" t="s">
        <v>435</v>
      </c>
      <c r="I383" s="21" t="s">
        <v>37</v>
      </c>
    </row>
    <row r="384" customFormat="false" ht="15" hidden="false" customHeight="true" outlineLevel="0" collapsed="false">
      <c r="A384" s="21" t="n">
        <v>1</v>
      </c>
      <c r="B384" s="21" t="n">
        <v>65</v>
      </c>
      <c r="C384" s="21" t="n">
        <v>7.51</v>
      </c>
      <c r="D384" s="21" t="n">
        <v>7</v>
      </c>
      <c r="E384" s="21" t="s">
        <v>116</v>
      </c>
      <c r="F384" s="21" t="n">
        <v>0</v>
      </c>
      <c r="G384" s="21" t="n">
        <v>1</v>
      </c>
      <c r="H384" s="21" t="s">
        <v>436</v>
      </c>
      <c r="I384" s="21" t="s">
        <v>37</v>
      </c>
    </row>
    <row r="385" customFormat="false" ht="15" hidden="false" customHeight="true" outlineLevel="0" collapsed="false">
      <c r="A385" s="21" t="n">
        <v>0</v>
      </c>
      <c r="B385" s="21" t="n">
        <v>60</v>
      </c>
      <c r="C385" s="21" t="n">
        <v>8.23</v>
      </c>
      <c r="D385" s="21" t="n">
        <v>5</v>
      </c>
      <c r="E385" s="21" t="s">
        <v>116</v>
      </c>
      <c r="F385" s="21" t="n">
        <v>0</v>
      </c>
      <c r="G385" s="21" t="n">
        <v>0</v>
      </c>
      <c r="H385" s="21" t="s">
        <v>437</v>
      </c>
      <c r="I385" s="21" t="s">
        <v>37</v>
      </c>
    </row>
    <row r="386" customFormat="false" ht="15" hidden="false" customHeight="true" outlineLevel="0" collapsed="false">
      <c r="A386" s="21" t="n">
        <v>1</v>
      </c>
      <c r="B386" s="21" t="n">
        <v>64</v>
      </c>
      <c r="C386" s="21" t="n">
        <v>8.51</v>
      </c>
      <c r="D386" s="21" t="n">
        <v>6</v>
      </c>
      <c r="E386" s="21" t="s">
        <v>116</v>
      </c>
      <c r="F386" s="21" t="n">
        <v>0</v>
      </c>
      <c r="G386" s="21" t="n">
        <v>0</v>
      </c>
      <c r="H386" s="21" t="s">
        <v>438</v>
      </c>
      <c r="I386" s="21" t="s">
        <v>37</v>
      </c>
    </row>
    <row r="387" customFormat="false" ht="15" hidden="false" customHeight="true" outlineLevel="0" collapsed="false">
      <c r="A387" s="21" t="n">
        <v>1</v>
      </c>
      <c r="B387" s="21" t="n">
        <v>54</v>
      </c>
      <c r="C387" s="21" t="n">
        <v>7.79</v>
      </c>
      <c r="D387" s="21" t="n">
        <v>2</v>
      </c>
      <c r="E387" s="21" t="s">
        <v>116</v>
      </c>
      <c r="F387" s="21" t="n">
        <v>0</v>
      </c>
      <c r="G387" s="21" t="n">
        <v>0</v>
      </c>
      <c r="H387" s="21" t="s">
        <v>439</v>
      </c>
      <c r="I387" s="21" t="s">
        <v>37</v>
      </c>
    </row>
    <row r="388" customFormat="false" ht="15" hidden="false" customHeight="true" outlineLevel="0" collapsed="false">
      <c r="A388" s="21" t="n">
        <v>0</v>
      </c>
      <c r="B388" s="21" t="n">
        <v>60</v>
      </c>
      <c r="C388" s="21" t="n">
        <v>11.95</v>
      </c>
      <c r="D388" s="21" t="n">
        <v>8</v>
      </c>
      <c r="E388" s="21" t="s">
        <v>116</v>
      </c>
      <c r="F388" s="21" t="n">
        <v>1</v>
      </c>
      <c r="G388" s="21" t="n">
        <v>0</v>
      </c>
      <c r="H388" s="21" t="s">
        <v>440</v>
      </c>
      <c r="I388" s="21" t="s">
        <v>37</v>
      </c>
    </row>
    <row r="389" customFormat="false" ht="15" hidden="false" customHeight="true" outlineLevel="0" collapsed="false">
      <c r="A389" s="21" t="n">
        <v>1</v>
      </c>
      <c r="B389" s="21" t="n">
        <v>63</v>
      </c>
      <c r="C389" s="21" t="n">
        <v>10.78</v>
      </c>
      <c r="D389" s="21" t="n">
        <v>6</v>
      </c>
      <c r="E389" s="21" t="s">
        <v>116</v>
      </c>
      <c r="F389" s="21" t="n">
        <v>0</v>
      </c>
      <c r="G389" s="21" t="n">
        <v>0</v>
      </c>
      <c r="H389" s="21" t="s">
        <v>441</v>
      </c>
      <c r="I389" s="21" t="s">
        <v>37</v>
      </c>
    </row>
    <row r="390" customFormat="false" ht="15" hidden="false" customHeight="true" outlineLevel="0" collapsed="false">
      <c r="A390" s="21" t="n">
        <v>0</v>
      </c>
      <c r="B390" s="21" t="n">
        <v>67</v>
      </c>
      <c r="C390" s="21" t="n">
        <v>10</v>
      </c>
      <c r="D390" s="21" t="n">
        <v>2</v>
      </c>
      <c r="E390" s="21" t="s">
        <v>116</v>
      </c>
      <c r="F390" s="21" t="n">
        <v>1</v>
      </c>
      <c r="G390" s="21" t="n">
        <v>0</v>
      </c>
      <c r="H390" s="21" t="s">
        <v>442</v>
      </c>
      <c r="I390" s="21" t="s">
        <v>37</v>
      </c>
    </row>
    <row r="391" customFormat="false" ht="15" hidden="false" customHeight="true" outlineLevel="0" collapsed="false">
      <c r="A391" s="21" t="n">
        <v>0</v>
      </c>
      <c r="B391" s="21" t="n">
        <v>64</v>
      </c>
      <c r="C391" s="21" t="n">
        <v>12.03</v>
      </c>
      <c r="D391" s="21" t="n">
        <v>10</v>
      </c>
      <c r="E391" s="21" t="s">
        <v>116</v>
      </c>
      <c r="F391" s="21" t="n">
        <v>1</v>
      </c>
      <c r="G391" s="21" t="n">
        <v>0</v>
      </c>
      <c r="H391" s="21" t="s">
        <v>443</v>
      </c>
      <c r="I391" s="21" t="s">
        <v>37</v>
      </c>
    </row>
    <row r="392" customFormat="false" ht="15" hidden="false" customHeight="true" outlineLevel="0" collapsed="false">
      <c r="A392" s="21" t="n">
        <v>0</v>
      </c>
      <c r="B392" s="21" t="n">
        <v>64</v>
      </c>
      <c r="C392" s="21" t="n">
        <v>6.34</v>
      </c>
      <c r="D392" s="21" t="n">
        <v>8</v>
      </c>
      <c r="E392" s="21" t="s">
        <v>116</v>
      </c>
      <c r="F392" s="21" t="n">
        <v>1</v>
      </c>
      <c r="G392" s="21" t="n">
        <v>0</v>
      </c>
      <c r="H392" s="21" t="s">
        <v>444</v>
      </c>
      <c r="I392" s="21" t="s">
        <v>37</v>
      </c>
    </row>
    <row r="393" customFormat="false" ht="15" hidden="false" customHeight="true" outlineLevel="0" collapsed="false">
      <c r="A393" s="21" t="n">
        <v>1</v>
      </c>
      <c r="B393" s="21" t="n">
        <v>66</v>
      </c>
      <c r="C393" s="21" t="n">
        <v>9.68</v>
      </c>
      <c r="D393" s="21" t="n">
        <v>6</v>
      </c>
      <c r="E393" s="21" t="s">
        <v>116</v>
      </c>
      <c r="F393" s="21" t="n">
        <v>1</v>
      </c>
      <c r="G393" s="21" t="n">
        <v>0</v>
      </c>
      <c r="H393" s="21" t="s">
        <v>445</v>
      </c>
      <c r="I393" s="21" t="s">
        <v>37</v>
      </c>
    </row>
    <row r="394" customFormat="false" ht="15" hidden="false" customHeight="true" outlineLevel="0" collapsed="false">
      <c r="A394" s="21" t="n">
        <v>0</v>
      </c>
      <c r="B394" s="21" t="n">
        <v>54</v>
      </c>
      <c r="C394" s="21" t="n">
        <v>8</v>
      </c>
      <c r="D394" s="21" t="n">
        <v>7</v>
      </c>
      <c r="E394" s="21" t="s">
        <v>157</v>
      </c>
      <c r="F394" s="21" t="n">
        <v>1</v>
      </c>
      <c r="G394" s="21" t="n">
        <v>0</v>
      </c>
      <c r="H394" s="21" t="s">
        <v>446</v>
      </c>
      <c r="I394" s="21" t="s">
        <v>37</v>
      </c>
    </row>
    <row r="395" customFormat="false" ht="15" hidden="false" customHeight="true" outlineLevel="0" collapsed="false">
      <c r="A395" s="21" t="n">
        <v>0</v>
      </c>
      <c r="B395" s="21" t="n">
        <v>67</v>
      </c>
      <c r="C395" s="21" t="n">
        <v>3.9</v>
      </c>
      <c r="D395" s="21" t="n">
        <v>11</v>
      </c>
      <c r="E395" s="21" t="s">
        <v>157</v>
      </c>
      <c r="F395" s="21" t="n">
        <v>1</v>
      </c>
      <c r="G395" s="21" t="n">
        <v>0</v>
      </c>
      <c r="H395" s="21" t="s">
        <v>447</v>
      </c>
      <c r="I395" s="21" t="s">
        <v>37</v>
      </c>
    </row>
    <row r="396" customFormat="false" ht="15" hidden="false" customHeight="true" outlineLevel="0" collapsed="false">
      <c r="A396" s="21" t="n">
        <v>1</v>
      </c>
      <c r="B396" s="21" t="n">
        <v>60</v>
      </c>
      <c r="C396" s="21" t="n">
        <v>5.66</v>
      </c>
      <c r="D396" s="21" t="n">
        <v>3</v>
      </c>
      <c r="E396" s="21" t="s">
        <v>157</v>
      </c>
      <c r="F396" s="21" t="n">
        <v>0</v>
      </c>
      <c r="G396" s="21" t="n">
        <v>0</v>
      </c>
      <c r="H396" s="21" t="s">
        <v>448</v>
      </c>
      <c r="I396" s="21" t="s">
        <v>37</v>
      </c>
    </row>
    <row r="397" customFormat="false" ht="15" hidden="false" customHeight="true" outlineLevel="0" collapsed="false">
      <c r="A397" s="21" t="n">
        <v>0</v>
      </c>
      <c r="B397" s="21" t="n">
        <v>60</v>
      </c>
      <c r="C397" s="21" t="n">
        <v>8.7</v>
      </c>
      <c r="D397" s="21" t="n">
        <v>5</v>
      </c>
      <c r="E397" s="21" t="s">
        <v>157</v>
      </c>
      <c r="F397" s="21" t="n">
        <v>1</v>
      </c>
      <c r="G397" s="21" t="n">
        <v>0</v>
      </c>
      <c r="H397" s="21" t="s">
        <v>449</v>
      </c>
      <c r="I397" s="21" t="s">
        <v>37</v>
      </c>
    </row>
    <row r="398" customFormat="false" ht="15" hidden="false" customHeight="true" outlineLevel="0" collapsed="false">
      <c r="A398" s="21" t="n">
        <v>1</v>
      </c>
      <c r="B398" s="21" t="n">
        <v>63</v>
      </c>
      <c r="C398" s="21" t="n">
        <v>9.92</v>
      </c>
      <c r="D398" s="21" t="n">
        <v>1</v>
      </c>
      <c r="E398" s="21" t="s">
        <v>157</v>
      </c>
      <c r="F398" s="21" t="n">
        <v>1</v>
      </c>
      <c r="G398" s="21" t="n">
        <v>0</v>
      </c>
      <c r="H398" s="21" t="s">
        <v>450</v>
      </c>
      <c r="I398" s="21" t="s">
        <v>37</v>
      </c>
    </row>
    <row r="399" customFormat="false" ht="15" hidden="false" customHeight="true" outlineLevel="0" collapsed="false">
      <c r="A399" s="21" t="n">
        <v>0</v>
      </c>
      <c r="B399" s="21" t="n">
        <v>63</v>
      </c>
      <c r="C399" s="21" t="n">
        <v>10.59</v>
      </c>
      <c r="D399" s="21" t="n">
        <v>8</v>
      </c>
      <c r="E399" s="21" t="s">
        <v>157</v>
      </c>
      <c r="F399" s="21" t="n">
        <v>1</v>
      </c>
      <c r="G399" s="21" t="n">
        <v>0</v>
      </c>
      <c r="H399" s="21" t="s">
        <v>451</v>
      </c>
      <c r="I399" s="21" t="s">
        <v>37</v>
      </c>
    </row>
    <row r="400" customFormat="false" ht="15" hidden="false" customHeight="true" outlineLevel="0" collapsed="false">
      <c r="A400" s="21" t="n">
        <v>0</v>
      </c>
      <c r="B400" s="21" t="n">
        <v>65</v>
      </c>
      <c r="C400" s="21" t="n">
        <v>9.07</v>
      </c>
      <c r="D400" s="21" t="n">
        <v>5</v>
      </c>
      <c r="E400" s="21" t="s">
        <v>157</v>
      </c>
      <c r="F400" s="21" t="n">
        <v>0</v>
      </c>
      <c r="G400" s="21" t="n">
        <v>0</v>
      </c>
      <c r="H400" s="21" t="s">
        <v>452</v>
      </c>
      <c r="I400" s="21" t="s">
        <v>37</v>
      </c>
    </row>
    <row r="401" customFormat="false" ht="15" hidden="false" customHeight="true" outlineLevel="0" collapsed="false">
      <c r="A401" s="21" t="n">
        <v>0</v>
      </c>
      <c r="B401" s="21" t="n">
        <v>56</v>
      </c>
      <c r="C401" s="21" t="n">
        <v>14.89</v>
      </c>
      <c r="D401" s="21" t="n">
        <v>2</v>
      </c>
      <c r="E401" s="21" t="s">
        <v>157</v>
      </c>
      <c r="F401" s="21" t="n">
        <v>0</v>
      </c>
      <c r="G401" s="21" t="n">
        <v>0</v>
      </c>
      <c r="H401" s="21" t="s">
        <v>453</v>
      </c>
      <c r="I401" s="21" t="s">
        <v>37</v>
      </c>
    </row>
    <row r="402" customFormat="false" ht="15" hidden="false" customHeight="true" outlineLevel="0" collapsed="false">
      <c r="A402" s="21" t="n">
        <v>0</v>
      </c>
      <c r="B402" s="21" t="n">
        <v>62</v>
      </c>
      <c r="C402" s="21" t="n">
        <v>6.04</v>
      </c>
      <c r="D402" s="21" t="n">
        <v>2</v>
      </c>
      <c r="E402" s="21" t="s">
        <v>157</v>
      </c>
      <c r="F402" s="21" t="n">
        <v>1</v>
      </c>
      <c r="G402" s="21" t="n">
        <v>0</v>
      </c>
      <c r="H402" s="21" t="s">
        <v>454</v>
      </c>
      <c r="I402" s="21" t="s">
        <v>37</v>
      </c>
    </row>
    <row r="403" customFormat="false" ht="15" hidden="false" customHeight="true" outlineLevel="0" collapsed="false">
      <c r="A403" s="21" t="n">
        <v>0</v>
      </c>
      <c r="B403" s="21" t="n">
        <v>62</v>
      </c>
      <c r="C403" s="21" t="n">
        <v>8.46</v>
      </c>
      <c r="D403" s="21" t="n">
        <v>5</v>
      </c>
      <c r="E403" s="21" t="s">
        <v>157</v>
      </c>
      <c r="F403" s="21" t="n">
        <v>1</v>
      </c>
      <c r="G403" s="21" t="n">
        <v>0</v>
      </c>
      <c r="H403" s="21" t="s">
        <v>455</v>
      </c>
      <c r="I403" s="21" t="s">
        <v>37</v>
      </c>
    </row>
    <row r="404" customFormat="false" ht="15" hidden="false" customHeight="true" outlineLevel="0" collapsed="false">
      <c r="A404" s="21" t="n">
        <v>0</v>
      </c>
      <c r="B404" s="21" t="n">
        <v>65</v>
      </c>
      <c r="C404" s="21" t="n">
        <v>3.13</v>
      </c>
      <c r="D404" s="21" t="n">
        <v>6</v>
      </c>
      <c r="E404" s="21" t="s">
        <v>58</v>
      </c>
      <c r="F404" s="21" t="n">
        <v>0</v>
      </c>
      <c r="G404" s="21" t="n">
        <v>0</v>
      </c>
      <c r="H404" s="21" t="s">
        <v>456</v>
      </c>
      <c r="I404" s="21" t="s">
        <v>36</v>
      </c>
    </row>
    <row r="405" customFormat="false" ht="15" hidden="false" customHeight="true" outlineLevel="0" collapsed="false">
      <c r="A405" s="21" t="n">
        <v>1</v>
      </c>
      <c r="B405" s="21" t="n">
        <v>82</v>
      </c>
      <c r="C405" s="21" t="n">
        <v>3.32</v>
      </c>
      <c r="D405" s="21" t="n">
        <v>6</v>
      </c>
      <c r="E405" s="21" t="s">
        <v>58</v>
      </c>
      <c r="F405" s="21" t="n">
        <v>1</v>
      </c>
      <c r="G405" s="21" t="n">
        <v>0</v>
      </c>
      <c r="H405" s="21" t="s">
        <v>457</v>
      </c>
      <c r="I405" s="21" t="s">
        <v>36</v>
      </c>
    </row>
    <row r="406" customFormat="false" ht="15" hidden="false" customHeight="true" outlineLevel="0" collapsed="false">
      <c r="A406" s="21" t="n">
        <v>0</v>
      </c>
      <c r="B406" s="21" t="n">
        <v>32</v>
      </c>
      <c r="C406" s="21" t="n">
        <v>1.16</v>
      </c>
      <c r="D406" s="21" t="n">
        <v>8</v>
      </c>
      <c r="E406" s="21" t="s">
        <v>58</v>
      </c>
      <c r="F406" s="21" t="n">
        <v>0</v>
      </c>
      <c r="G406" s="21" t="n">
        <v>1</v>
      </c>
      <c r="H406" s="21" t="s">
        <v>458</v>
      </c>
      <c r="I406" s="21" t="s">
        <v>36</v>
      </c>
    </row>
    <row r="407" customFormat="false" ht="15" hidden="false" customHeight="true" outlineLevel="0" collapsed="false">
      <c r="A407" s="21" t="n">
        <v>0</v>
      </c>
      <c r="B407" s="21" t="n">
        <v>55</v>
      </c>
      <c r="C407" s="21" t="n">
        <v>2.23</v>
      </c>
      <c r="D407" s="21" t="n">
        <v>9</v>
      </c>
      <c r="E407" s="21" t="s">
        <v>58</v>
      </c>
      <c r="F407" s="21" t="n">
        <v>1</v>
      </c>
      <c r="G407" s="21" t="n">
        <v>0</v>
      </c>
      <c r="H407" s="21" t="s">
        <v>459</v>
      </c>
      <c r="I407" s="21" t="s">
        <v>36</v>
      </c>
    </row>
    <row r="408" customFormat="false" ht="15" hidden="false" customHeight="true" outlineLevel="0" collapsed="false">
      <c r="A408" s="21" t="n">
        <v>0</v>
      </c>
      <c r="B408" s="21" t="n">
        <v>58</v>
      </c>
      <c r="C408" s="21" t="n">
        <v>8.86</v>
      </c>
      <c r="D408" s="21" t="n">
        <v>5</v>
      </c>
      <c r="E408" s="21" t="s">
        <v>58</v>
      </c>
      <c r="F408" s="21" t="n">
        <v>0</v>
      </c>
      <c r="G408" s="21" t="n">
        <v>0</v>
      </c>
      <c r="H408" s="21" t="s">
        <v>460</v>
      </c>
      <c r="I408" s="21" t="s">
        <v>36</v>
      </c>
    </row>
    <row r="409" customFormat="false" ht="15" hidden="false" customHeight="true" outlineLevel="0" collapsed="false">
      <c r="A409" s="21" t="n">
        <v>0</v>
      </c>
      <c r="B409" s="21" t="n">
        <v>64</v>
      </c>
      <c r="C409" s="21" t="n">
        <v>8.44</v>
      </c>
      <c r="D409" s="21" t="n">
        <v>9</v>
      </c>
      <c r="E409" s="21" t="s">
        <v>58</v>
      </c>
      <c r="F409" s="21" t="n">
        <v>0</v>
      </c>
      <c r="G409" s="21" t="n">
        <v>0</v>
      </c>
      <c r="H409" s="21" t="s">
        <v>461</v>
      </c>
      <c r="I409" s="21" t="s">
        <v>36</v>
      </c>
    </row>
    <row r="410" customFormat="false" ht="15" hidden="false" customHeight="true" outlineLevel="0" collapsed="false">
      <c r="A410" s="21" t="n">
        <v>0</v>
      </c>
      <c r="B410" s="21" t="n">
        <v>55</v>
      </c>
      <c r="C410" s="21" t="n">
        <v>3.54</v>
      </c>
      <c r="D410" s="21" t="n">
        <v>9</v>
      </c>
      <c r="E410" s="21" t="s">
        <v>58</v>
      </c>
      <c r="F410" s="21" t="n">
        <v>1</v>
      </c>
      <c r="G410" s="21" t="n">
        <v>0</v>
      </c>
      <c r="H410" s="21" t="s">
        <v>462</v>
      </c>
      <c r="I410" s="21" t="s">
        <v>36</v>
      </c>
    </row>
    <row r="411" customFormat="false" ht="15" hidden="false" customHeight="true" outlineLevel="0" collapsed="false">
      <c r="A411" s="21" t="n">
        <v>0</v>
      </c>
      <c r="B411" s="21" t="n">
        <v>62</v>
      </c>
      <c r="C411" s="21" t="n">
        <v>8.44</v>
      </c>
      <c r="D411" s="21" t="n">
        <v>8</v>
      </c>
      <c r="E411" s="21" t="s">
        <v>58</v>
      </c>
      <c r="F411" s="21" t="n">
        <v>0</v>
      </c>
      <c r="G411" s="21" t="n">
        <v>0</v>
      </c>
      <c r="H411" s="21" t="s">
        <v>463</v>
      </c>
      <c r="I411" s="21" t="s">
        <v>36</v>
      </c>
    </row>
    <row r="412" customFormat="false" ht="15" hidden="false" customHeight="true" outlineLevel="0" collapsed="false">
      <c r="A412" s="21" t="n">
        <v>0</v>
      </c>
      <c r="B412" s="21" t="n">
        <v>68</v>
      </c>
      <c r="C412" s="21" t="n">
        <v>2.8</v>
      </c>
      <c r="D412" s="21" t="n">
        <v>7</v>
      </c>
      <c r="E412" s="21" t="s">
        <v>58</v>
      </c>
      <c r="F412" s="21" t="n">
        <v>0</v>
      </c>
      <c r="G412" s="21" t="n">
        <v>0</v>
      </c>
      <c r="H412" s="21" t="s">
        <v>464</v>
      </c>
      <c r="I412" s="21" t="s">
        <v>36</v>
      </c>
    </row>
    <row r="413" customFormat="false" ht="15" hidden="false" customHeight="true" outlineLevel="0" collapsed="false">
      <c r="A413" s="21" t="n">
        <v>0</v>
      </c>
      <c r="B413" s="21" t="n">
        <v>50</v>
      </c>
      <c r="C413" s="21" t="n">
        <v>5.32</v>
      </c>
      <c r="D413" s="21" t="n">
        <v>7</v>
      </c>
      <c r="E413" s="21" t="s">
        <v>58</v>
      </c>
      <c r="F413" s="21" t="n">
        <v>0</v>
      </c>
      <c r="G413" s="21" t="n">
        <v>0</v>
      </c>
      <c r="H413" s="21" t="s">
        <v>465</v>
      </c>
      <c r="I413" s="21" t="s">
        <v>36</v>
      </c>
    </row>
    <row r="414" customFormat="false" ht="15" hidden="false" customHeight="true" outlineLevel="0" collapsed="false">
      <c r="A414" s="21" t="n">
        <v>0</v>
      </c>
      <c r="B414" s="21" t="n">
        <v>53</v>
      </c>
      <c r="C414" s="21" t="n">
        <v>4.53</v>
      </c>
      <c r="D414" s="21" t="n">
        <v>6</v>
      </c>
      <c r="E414" s="21" t="s">
        <v>58</v>
      </c>
      <c r="F414" s="21" t="n">
        <v>0</v>
      </c>
      <c r="G414" s="21" t="n">
        <v>0</v>
      </c>
      <c r="H414" s="21" t="s">
        <v>466</v>
      </c>
      <c r="I414" s="21" t="s">
        <v>36</v>
      </c>
    </row>
    <row r="415" customFormat="false" ht="15" hidden="false" customHeight="true" outlineLevel="0" collapsed="false">
      <c r="A415" s="21" t="n">
        <v>1</v>
      </c>
      <c r="B415" s="21" t="n">
        <v>58</v>
      </c>
      <c r="C415" s="21" t="n">
        <v>0.95</v>
      </c>
      <c r="D415" s="21" t="n">
        <v>4</v>
      </c>
      <c r="E415" s="21" t="s">
        <v>72</v>
      </c>
      <c r="F415" s="21" t="n">
        <v>0</v>
      </c>
      <c r="G415" s="21" t="n">
        <v>0</v>
      </c>
      <c r="H415" s="21" t="s">
        <v>467</v>
      </c>
      <c r="I415" s="21" t="s">
        <v>36</v>
      </c>
    </row>
    <row r="416" customFormat="false" ht="15" hidden="false" customHeight="true" outlineLevel="0" collapsed="false">
      <c r="A416" s="21" t="n">
        <v>1</v>
      </c>
      <c r="B416" s="21" t="n">
        <v>44</v>
      </c>
      <c r="C416" s="21" t="n">
        <v>3.44</v>
      </c>
      <c r="D416" s="21" t="n">
        <v>1</v>
      </c>
      <c r="E416" s="21" t="s">
        <v>72</v>
      </c>
      <c r="F416" s="21" t="n">
        <v>1</v>
      </c>
      <c r="G416" s="21" t="n">
        <v>0</v>
      </c>
      <c r="H416" s="21" t="s">
        <v>468</v>
      </c>
      <c r="I416" s="21" t="s">
        <v>36</v>
      </c>
    </row>
    <row r="417" customFormat="false" ht="15" hidden="false" customHeight="true" outlineLevel="0" collapsed="false">
      <c r="A417" s="21" t="n">
        <v>1</v>
      </c>
      <c r="B417" s="21" t="n">
        <v>69</v>
      </c>
      <c r="C417" s="21" t="n">
        <v>4.58</v>
      </c>
      <c r="D417" s="21" t="n">
        <v>7</v>
      </c>
      <c r="E417" s="21" t="s">
        <v>72</v>
      </c>
      <c r="F417" s="21" t="n">
        <v>0</v>
      </c>
      <c r="G417" s="21" t="n">
        <v>1</v>
      </c>
      <c r="H417" s="21" t="s">
        <v>469</v>
      </c>
      <c r="I417" s="21" t="s">
        <v>36</v>
      </c>
    </row>
    <row r="418" customFormat="false" ht="15" hidden="false" customHeight="true" outlineLevel="0" collapsed="false">
      <c r="A418" s="21" t="n">
        <v>0</v>
      </c>
      <c r="B418" s="21" t="n">
        <v>49</v>
      </c>
      <c r="C418" s="21" t="n">
        <v>4.42</v>
      </c>
      <c r="D418" s="21" t="n">
        <v>14</v>
      </c>
      <c r="E418" s="21" t="s">
        <v>72</v>
      </c>
      <c r="F418" s="21" t="n">
        <v>0</v>
      </c>
      <c r="G418" s="21" t="n">
        <v>1</v>
      </c>
      <c r="H418" s="21" t="s">
        <v>470</v>
      </c>
      <c r="I418" s="21" t="s">
        <v>36</v>
      </c>
    </row>
    <row r="419" customFormat="false" ht="15" hidden="false" customHeight="true" outlineLevel="0" collapsed="false">
      <c r="A419" s="21" t="n">
        <v>0</v>
      </c>
      <c r="B419" s="21" t="n">
        <v>56</v>
      </c>
      <c r="C419" s="21" t="n">
        <v>6.4</v>
      </c>
      <c r="D419" s="21" t="n">
        <v>3</v>
      </c>
      <c r="E419" s="21" t="s">
        <v>72</v>
      </c>
      <c r="F419" s="21" t="n">
        <v>0</v>
      </c>
      <c r="G419" s="21" t="n">
        <v>0</v>
      </c>
      <c r="H419" s="21" t="s">
        <v>471</v>
      </c>
      <c r="I419" s="21" t="s">
        <v>36</v>
      </c>
    </row>
    <row r="420" customFormat="false" ht="15" hidden="false" customHeight="true" outlineLevel="0" collapsed="false">
      <c r="A420" s="21" t="n">
        <v>0</v>
      </c>
      <c r="B420" s="21" t="n">
        <v>46</v>
      </c>
      <c r="C420" s="21" t="n">
        <v>7.5</v>
      </c>
      <c r="D420" s="21" t="n">
        <v>10</v>
      </c>
      <c r="E420" s="21" t="s">
        <v>72</v>
      </c>
      <c r="F420" s="21" t="n">
        <v>1</v>
      </c>
      <c r="G420" s="21" t="n">
        <v>0</v>
      </c>
      <c r="H420" s="21" t="s">
        <v>472</v>
      </c>
      <c r="I420" s="21" t="s">
        <v>36</v>
      </c>
    </row>
    <row r="421" customFormat="false" ht="15" hidden="false" customHeight="true" outlineLevel="0" collapsed="false">
      <c r="A421" s="21" t="n">
        <v>1</v>
      </c>
      <c r="B421" s="21" t="n">
        <v>52</v>
      </c>
      <c r="C421" s="21" t="n">
        <v>1</v>
      </c>
      <c r="D421" s="21" t="n">
        <v>4</v>
      </c>
      <c r="E421" s="21" t="s">
        <v>72</v>
      </c>
      <c r="F421" s="21" t="n">
        <v>0</v>
      </c>
      <c r="G421" s="21" t="n">
        <v>1</v>
      </c>
      <c r="H421" s="21" t="s">
        <v>473</v>
      </c>
      <c r="I421" s="21" t="s">
        <v>36</v>
      </c>
    </row>
    <row r="422" customFormat="false" ht="15" hidden="false" customHeight="true" outlineLevel="0" collapsed="false">
      <c r="A422" s="21" t="n">
        <v>0</v>
      </c>
      <c r="B422" s="21" t="n">
        <v>62</v>
      </c>
      <c r="C422" s="21" t="n">
        <v>4.75</v>
      </c>
      <c r="D422" s="21" t="n">
        <v>14</v>
      </c>
      <c r="E422" s="21" t="s">
        <v>72</v>
      </c>
      <c r="F422" s="21" t="n">
        <v>0</v>
      </c>
      <c r="G422" s="21" t="n">
        <v>0</v>
      </c>
      <c r="H422" s="21" t="s">
        <v>474</v>
      </c>
      <c r="I422" s="21" t="s">
        <v>36</v>
      </c>
    </row>
    <row r="423" customFormat="false" ht="15" hidden="false" customHeight="true" outlineLevel="0" collapsed="false">
      <c r="A423" s="21" t="n">
        <v>0</v>
      </c>
      <c r="B423" s="21" t="n">
        <v>72</v>
      </c>
      <c r="C423" s="21" t="n">
        <v>3.99</v>
      </c>
      <c r="D423" s="21" t="n">
        <v>9</v>
      </c>
      <c r="E423" s="21" t="s">
        <v>72</v>
      </c>
      <c r="F423" s="21" t="n">
        <v>1</v>
      </c>
      <c r="G423" s="21" t="n">
        <v>0</v>
      </c>
      <c r="H423" s="21" t="s">
        <v>475</v>
      </c>
      <c r="I423" s="21" t="s">
        <v>36</v>
      </c>
    </row>
    <row r="424" customFormat="false" ht="15" hidden="false" customHeight="true" outlineLevel="0" collapsed="false">
      <c r="A424" s="21" t="n">
        <v>0</v>
      </c>
      <c r="B424" s="21" t="n">
        <v>58</v>
      </c>
      <c r="C424" s="21" t="n">
        <v>2.1</v>
      </c>
      <c r="D424" s="21" t="n">
        <v>4</v>
      </c>
      <c r="E424" s="21" t="s">
        <v>72</v>
      </c>
      <c r="F424" s="21" t="n">
        <v>0</v>
      </c>
      <c r="G424" s="21" t="n">
        <v>0</v>
      </c>
      <c r="H424" s="21" t="s">
        <v>476</v>
      </c>
      <c r="I424" s="21" t="s">
        <v>36</v>
      </c>
    </row>
    <row r="425" customFormat="false" ht="15" hidden="false" customHeight="true" outlineLevel="0" collapsed="false">
      <c r="A425" s="21" t="n">
        <v>0</v>
      </c>
      <c r="B425" s="21" t="n">
        <v>58</v>
      </c>
      <c r="C425" s="21" t="n">
        <v>5.47</v>
      </c>
      <c r="D425" s="21" t="n">
        <v>13</v>
      </c>
      <c r="E425" s="21" t="s">
        <v>72</v>
      </c>
      <c r="F425" s="21" t="n">
        <v>0</v>
      </c>
      <c r="G425" s="21" t="n">
        <v>0</v>
      </c>
      <c r="H425" s="21" t="s">
        <v>59</v>
      </c>
      <c r="I425" s="21" t="s">
        <v>36</v>
      </c>
    </row>
    <row r="426" customFormat="false" ht="15" hidden="false" customHeight="true" outlineLevel="0" collapsed="false">
      <c r="A426" s="21" t="n">
        <v>0</v>
      </c>
      <c r="B426" s="21" t="n">
        <v>59</v>
      </c>
      <c r="C426" s="21" t="n">
        <v>3.51</v>
      </c>
      <c r="D426" s="21" t="n">
        <v>9</v>
      </c>
      <c r="E426" s="21" t="s">
        <v>72</v>
      </c>
      <c r="F426" s="21" t="n">
        <v>1</v>
      </c>
      <c r="G426" s="21" t="n">
        <v>0</v>
      </c>
      <c r="H426" s="21" t="s">
        <v>477</v>
      </c>
      <c r="I426" s="21" t="s">
        <v>36</v>
      </c>
    </row>
    <row r="427" customFormat="false" ht="15" hidden="false" customHeight="true" outlineLevel="0" collapsed="false">
      <c r="A427" s="21" t="n">
        <v>1</v>
      </c>
      <c r="B427" s="21" t="n">
        <v>45</v>
      </c>
      <c r="C427" s="21" t="n">
        <v>3.24</v>
      </c>
      <c r="D427" s="21" t="n">
        <v>7</v>
      </c>
      <c r="E427" s="21" t="s">
        <v>72</v>
      </c>
      <c r="F427" s="21" t="n">
        <v>0</v>
      </c>
      <c r="G427" s="21" t="n">
        <v>0</v>
      </c>
      <c r="H427" s="21" t="s">
        <v>478</v>
      </c>
      <c r="I427" s="21" t="s">
        <v>36</v>
      </c>
    </row>
    <row r="428" customFormat="false" ht="15" hidden="false" customHeight="true" outlineLevel="0" collapsed="false">
      <c r="A428" s="21" t="n">
        <v>0</v>
      </c>
      <c r="B428" s="21" t="n">
        <v>56</v>
      </c>
      <c r="C428" s="21" t="n">
        <v>6.58</v>
      </c>
      <c r="D428" s="21" t="n">
        <v>11</v>
      </c>
      <c r="E428" s="21" t="s">
        <v>72</v>
      </c>
      <c r="F428" s="21" t="n">
        <v>0</v>
      </c>
      <c r="G428" s="21" t="n">
        <v>0</v>
      </c>
      <c r="H428" s="21" t="s">
        <v>479</v>
      </c>
      <c r="I428" s="21" t="s">
        <v>36</v>
      </c>
    </row>
    <row r="429" customFormat="false" ht="15" hidden="false" customHeight="true" outlineLevel="0" collapsed="false">
      <c r="A429" s="21" t="n">
        <v>0</v>
      </c>
      <c r="B429" s="21" t="n">
        <v>51</v>
      </c>
      <c r="C429" s="21" t="n">
        <v>2.91</v>
      </c>
      <c r="D429" s="21" t="n">
        <v>14</v>
      </c>
      <c r="E429" s="21" t="s">
        <v>72</v>
      </c>
      <c r="F429" s="21" t="n">
        <v>0</v>
      </c>
      <c r="G429" s="21" t="n">
        <v>0</v>
      </c>
      <c r="H429" s="21" t="s">
        <v>480</v>
      </c>
      <c r="I429" s="21" t="s">
        <v>36</v>
      </c>
    </row>
    <row r="430" customFormat="false" ht="15" hidden="false" customHeight="true" outlineLevel="0" collapsed="false">
      <c r="A430" s="21" t="n">
        <v>0</v>
      </c>
      <c r="B430" s="21" t="n">
        <v>63</v>
      </c>
      <c r="C430" s="21" t="n">
        <v>4.06</v>
      </c>
      <c r="D430" s="21" t="n">
        <v>7</v>
      </c>
      <c r="E430" s="21" t="s">
        <v>72</v>
      </c>
      <c r="F430" s="21" t="n">
        <v>0</v>
      </c>
      <c r="G430" s="21" t="n">
        <v>0</v>
      </c>
      <c r="H430" s="21" t="s">
        <v>481</v>
      </c>
      <c r="I430" s="21" t="s">
        <v>36</v>
      </c>
    </row>
    <row r="431" customFormat="false" ht="15" hidden="false" customHeight="true" outlineLevel="0" collapsed="false">
      <c r="A431" s="21" t="n">
        <v>1</v>
      </c>
      <c r="B431" s="21" t="n">
        <v>49</v>
      </c>
      <c r="C431" s="21" t="n">
        <v>2.18</v>
      </c>
      <c r="D431" s="21" t="n">
        <v>3</v>
      </c>
      <c r="E431" s="21" t="s">
        <v>72</v>
      </c>
      <c r="F431" s="21" t="n">
        <v>0</v>
      </c>
      <c r="G431" s="21" t="n">
        <v>0</v>
      </c>
      <c r="H431" s="21" t="s">
        <v>482</v>
      </c>
      <c r="I431" s="21" t="s">
        <v>36</v>
      </c>
    </row>
    <row r="432" customFormat="false" ht="15" hidden="false" customHeight="true" outlineLevel="0" collapsed="false">
      <c r="A432" s="21" t="n">
        <v>0</v>
      </c>
      <c r="B432" s="21" t="n">
        <v>47</v>
      </c>
      <c r="C432" s="21" t="n">
        <v>4.75</v>
      </c>
      <c r="D432" s="21" t="n">
        <v>8</v>
      </c>
      <c r="E432" s="21" t="s">
        <v>72</v>
      </c>
      <c r="F432" s="21" t="n">
        <v>1</v>
      </c>
      <c r="G432" s="21" t="n">
        <v>0</v>
      </c>
      <c r="H432" s="21" t="s">
        <v>483</v>
      </c>
      <c r="I432" s="21" t="s">
        <v>36</v>
      </c>
    </row>
    <row r="433" customFormat="false" ht="15" hidden="false" customHeight="true" outlineLevel="0" collapsed="false">
      <c r="A433" s="21" t="n">
        <v>0</v>
      </c>
      <c r="B433" s="21" t="n">
        <v>52</v>
      </c>
      <c r="C433" s="21" t="n">
        <v>1.4</v>
      </c>
      <c r="D433" s="21" t="n">
        <v>1</v>
      </c>
      <c r="E433" s="21" t="s">
        <v>72</v>
      </c>
      <c r="F433" s="21" t="n">
        <v>0</v>
      </c>
      <c r="G433" s="21" t="n">
        <v>0</v>
      </c>
      <c r="H433" s="21" t="s">
        <v>484</v>
      </c>
      <c r="I433" s="21" t="s">
        <v>36</v>
      </c>
    </row>
    <row r="434" customFormat="false" ht="15" hidden="false" customHeight="true" outlineLevel="0" collapsed="false">
      <c r="A434" s="21" t="n">
        <v>1</v>
      </c>
      <c r="B434" s="21" t="n">
        <v>53</v>
      </c>
      <c r="C434" s="21" t="n">
        <v>2.52</v>
      </c>
      <c r="D434" s="21" t="n">
        <v>8</v>
      </c>
      <c r="E434" s="21" t="s">
        <v>72</v>
      </c>
      <c r="F434" s="21" t="n">
        <v>0</v>
      </c>
      <c r="G434" s="21" t="n">
        <v>0</v>
      </c>
      <c r="H434" s="21" t="s">
        <v>485</v>
      </c>
      <c r="I434" s="21" t="s">
        <v>36</v>
      </c>
    </row>
    <row r="435" customFormat="false" ht="15" hidden="false" customHeight="true" outlineLevel="0" collapsed="false">
      <c r="A435" s="21" t="n">
        <v>0</v>
      </c>
      <c r="B435" s="21" t="n">
        <v>46</v>
      </c>
      <c r="C435" s="21" t="n">
        <v>2.52</v>
      </c>
      <c r="D435" s="21" t="n">
        <v>6</v>
      </c>
      <c r="E435" s="21" t="s">
        <v>72</v>
      </c>
      <c r="F435" s="21" t="n">
        <v>0</v>
      </c>
      <c r="G435" s="21" t="n">
        <v>1</v>
      </c>
      <c r="H435" s="21" t="s">
        <v>486</v>
      </c>
      <c r="I435" s="21" t="s">
        <v>36</v>
      </c>
    </row>
    <row r="436" customFormat="false" ht="15" hidden="false" customHeight="true" outlineLevel="0" collapsed="false">
      <c r="A436" s="21" t="n">
        <v>0</v>
      </c>
      <c r="B436" s="21" t="n">
        <v>43</v>
      </c>
      <c r="C436" s="21" t="n">
        <v>1.43</v>
      </c>
      <c r="D436" s="21" t="n">
        <v>4</v>
      </c>
      <c r="E436" s="21" t="s">
        <v>72</v>
      </c>
      <c r="F436" s="21" t="n">
        <v>1</v>
      </c>
      <c r="G436" s="21" t="n">
        <v>0</v>
      </c>
      <c r="H436" s="21" t="s">
        <v>426</v>
      </c>
      <c r="I436" s="21" t="s">
        <v>36</v>
      </c>
    </row>
    <row r="437" customFormat="false" ht="15" hidden="false" customHeight="true" outlineLevel="0" collapsed="false">
      <c r="A437" s="21" t="n">
        <v>0</v>
      </c>
      <c r="B437" s="21" t="n">
        <v>62</v>
      </c>
      <c r="C437" s="21" t="n">
        <v>2.36</v>
      </c>
      <c r="D437" s="21" t="n">
        <v>6</v>
      </c>
      <c r="E437" s="21" t="s">
        <v>72</v>
      </c>
      <c r="F437" s="21" t="n">
        <v>0</v>
      </c>
      <c r="G437" s="21" t="n">
        <v>1</v>
      </c>
      <c r="H437" s="21" t="s">
        <v>487</v>
      </c>
      <c r="I437" s="21" t="s">
        <v>36</v>
      </c>
    </row>
    <row r="438" customFormat="false" ht="15" hidden="false" customHeight="true" outlineLevel="0" collapsed="false">
      <c r="A438" s="21" t="n">
        <v>0</v>
      </c>
      <c r="B438" s="21" t="n">
        <v>56</v>
      </c>
      <c r="C438" s="21" t="n">
        <v>2.06</v>
      </c>
      <c r="D438" s="21" t="n">
        <v>13</v>
      </c>
      <c r="E438" s="21" t="s">
        <v>72</v>
      </c>
      <c r="F438" s="21" t="n">
        <v>0</v>
      </c>
      <c r="G438" s="21" t="n">
        <v>0</v>
      </c>
      <c r="H438" s="21" t="s">
        <v>488</v>
      </c>
      <c r="I438" s="21" t="s">
        <v>36</v>
      </c>
    </row>
    <row r="439" customFormat="false" ht="15" hidden="false" customHeight="true" outlineLevel="0" collapsed="false">
      <c r="A439" s="21" t="n">
        <v>1</v>
      </c>
      <c r="B439" s="21" t="n">
        <v>46</v>
      </c>
      <c r="C439" s="21" t="n">
        <v>5.99</v>
      </c>
      <c r="D439" s="21" t="n">
        <v>10</v>
      </c>
      <c r="E439" s="21" t="s">
        <v>72</v>
      </c>
      <c r="F439" s="21" t="n">
        <v>0</v>
      </c>
      <c r="G439" s="21" t="n">
        <v>0</v>
      </c>
      <c r="H439" s="21" t="s">
        <v>489</v>
      </c>
      <c r="I439" s="21" t="s">
        <v>36</v>
      </c>
    </row>
    <row r="440" customFormat="false" ht="15" hidden="false" customHeight="true" outlineLevel="0" collapsed="false">
      <c r="A440" s="21" t="n">
        <v>0</v>
      </c>
      <c r="B440" s="21" t="n">
        <v>63</v>
      </c>
      <c r="C440" s="21" t="n">
        <v>4.97</v>
      </c>
      <c r="D440" s="21" t="n">
        <v>9</v>
      </c>
      <c r="E440" s="21" t="s">
        <v>72</v>
      </c>
      <c r="F440" s="21" t="n">
        <v>0</v>
      </c>
      <c r="G440" s="21" t="n">
        <v>0</v>
      </c>
      <c r="H440" s="21" t="s">
        <v>490</v>
      </c>
      <c r="I440" s="21" t="s">
        <v>36</v>
      </c>
    </row>
    <row r="441" customFormat="false" ht="15" hidden="false" customHeight="true" outlineLevel="0" collapsed="false">
      <c r="A441" s="21" t="n">
        <v>0</v>
      </c>
      <c r="B441" s="21" t="n">
        <v>53</v>
      </c>
      <c r="C441" s="21" t="n">
        <v>8.17</v>
      </c>
      <c r="D441" s="21" t="n">
        <v>5</v>
      </c>
      <c r="E441" s="21" t="s">
        <v>72</v>
      </c>
      <c r="F441" s="21" t="n">
        <v>0</v>
      </c>
      <c r="G441" s="21" t="n">
        <v>0</v>
      </c>
      <c r="H441" s="21" t="s">
        <v>411</v>
      </c>
      <c r="I441" s="21" t="s">
        <v>36</v>
      </c>
    </row>
    <row r="442" customFormat="false" ht="15" hidden="false" customHeight="true" outlineLevel="0" collapsed="false">
      <c r="A442" s="21" t="n">
        <v>0</v>
      </c>
      <c r="B442" s="21" t="n">
        <v>45</v>
      </c>
      <c r="C442" s="21" t="n">
        <v>1.5</v>
      </c>
      <c r="D442" s="21" t="n">
        <v>3</v>
      </c>
      <c r="E442" s="21" t="s">
        <v>105</v>
      </c>
      <c r="F442" s="21" t="n">
        <v>0</v>
      </c>
      <c r="G442" s="21" t="n">
        <v>0</v>
      </c>
      <c r="H442" s="21" t="s">
        <v>491</v>
      </c>
      <c r="I442" s="21" t="s">
        <v>36</v>
      </c>
    </row>
    <row r="443" customFormat="false" ht="15" hidden="false" customHeight="true" outlineLevel="0" collapsed="false">
      <c r="A443" s="21" t="n">
        <v>0</v>
      </c>
      <c r="B443" s="21" t="n">
        <v>64</v>
      </c>
      <c r="C443" s="21" t="n">
        <v>6.47</v>
      </c>
      <c r="D443" s="21" t="n">
        <v>9</v>
      </c>
      <c r="E443" s="21" t="s">
        <v>105</v>
      </c>
      <c r="F443" s="21" t="n">
        <v>0</v>
      </c>
      <c r="G443" s="21" t="n">
        <v>0</v>
      </c>
      <c r="H443" s="21" t="s">
        <v>492</v>
      </c>
      <c r="I443" s="21" t="s">
        <v>36</v>
      </c>
    </row>
    <row r="444" customFormat="false" ht="15" hidden="false" customHeight="true" outlineLevel="0" collapsed="false">
      <c r="A444" s="21" t="n">
        <v>1</v>
      </c>
      <c r="B444" s="21" t="n">
        <v>51</v>
      </c>
      <c r="C444" s="21" t="n">
        <v>3.84</v>
      </c>
      <c r="D444" s="21" t="n">
        <v>4</v>
      </c>
      <c r="E444" s="21" t="s">
        <v>105</v>
      </c>
      <c r="F444" s="21" t="n">
        <v>1</v>
      </c>
      <c r="G444" s="21" t="n">
        <v>1</v>
      </c>
      <c r="H444" s="21" t="s">
        <v>493</v>
      </c>
      <c r="I444" s="21" t="s">
        <v>36</v>
      </c>
    </row>
    <row r="445" customFormat="false" ht="15" hidden="false" customHeight="true" outlineLevel="0" collapsed="false">
      <c r="A445" s="21" t="n">
        <v>0</v>
      </c>
      <c r="B445" s="21" t="n">
        <v>43</v>
      </c>
      <c r="C445" s="21" t="n">
        <v>5.65</v>
      </c>
      <c r="D445" s="21" t="n">
        <v>3</v>
      </c>
      <c r="E445" s="21" t="s">
        <v>116</v>
      </c>
      <c r="F445" s="21" t="n">
        <v>1</v>
      </c>
      <c r="G445" s="21" t="n">
        <v>0</v>
      </c>
      <c r="H445" s="21" t="s">
        <v>494</v>
      </c>
      <c r="I445" s="21" t="s">
        <v>36</v>
      </c>
    </row>
    <row r="446" customFormat="false" ht="15" hidden="false" customHeight="true" outlineLevel="0" collapsed="false">
      <c r="A446" s="21" t="n">
        <v>0</v>
      </c>
      <c r="B446" s="21" t="n">
        <v>49</v>
      </c>
      <c r="C446" s="21" t="n">
        <v>7.66</v>
      </c>
      <c r="D446" s="21" t="n">
        <v>4</v>
      </c>
      <c r="E446" s="21" t="s">
        <v>116</v>
      </c>
      <c r="F446" s="21" t="n">
        <v>0</v>
      </c>
      <c r="G446" s="21" t="n">
        <v>0</v>
      </c>
      <c r="H446" s="21" t="s">
        <v>495</v>
      </c>
      <c r="I446" s="21" t="s">
        <v>36</v>
      </c>
    </row>
    <row r="447" customFormat="false" ht="15" hidden="false" customHeight="true" outlineLevel="0" collapsed="false">
      <c r="A447" s="21" t="n">
        <v>0</v>
      </c>
      <c r="B447" s="21" t="n">
        <v>59</v>
      </c>
      <c r="C447" s="21" t="n">
        <v>4</v>
      </c>
      <c r="D447" s="21" t="n">
        <v>10</v>
      </c>
      <c r="E447" s="21" t="s">
        <v>116</v>
      </c>
      <c r="F447" s="21" t="n">
        <v>0</v>
      </c>
      <c r="G447" s="21" t="n">
        <v>0</v>
      </c>
      <c r="H447" s="21" t="s">
        <v>496</v>
      </c>
      <c r="I447" s="21" t="s">
        <v>36</v>
      </c>
    </row>
    <row r="448" customFormat="false" ht="15" hidden="false" customHeight="true" outlineLevel="0" collapsed="false">
      <c r="A448" s="21" t="n">
        <v>0</v>
      </c>
      <c r="B448" s="21" t="n">
        <v>64</v>
      </c>
      <c r="C448" s="21" t="n">
        <v>3.67</v>
      </c>
      <c r="D448" s="21" t="n">
        <v>7</v>
      </c>
      <c r="E448" s="21" t="s">
        <v>116</v>
      </c>
      <c r="F448" s="21" t="n">
        <v>0</v>
      </c>
      <c r="G448" s="21" t="n">
        <v>0</v>
      </c>
      <c r="H448" s="21" t="s">
        <v>497</v>
      </c>
      <c r="I448" s="21" t="s">
        <v>36</v>
      </c>
    </row>
    <row r="449" customFormat="false" ht="15" hidden="false" customHeight="true" outlineLevel="0" collapsed="false">
      <c r="A449" s="21" t="n">
        <v>0</v>
      </c>
      <c r="B449" s="21" t="n">
        <v>65</v>
      </c>
      <c r="C449" s="21" t="n">
        <v>3.85</v>
      </c>
      <c r="D449" s="21" t="n">
        <v>9</v>
      </c>
      <c r="E449" s="21" t="s">
        <v>116</v>
      </c>
      <c r="F449" s="21" t="n">
        <v>0</v>
      </c>
      <c r="G449" s="21" t="n">
        <v>0</v>
      </c>
      <c r="H449" s="21" t="s">
        <v>498</v>
      </c>
      <c r="I449" s="21" t="s">
        <v>36</v>
      </c>
    </row>
    <row r="450" customFormat="false" ht="15" hidden="false" customHeight="true" outlineLevel="0" collapsed="false">
      <c r="A450" s="21" t="n">
        <v>0</v>
      </c>
      <c r="B450" s="21" t="n">
        <v>45</v>
      </c>
      <c r="C450" s="21" t="n">
        <v>3.34</v>
      </c>
      <c r="D450" s="21" t="n">
        <v>5</v>
      </c>
      <c r="E450" s="21" t="s">
        <v>116</v>
      </c>
      <c r="F450" s="21" t="n">
        <v>1</v>
      </c>
      <c r="G450" s="21" t="n">
        <v>0</v>
      </c>
      <c r="H450" s="21" t="s">
        <v>499</v>
      </c>
      <c r="I450" s="21" t="s">
        <v>36</v>
      </c>
    </row>
    <row r="451" customFormat="false" ht="15" hidden="false" customHeight="true" outlineLevel="0" collapsed="false">
      <c r="A451" s="21" t="n">
        <v>0</v>
      </c>
      <c r="B451" s="21" t="n">
        <v>54</v>
      </c>
      <c r="C451" s="21" t="n">
        <v>3.76</v>
      </c>
      <c r="D451" s="21" t="n">
        <v>5</v>
      </c>
      <c r="E451" s="21" t="s">
        <v>116</v>
      </c>
      <c r="F451" s="21" t="n">
        <v>1</v>
      </c>
      <c r="G451" s="21" t="n">
        <v>1</v>
      </c>
      <c r="H451" s="21" t="s">
        <v>500</v>
      </c>
      <c r="I451" s="21" t="s">
        <v>36</v>
      </c>
    </row>
    <row r="452" customFormat="false" ht="15" hidden="false" customHeight="true" outlineLevel="0" collapsed="false">
      <c r="A452" s="21" t="n">
        <v>0</v>
      </c>
      <c r="B452" s="21" t="n">
        <v>46</v>
      </c>
      <c r="C452" s="21" t="n">
        <v>3.18</v>
      </c>
      <c r="D452" s="21" t="n">
        <v>9</v>
      </c>
      <c r="E452" s="21" t="s">
        <v>116</v>
      </c>
      <c r="F452" s="21" t="n">
        <v>0</v>
      </c>
      <c r="G452" s="21" t="n">
        <v>0</v>
      </c>
      <c r="H452" s="21" t="s">
        <v>501</v>
      </c>
      <c r="I452" s="21" t="s">
        <v>36</v>
      </c>
    </row>
    <row r="453" customFormat="false" ht="15" hidden="false" customHeight="true" outlineLevel="0" collapsed="false">
      <c r="A453" s="21" t="n">
        <v>0</v>
      </c>
      <c r="B453" s="21" t="n">
        <v>52</v>
      </c>
      <c r="C453" s="21" t="n">
        <v>2.2</v>
      </c>
      <c r="D453" s="21" t="n">
        <v>9</v>
      </c>
      <c r="E453" s="21" t="s">
        <v>116</v>
      </c>
      <c r="F453" s="21" t="n">
        <v>0</v>
      </c>
      <c r="G453" s="21" t="n">
        <v>0</v>
      </c>
      <c r="H453" s="21" t="s">
        <v>502</v>
      </c>
      <c r="I453" s="21" t="s">
        <v>36</v>
      </c>
    </row>
    <row r="454" customFormat="false" ht="15" hidden="false" customHeight="true" outlineLevel="0" collapsed="false">
      <c r="A454" s="21" t="n">
        <v>0</v>
      </c>
      <c r="B454" s="21" t="n">
        <v>52</v>
      </c>
      <c r="C454" s="21" t="n">
        <v>5.99</v>
      </c>
      <c r="D454" s="21" t="n">
        <v>10</v>
      </c>
      <c r="E454" s="21" t="s">
        <v>116</v>
      </c>
      <c r="F454" s="21" t="n">
        <v>1</v>
      </c>
      <c r="G454" s="21" t="n">
        <v>0</v>
      </c>
      <c r="H454" s="21" t="s">
        <v>503</v>
      </c>
      <c r="I454" s="21" t="s">
        <v>36</v>
      </c>
    </row>
    <row r="455" customFormat="false" ht="15" hidden="false" customHeight="true" outlineLevel="0" collapsed="false">
      <c r="A455" s="21" t="n">
        <v>0</v>
      </c>
      <c r="B455" s="21" t="n">
        <v>40</v>
      </c>
      <c r="C455" s="21" t="n">
        <v>7.47</v>
      </c>
      <c r="D455" s="21" t="n">
        <v>10</v>
      </c>
      <c r="E455" s="21" t="s">
        <v>116</v>
      </c>
      <c r="F455" s="21" t="n">
        <v>0</v>
      </c>
      <c r="G455" s="21" t="n">
        <v>1</v>
      </c>
      <c r="H455" s="21" t="s">
        <v>504</v>
      </c>
      <c r="I455" s="21" t="s">
        <v>36</v>
      </c>
    </row>
    <row r="456" customFormat="false" ht="15" hidden="false" customHeight="true" outlineLevel="0" collapsed="false">
      <c r="A456" s="21" t="n">
        <v>0</v>
      </c>
      <c r="B456" s="21" t="n">
        <v>50</v>
      </c>
      <c r="C456" s="21" t="n">
        <v>5.82</v>
      </c>
      <c r="D456" s="21" t="n">
        <v>5</v>
      </c>
      <c r="E456" s="21" t="s">
        <v>116</v>
      </c>
      <c r="F456" s="21" t="n">
        <v>0</v>
      </c>
      <c r="G456" s="21" t="n">
        <v>0</v>
      </c>
      <c r="H456" s="21" t="s">
        <v>136</v>
      </c>
      <c r="I456" s="21" t="s">
        <v>36</v>
      </c>
    </row>
    <row r="457" customFormat="false" ht="15" hidden="false" customHeight="true" outlineLevel="0" collapsed="false">
      <c r="A457" s="21" t="n">
        <v>0</v>
      </c>
      <c r="B457" s="21" t="n">
        <v>52</v>
      </c>
      <c r="C457" s="21" t="n">
        <v>7.79</v>
      </c>
      <c r="D457" s="21" t="n">
        <v>7</v>
      </c>
      <c r="E457" s="21" t="s">
        <v>116</v>
      </c>
      <c r="F457" s="21" t="n">
        <v>0</v>
      </c>
      <c r="G457" s="21" t="n">
        <v>1</v>
      </c>
      <c r="H457" s="21" t="s">
        <v>505</v>
      </c>
      <c r="I457" s="21" t="s">
        <v>36</v>
      </c>
    </row>
    <row r="458" customFormat="false" ht="15" hidden="false" customHeight="true" outlineLevel="0" collapsed="false">
      <c r="A458" s="21" t="n">
        <v>0</v>
      </c>
      <c r="B458" s="21" t="n">
        <v>57</v>
      </c>
      <c r="C458" s="21" t="n">
        <v>3.55</v>
      </c>
      <c r="D458" s="21" t="n">
        <v>10</v>
      </c>
      <c r="E458" s="21" t="s">
        <v>116</v>
      </c>
      <c r="F458" s="21" t="n">
        <v>0</v>
      </c>
      <c r="G458" s="21" t="n">
        <v>0</v>
      </c>
      <c r="H458" s="21" t="s">
        <v>506</v>
      </c>
      <c r="I458" s="21" t="s">
        <v>36</v>
      </c>
    </row>
    <row r="459" customFormat="false" ht="15" hidden="false" customHeight="true" outlineLevel="0" collapsed="false">
      <c r="A459" s="21" t="n">
        <v>0</v>
      </c>
      <c r="B459" s="21" t="n">
        <v>37</v>
      </c>
      <c r="C459" s="21" t="n">
        <v>2.53</v>
      </c>
      <c r="D459" s="21" t="n">
        <v>8</v>
      </c>
      <c r="E459" s="21" t="s">
        <v>116</v>
      </c>
      <c r="F459" s="21" t="n">
        <v>1</v>
      </c>
      <c r="G459" s="21" t="n">
        <v>0</v>
      </c>
      <c r="H459" s="21" t="s">
        <v>507</v>
      </c>
      <c r="I459" s="21" t="s">
        <v>36</v>
      </c>
    </row>
    <row r="460" customFormat="false" ht="15" hidden="false" customHeight="true" outlineLevel="0" collapsed="false">
      <c r="A460" s="21" t="n">
        <v>0</v>
      </c>
      <c r="B460" s="21" t="n">
        <v>58</v>
      </c>
      <c r="C460" s="21" t="n">
        <v>3.57</v>
      </c>
      <c r="D460" s="21" t="n">
        <v>12</v>
      </c>
      <c r="E460" s="21" t="s">
        <v>116</v>
      </c>
      <c r="F460" s="21" t="n">
        <v>0</v>
      </c>
      <c r="G460" s="21" t="n">
        <v>0</v>
      </c>
      <c r="H460" s="21" t="s">
        <v>508</v>
      </c>
      <c r="I460" s="21" t="s">
        <v>36</v>
      </c>
    </row>
    <row r="461" customFormat="false" ht="15" hidden="false" customHeight="true" outlineLevel="0" collapsed="false">
      <c r="A461" s="21" t="n">
        <v>0</v>
      </c>
      <c r="B461" s="21" t="n">
        <v>58</v>
      </c>
      <c r="C461" s="21" t="n">
        <v>5.36</v>
      </c>
      <c r="D461" s="21" t="n">
        <v>5</v>
      </c>
      <c r="E461" s="21" t="s">
        <v>116</v>
      </c>
      <c r="F461" s="21" t="n">
        <v>0</v>
      </c>
      <c r="G461" s="21" t="n">
        <v>1</v>
      </c>
      <c r="H461" s="21" t="s">
        <v>509</v>
      </c>
      <c r="I461" s="21" t="s">
        <v>36</v>
      </c>
    </row>
    <row r="462" customFormat="false" ht="15" hidden="false" customHeight="true" outlineLevel="0" collapsed="false">
      <c r="A462" s="21" t="n">
        <v>0</v>
      </c>
      <c r="B462" s="21" t="n">
        <v>54</v>
      </c>
      <c r="C462" s="21" t="n">
        <v>3.94</v>
      </c>
      <c r="D462" s="21" t="n">
        <v>3</v>
      </c>
      <c r="E462" s="21" t="s">
        <v>116</v>
      </c>
      <c r="F462" s="21" t="n">
        <v>1</v>
      </c>
      <c r="G462" s="21" t="n">
        <v>0</v>
      </c>
      <c r="H462" s="21" t="s">
        <v>510</v>
      </c>
      <c r="I462" s="21" t="s">
        <v>36</v>
      </c>
    </row>
    <row r="463" customFormat="false" ht="15" hidden="false" customHeight="true" outlineLevel="0" collapsed="false">
      <c r="A463" s="21" t="n">
        <v>0</v>
      </c>
      <c r="B463" s="21" t="n">
        <v>58</v>
      </c>
      <c r="C463" s="21" t="n">
        <v>1.8</v>
      </c>
      <c r="D463" s="21" t="n">
        <v>7</v>
      </c>
      <c r="E463" s="21" t="s">
        <v>116</v>
      </c>
      <c r="F463" s="21" t="n">
        <v>1</v>
      </c>
      <c r="G463" s="21" t="n">
        <v>0</v>
      </c>
      <c r="H463" s="21" t="s">
        <v>511</v>
      </c>
      <c r="I463" s="21" t="s">
        <v>36</v>
      </c>
    </row>
    <row r="464" customFormat="false" ht="15" hidden="false" customHeight="true" outlineLevel="0" collapsed="false">
      <c r="A464" s="21" t="n">
        <v>0</v>
      </c>
      <c r="B464" s="21" t="n">
        <v>47</v>
      </c>
      <c r="C464" s="21" t="n">
        <v>5.14</v>
      </c>
      <c r="D464" s="21" t="n">
        <v>9</v>
      </c>
      <c r="E464" s="21" t="s">
        <v>116</v>
      </c>
      <c r="F464" s="21" t="n">
        <v>0</v>
      </c>
      <c r="G464" s="21" t="n">
        <v>0</v>
      </c>
      <c r="H464" s="21" t="s">
        <v>512</v>
      </c>
      <c r="I464" s="21" t="s">
        <v>36</v>
      </c>
    </row>
    <row r="465" customFormat="false" ht="15" hidden="false" customHeight="true" outlineLevel="0" collapsed="false">
      <c r="A465" s="21" t="n">
        <v>1</v>
      </c>
      <c r="B465" s="21" t="n">
        <v>58</v>
      </c>
      <c r="C465" s="21" t="n">
        <v>4.42</v>
      </c>
      <c r="D465" s="21" t="n">
        <v>3</v>
      </c>
      <c r="E465" s="21" t="s">
        <v>116</v>
      </c>
      <c r="F465" s="21" t="n">
        <v>0</v>
      </c>
      <c r="G465" s="21" t="n">
        <v>0</v>
      </c>
      <c r="H465" s="21" t="s">
        <v>513</v>
      </c>
      <c r="I465" s="21" t="s">
        <v>36</v>
      </c>
    </row>
    <row r="466" customFormat="false" ht="15" hidden="false" customHeight="true" outlineLevel="0" collapsed="false">
      <c r="A466" s="21" t="n">
        <v>0</v>
      </c>
      <c r="B466" s="21" t="n">
        <v>58</v>
      </c>
      <c r="C466" s="21" t="n">
        <v>2.02</v>
      </c>
      <c r="D466" s="21" t="n">
        <v>1</v>
      </c>
      <c r="E466" s="21" t="s">
        <v>116</v>
      </c>
      <c r="F466" s="21" t="n">
        <v>0</v>
      </c>
      <c r="G466" s="21" t="n">
        <v>0</v>
      </c>
      <c r="H466" s="21" t="s">
        <v>514</v>
      </c>
      <c r="I466" s="21" t="s">
        <v>36</v>
      </c>
    </row>
    <row r="467" customFormat="false" ht="15" hidden="false" customHeight="true" outlineLevel="0" collapsed="false">
      <c r="A467" s="21" t="n">
        <v>1</v>
      </c>
      <c r="B467" s="21" t="n">
        <v>46</v>
      </c>
      <c r="C467" s="21" t="n">
        <v>6.08</v>
      </c>
      <c r="D467" s="21" t="n">
        <v>5</v>
      </c>
      <c r="E467" s="21" t="s">
        <v>116</v>
      </c>
      <c r="F467" s="21" t="n">
        <v>0</v>
      </c>
      <c r="G467" s="21" t="n">
        <v>0</v>
      </c>
      <c r="H467" s="21" t="s">
        <v>515</v>
      </c>
      <c r="I467" s="21" t="s">
        <v>36</v>
      </c>
    </row>
    <row r="468" customFormat="false" ht="15" hidden="false" customHeight="true" outlineLevel="0" collapsed="false">
      <c r="A468" s="21" t="n">
        <v>0</v>
      </c>
      <c r="B468" s="21" t="n">
        <v>50</v>
      </c>
      <c r="C468" s="21" t="n">
        <v>0.82</v>
      </c>
      <c r="D468" s="21" t="n">
        <v>8</v>
      </c>
      <c r="E468" s="21" t="s">
        <v>116</v>
      </c>
      <c r="F468" s="21" t="n">
        <v>0</v>
      </c>
      <c r="G468" s="21" t="n">
        <v>0</v>
      </c>
      <c r="H468" s="21" t="s">
        <v>516</v>
      </c>
      <c r="I468" s="21" t="s">
        <v>36</v>
      </c>
    </row>
    <row r="469" customFormat="false" ht="15" hidden="false" customHeight="true" outlineLevel="0" collapsed="false">
      <c r="A469" s="21" t="n">
        <v>0</v>
      </c>
      <c r="B469" s="21" t="n">
        <v>75</v>
      </c>
      <c r="C469" s="21" t="n">
        <v>5.67</v>
      </c>
      <c r="D469" s="21" t="n">
        <v>4</v>
      </c>
      <c r="E469" s="21" t="s">
        <v>116</v>
      </c>
      <c r="F469" s="21" t="n">
        <v>0</v>
      </c>
      <c r="G469" s="21" t="n">
        <v>0</v>
      </c>
      <c r="H469" s="21" t="s">
        <v>517</v>
      </c>
      <c r="I469" s="21" t="s">
        <v>36</v>
      </c>
    </row>
    <row r="470" customFormat="false" ht="15" hidden="false" customHeight="true" outlineLevel="0" collapsed="false">
      <c r="A470" s="21" t="n">
        <v>0</v>
      </c>
      <c r="B470" s="21" t="n">
        <v>51</v>
      </c>
      <c r="C470" s="21" t="n">
        <v>6.45</v>
      </c>
      <c r="D470" s="21" t="n">
        <v>3</v>
      </c>
      <c r="E470" s="21" t="s">
        <v>116</v>
      </c>
      <c r="F470" s="21" t="n">
        <v>0</v>
      </c>
      <c r="G470" s="21" t="n">
        <v>0</v>
      </c>
      <c r="H470" s="21" t="s">
        <v>518</v>
      </c>
      <c r="I470" s="21" t="s">
        <v>36</v>
      </c>
    </row>
    <row r="471" customFormat="false" ht="15" hidden="false" customHeight="true" outlineLevel="0" collapsed="false">
      <c r="A471" s="21" t="n">
        <v>0</v>
      </c>
      <c r="B471" s="21" t="n">
        <v>65</v>
      </c>
      <c r="C471" s="21" t="n">
        <v>4.22</v>
      </c>
      <c r="D471" s="21" t="n">
        <v>7</v>
      </c>
      <c r="E471" s="21" t="s">
        <v>116</v>
      </c>
      <c r="F471" s="21" t="n">
        <v>1</v>
      </c>
      <c r="G471" s="21" t="n">
        <v>0</v>
      </c>
      <c r="H471" s="21" t="s">
        <v>519</v>
      </c>
      <c r="I471" s="21" t="s">
        <v>36</v>
      </c>
    </row>
    <row r="472" customFormat="false" ht="15" hidden="false" customHeight="true" outlineLevel="0" collapsed="false">
      <c r="A472" s="21" t="n">
        <v>1</v>
      </c>
      <c r="B472" s="21" t="n">
        <v>46</v>
      </c>
      <c r="C472" s="21" t="n">
        <v>1.36</v>
      </c>
      <c r="D472" s="21" t="n">
        <v>7</v>
      </c>
      <c r="E472" s="21" t="s">
        <v>116</v>
      </c>
      <c r="F472" s="21" t="n">
        <v>1</v>
      </c>
      <c r="G472" s="21" t="n">
        <v>0</v>
      </c>
      <c r="H472" s="21" t="s">
        <v>520</v>
      </c>
      <c r="I472" s="21" t="s">
        <v>36</v>
      </c>
    </row>
    <row r="473" customFormat="false" ht="15" hidden="false" customHeight="true" outlineLevel="0" collapsed="false">
      <c r="A473" s="21" t="n">
        <v>0</v>
      </c>
      <c r="B473" s="21" t="n">
        <v>54</v>
      </c>
      <c r="C473" s="21" t="n">
        <v>3.25</v>
      </c>
      <c r="D473" s="21" t="n">
        <v>11</v>
      </c>
      <c r="E473" s="21" t="s">
        <v>116</v>
      </c>
      <c r="F473" s="21" t="n">
        <v>1</v>
      </c>
      <c r="G473" s="21" t="n">
        <v>0</v>
      </c>
      <c r="H473" s="21" t="s">
        <v>521</v>
      </c>
      <c r="I473" s="21" t="s">
        <v>36</v>
      </c>
    </row>
    <row r="474" customFormat="false" ht="15" hidden="false" customHeight="true" outlineLevel="0" collapsed="false">
      <c r="A474" s="21" t="n">
        <v>0</v>
      </c>
      <c r="B474" s="21" t="n">
        <v>67</v>
      </c>
      <c r="C474" s="21" t="n">
        <v>4.4</v>
      </c>
      <c r="D474" s="21" t="n">
        <v>5</v>
      </c>
      <c r="E474" s="21" t="s">
        <v>116</v>
      </c>
      <c r="F474" s="21" t="n">
        <v>0</v>
      </c>
      <c r="G474" s="21" t="n">
        <v>1</v>
      </c>
      <c r="H474" s="21" t="s">
        <v>522</v>
      </c>
      <c r="I474" s="21" t="s">
        <v>36</v>
      </c>
    </row>
    <row r="475" customFormat="false" ht="15" hidden="false" customHeight="true" outlineLevel="0" collapsed="false">
      <c r="A475" s="21" t="n">
        <v>0</v>
      </c>
      <c r="B475" s="21" t="n">
        <v>64</v>
      </c>
      <c r="C475" s="21" t="n">
        <v>5.16</v>
      </c>
      <c r="D475" s="21" t="n">
        <v>9</v>
      </c>
      <c r="E475" s="21" t="s">
        <v>116</v>
      </c>
      <c r="F475" s="21" t="n">
        <v>1</v>
      </c>
      <c r="G475" s="21" t="n">
        <v>1</v>
      </c>
      <c r="H475" s="21" t="s">
        <v>523</v>
      </c>
      <c r="I475" s="21" t="s">
        <v>36</v>
      </c>
    </row>
    <row r="476" customFormat="false" ht="15" hidden="false" customHeight="true" outlineLevel="0" collapsed="false">
      <c r="A476" s="21" t="n">
        <v>0</v>
      </c>
      <c r="B476" s="21" t="n">
        <v>54</v>
      </c>
      <c r="C476" s="21" t="n">
        <v>5.33</v>
      </c>
      <c r="D476" s="21" t="n">
        <v>7</v>
      </c>
      <c r="E476" s="21" t="s">
        <v>116</v>
      </c>
      <c r="F476" s="21" t="n">
        <v>1</v>
      </c>
      <c r="G476" s="21" t="n">
        <v>0</v>
      </c>
      <c r="H476" s="21" t="s">
        <v>524</v>
      </c>
      <c r="I476" s="21" t="s">
        <v>36</v>
      </c>
    </row>
    <row r="477" customFormat="false" ht="15" hidden="false" customHeight="true" outlineLevel="0" collapsed="false">
      <c r="A477" s="21" t="n">
        <v>0</v>
      </c>
      <c r="B477" s="21" t="n">
        <v>50</v>
      </c>
      <c r="C477" s="21" t="n">
        <v>9.32</v>
      </c>
      <c r="D477" s="21" t="n">
        <v>10</v>
      </c>
      <c r="E477" s="21" t="s">
        <v>116</v>
      </c>
      <c r="F477" s="21" t="n">
        <v>0</v>
      </c>
      <c r="G477" s="21" t="n">
        <v>0</v>
      </c>
      <c r="H477" s="21" t="s">
        <v>525</v>
      </c>
      <c r="I477" s="21" t="s">
        <v>36</v>
      </c>
    </row>
    <row r="478" customFormat="false" ht="15" hidden="false" customHeight="true" outlineLevel="0" collapsed="false">
      <c r="A478" s="21" t="n">
        <v>0</v>
      </c>
      <c r="B478" s="21" t="n">
        <v>47</v>
      </c>
      <c r="C478" s="21" t="n">
        <v>3.06</v>
      </c>
      <c r="D478" s="21" t="n">
        <v>12</v>
      </c>
      <c r="E478" s="21" t="s">
        <v>116</v>
      </c>
      <c r="F478" s="21" t="n">
        <v>0</v>
      </c>
      <c r="G478" s="21" t="n">
        <v>0</v>
      </c>
      <c r="H478" s="21" t="s">
        <v>526</v>
      </c>
      <c r="I478" s="21" t="s">
        <v>36</v>
      </c>
    </row>
    <row r="479" customFormat="false" ht="15" hidden="false" customHeight="true" outlineLevel="0" collapsed="false">
      <c r="A479" s="21" t="n">
        <v>0</v>
      </c>
      <c r="B479" s="21" t="n">
        <v>71</v>
      </c>
      <c r="C479" s="21" t="n">
        <v>8.41</v>
      </c>
      <c r="D479" s="21" t="n">
        <v>10</v>
      </c>
      <c r="E479" s="21" t="s">
        <v>116</v>
      </c>
      <c r="F479" s="21" t="n">
        <v>0</v>
      </c>
      <c r="G479" s="21" t="n">
        <v>0</v>
      </c>
      <c r="H479" s="21" t="s">
        <v>527</v>
      </c>
      <c r="I479" s="21" t="s">
        <v>36</v>
      </c>
    </row>
    <row r="480" customFormat="false" ht="15" hidden="false" customHeight="true" outlineLevel="0" collapsed="false">
      <c r="A480" s="21" t="n">
        <v>0</v>
      </c>
      <c r="B480" s="21" t="n">
        <v>67</v>
      </c>
      <c r="C480" s="21" t="n">
        <v>5.27</v>
      </c>
      <c r="D480" s="21" t="n">
        <v>5</v>
      </c>
      <c r="E480" s="21" t="s">
        <v>116</v>
      </c>
      <c r="F480" s="21" t="n">
        <v>0</v>
      </c>
      <c r="G480" s="21" t="n">
        <v>0</v>
      </c>
      <c r="H480" s="21" t="s">
        <v>528</v>
      </c>
      <c r="I480" s="21" t="s">
        <v>36</v>
      </c>
    </row>
    <row r="481" customFormat="false" ht="15" hidden="false" customHeight="true" outlineLevel="0" collapsed="false">
      <c r="A481" s="21" t="n">
        <v>0</v>
      </c>
      <c r="B481" s="21" t="n">
        <v>48</v>
      </c>
      <c r="C481" s="21" t="n">
        <v>4.54</v>
      </c>
      <c r="D481" s="21" t="n">
        <v>4</v>
      </c>
      <c r="E481" s="21" t="s">
        <v>116</v>
      </c>
      <c r="F481" s="21" t="n">
        <v>0</v>
      </c>
      <c r="G481" s="21" t="n">
        <v>0</v>
      </c>
      <c r="H481" s="21" t="s">
        <v>529</v>
      </c>
      <c r="I481" s="21" t="s">
        <v>36</v>
      </c>
    </row>
    <row r="482" customFormat="false" ht="15" hidden="false" customHeight="true" outlineLevel="0" collapsed="false">
      <c r="A482" s="21" t="n">
        <v>0</v>
      </c>
      <c r="B482" s="21" t="n">
        <v>48</v>
      </c>
      <c r="C482" s="21" t="n">
        <v>5.24</v>
      </c>
      <c r="D482" s="21" t="n">
        <v>10</v>
      </c>
      <c r="E482" s="21" t="s">
        <v>116</v>
      </c>
      <c r="F482" s="21" t="n">
        <v>0</v>
      </c>
      <c r="G482" s="21" t="n">
        <v>0</v>
      </c>
      <c r="H482" s="21" t="s">
        <v>530</v>
      </c>
      <c r="I482" s="21" t="s">
        <v>36</v>
      </c>
    </row>
    <row r="483" customFormat="false" ht="15" hidden="false" customHeight="true" outlineLevel="0" collapsed="false">
      <c r="A483" s="21" t="n">
        <v>0</v>
      </c>
      <c r="B483" s="21" t="n">
        <v>61</v>
      </c>
      <c r="C483" s="21" t="n">
        <v>4.32</v>
      </c>
      <c r="D483" s="21" t="n">
        <v>3</v>
      </c>
      <c r="E483" s="21" t="s">
        <v>116</v>
      </c>
      <c r="F483" s="21" t="n">
        <v>0</v>
      </c>
      <c r="G483" s="21" t="n">
        <v>0</v>
      </c>
      <c r="H483" s="21" t="s">
        <v>531</v>
      </c>
      <c r="I483" s="21" t="s">
        <v>36</v>
      </c>
    </row>
    <row r="484" customFormat="false" ht="15" hidden="false" customHeight="true" outlineLevel="0" collapsed="false">
      <c r="A484" s="21" t="n">
        <v>0</v>
      </c>
      <c r="B484" s="21" t="n">
        <v>73</v>
      </c>
      <c r="C484" s="21" t="n">
        <v>4.74</v>
      </c>
      <c r="D484" s="21" t="n">
        <v>2</v>
      </c>
      <c r="E484" s="21" t="s">
        <v>116</v>
      </c>
      <c r="F484" s="21" t="n">
        <v>0</v>
      </c>
      <c r="G484" s="21" t="n">
        <v>0</v>
      </c>
      <c r="H484" s="21" t="s">
        <v>532</v>
      </c>
      <c r="I484" s="21" t="s">
        <v>36</v>
      </c>
    </row>
    <row r="485" customFormat="false" ht="15" hidden="false" customHeight="true" outlineLevel="0" collapsed="false">
      <c r="A485" s="21" t="n">
        <v>0</v>
      </c>
      <c r="B485" s="21" t="n">
        <v>44</v>
      </c>
      <c r="C485" s="21" t="n">
        <v>1.98</v>
      </c>
      <c r="D485" s="21" t="n">
        <v>6</v>
      </c>
      <c r="E485" s="21" t="s">
        <v>116</v>
      </c>
      <c r="F485" s="21" t="n">
        <v>0</v>
      </c>
      <c r="G485" s="21" t="n">
        <v>0</v>
      </c>
      <c r="H485" s="21" t="s">
        <v>533</v>
      </c>
      <c r="I485" s="21" t="s">
        <v>36</v>
      </c>
    </row>
    <row r="486" customFormat="false" ht="15" hidden="false" customHeight="true" outlineLevel="0" collapsed="false">
      <c r="A486" s="21" t="n">
        <v>0</v>
      </c>
      <c r="B486" s="21" t="n">
        <v>50</v>
      </c>
      <c r="C486" s="21" t="n">
        <v>0.7</v>
      </c>
      <c r="D486" s="21" t="n">
        <v>7</v>
      </c>
      <c r="E486" s="21" t="s">
        <v>116</v>
      </c>
      <c r="F486" s="21" t="n">
        <v>0</v>
      </c>
      <c r="G486" s="21" t="n">
        <v>0</v>
      </c>
      <c r="H486" s="21" t="s">
        <v>174</v>
      </c>
      <c r="I486" s="21" t="s">
        <v>36</v>
      </c>
    </row>
    <row r="487" customFormat="false" ht="15" hidden="false" customHeight="true" outlineLevel="0" collapsed="false">
      <c r="A487" s="21" t="n">
        <v>0</v>
      </c>
      <c r="B487" s="21" t="n">
        <v>51</v>
      </c>
      <c r="C487" s="21" t="n">
        <v>6.59</v>
      </c>
      <c r="D487" s="21" t="n">
        <v>8</v>
      </c>
      <c r="E487" s="21" t="s">
        <v>116</v>
      </c>
      <c r="F487" s="21" t="n">
        <v>0</v>
      </c>
      <c r="G487" s="21" t="n">
        <v>0</v>
      </c>
      <c r="H487" s="21" t="s">
        <v>534</v>
      </c>
      <c r="I487" s="21" t="s">
        <v>36</v>
      </c>
    </row>
    <row r="488" customFormat="false" ht="15" hidden="false" customHeight="true" outlineLevel="0" collapsed="false">
      <c r="A488" s="21" t="n">
        <v>0</v>
      </c>
      <c r="B488" s="21" t="n">
        <v>58</v>
      </c>
      <c r="C488" s="21" t="n">
        <v>1.95</v>
      </c>
      <c r="D488" s="21" t="n">
        <v>8</v>
      </c>
      <c r="E488" s="21" t="s">
        <v>116</v>
      </c>
      <c r="F488" s="21" t="n">
        <v>0</v>
      </c>
      <c r="G488" s="21" t="n">
        <v>0</v>
      </c>
      <c r="H488" s="21" t="s">
        <v>535</v>
      </c>
      <c r="I488" s="21" t="s">
        <v>36</v>
      </c>
    </row>
    <row r="489" customFormat="false" ht="15" hidden="false" customHeight="true" outlineLevel="0" collapsed="false">
      <c r="A489" s="21" t="n">
        <v>1</v>
      </c>
      <c r="B489" s="21" t="n">
        <v>43</v>
      </c>
      <c r="C489" s="21" t="n">
        <v>2.04</v>
      </c>
      <c r="D489" s="21" t="n">
        <v>6</v>
      </c>
      <c r="E489" s="21" t="s">
        <v>116</v>
      </c>
      <c r="F489" s="21" t="n">
        <v>0</v>
      </c>
      <c r="G489" s="21" t="n">
        <v>0</v>
      </c>
      <c r="H489" s="21" t="s">
        <v>536</v>
      </c>
      <c r="I489" s="21" t="s">
        <v>36</v>
      </c>
    </row>
    <row r="490" customFormat="false" ht="15" hidden="false" customHeight="true" outlineLevel="0" collapsed="false">
      <c r="A490" s="21" t="n">
        <v>0</v>
      </c>
      <c r="B490" s="21" t="n">
        <v>48</v>
      </c>
      <c r="C490" s="21" t="n">
        <v>2.65</v>
      </c>
      <c r="D490" s="21" t="n">
        <v>9</v>
      </c>
      <c r="E490" s="21" t="s">
        <v>116</v>
      </c>
      <c r="F490" s="21" t="n">
        <v>0</v>
      </c>
      <c r="G490" s="21" t="n">
        <v>0</v>
      </c>
      <c r="H490" s="21" t="s">
        <v>537</v>
      </c>
      <c r="I490" s="21" t="s">
        <v>36</v>
      </c>
    </row>
    <row r="491" customFormat="false" ht="15" hidden="false" customHeight="true" outlineLevel="0" collapsed="false">
      <c r="A491" s="21" t="n">
        <v>0</v>
      </c>
      <c r="B491" s="21" t="n">
        <v>52</v>
      </c>
      <c r="C491" s="21" t="n">
        <v>1.86</v>
      </c>
      <c r="D491" s="21" t="n">
        <v>11</v>
      </c>
      <c r="E491" s="21" t="s">
        <v>116</v>
      </c>
      <c r="F491" s="21" t="n">
        <v>1</v>
      </c>
      <c r="G491" s="21" t="n">
        <v>0</v>
      </c>
      <c r="H491" s="21" t="s">
        <v>538</v>
      </c>
      <c r="I491" s="21" t="s">
        <v>36</v>
      </c>
    </row>
    <row r="492" customFormat="false" ht="15" hidden="false" customHeight="true" outlineLevel="0" collapsed="false">
      <c r="A492" s="21" t="n">
        <v>0</v>
      </c>
      <c r="B492" s="21" t="n">
        <v>51</v>
      </c>
      <c r="C492" s="21" t="n">
        <v>3.6</v>
      </c>
      <c r="D492" s="21" t="n">
        <v>7</v>
      </c>
      <c r="E492" s="21" t="s">
        <v>116</v>
      </c>
      <c r="F492" s="21" t="n">
        <v>0</v>
      </c>
      <c r="G492" s="21" t="n">
        <v>0</v>
      </c>
      <c r="H492" s="21" t="s">
        <v>539</v>
      </c>
      <c r="I492" s="21" t="s">
        <v>36</v>
      </c>
    </row>
    <row r="493" customFormat="false" ht="15" hidden="false" customHeight="true" outlineLevel="0" collapsed="false">
      <c r="A493" s="21" t="n">
        <v>0</v>
      </c>
      <c r="B493" s="21" t="n">
        <v>46</v>
      </c>
      <c r="C493" s="21" t="n">
        <v>6.77</v>
      </c>
      <c r="D493" s="21" t="n">
        <v>3</v>
      </c>
      <c r="E493" s="21" t="s">
        <v>116</v>
      </c>
      <c r="F493" s="21" t="n">
        <v>0</v>
      </c>
      <c r="G493" s="21" t="n">
        <v>0</v>
      </c>
      <c r="H493" s="21" t="s">
        <v>540</v>
      </c>
      <c r="I493" s="21" t="s">
        <v>36</v>
      </c>
    </row>
    <row r="494" customFormat="false" ht="15" hidden="false" customHeight="true" outlineLevel="0" collapsed="false">
      <c r="A494" s="21" t="n">
        <v>0</v>
      </c>
      <c r="B494" s="21" t="n">
        <v>63</v>
      </c>
      <c r="C494" s="21" t="n">
        <v>6.04</v>
      </c>
      <c r="D494" s="21" t="n">
        <v>8</v>
      </c>
      <c r="E494" s="21" t="s">
        <v>116</v>
      </c>
      <c r="F494" s="21" t="n">
        <v>0</v>
      </c>
      <c r="G494" s="21" t="n">
        <v>0</v>
      </c>
      <c r="H494" s="21" t="s">
        <v>541</v>
      </c>
      <c r="I494" s="21" t="s">
        <v>36</v>
      </c>
    </row>
    <row r="495" customFormat="false" ht="15" hidden="false" customHeight="true" outlineLevel="0" collapsed="false">
      <c r="A495" s="21" t="n">
        <v>0</v>
      </c>
      <c r="B495" s="21" t="n">
        <v>69</v>
      </c>
      <c r="C495" s="21" t="n">
        <v>9.01</v>
      </c>
      <c r="D495" s="21" t="n">
        <v>7</v>
      </c>
      <c r="E495" s="21" t="s">
        <v>116</v>
      </c>
      <c r="F495" s="21" t="n">
        <v>0</v>
      </c>
      <c r="G495" s="21" t="n">
        <v>0</v>
      </c>
      <c r="H495" s="21" t="s">
        <v>542</v>
      </c>
      <c r="I495" s="21" t="s">
        <v>36</v>
      </c>
    </row>
    <row r="496" customFormat="false" ht="15" hidden="false" customHeight="true" outlineLevel="0" collapsed="false">
      <c r="A496" s="21" t="n">
        <v>0</v>
      </c>
      <c r="B496" s="21" t="n">
        <v>66</v>
      </c>
      <c r="C496" s="21" t="n">
        <v>2.37</v>
      </c>
      <c r="D496" s="21" t="n">
        <v>4</v>
      </c>
      <c r="E496" s="21" t="s">
        <v>157</v>
      </c>
      <c r="F496" s="21" t="n">
        <v>0</v>
      </c>
      <c r="G496" s="21" t="n">
        <v>0</v>
      </c>
      <c r="H496" s="21" t="s">
        <v>543</v>
      </c>
      <c r="I496" s="21" t="s">
        <v>36</v>
      </c>
    </row>
    <row r="497" customFormat="false" ht="15" hidden="false" customHeight="true" outlineLevel="0" collapsed="false">
      <c r="A497" s="21" t="n">
        <v>0</v>
      </c>
      <c r="B497" s="21" t="n">
        <v>62</v>
      </c>
      <c r="C497" s="21" t="n">
        <v>4.32</v>
      </c>
      <c r="D497" s="21" t="n">
        <v>4</v>
      </c>
      <c r="E497" s="21" t="s">
        <v>157</v>
      </c>
      <c r="F497" s="21" t="n">
        <v>0</v>
      </c>
      <c r="G497" s="21" t="n">
        <v>0</v>
      </c>
      <c r="H497" s="21" t="s">
        <v>544</v>
      </c>
      <c r="I497" s="21" t="s">
        <v>36</v>
      </c>
    </row>
    <row r="498" customFormat="false" ht="15" hidden="false" customHeight="true" outlineLevel="0" collapsed="false">
      <c r="A498" s="21" t="n">
        <v>0</v>
      </c>
      <c r="B498" s="21" t="n">
        <v>53</v>
      </c>
      <c r="C498" s="21" t="n">
        <v>2.79</v>
      </c>
      <c r="D498" s="21" t="n">
        <v>7</v>
      </c>
      <c r="E498" s="21" t="s">
        <v>157</v>
      </c>
      <c r="F498" s="21" t="n">
        <v>0</v>
      </c>
      <c r="G498" s="21" t="n">
        <v>0</v>
      </c>
      <c r="H498" s="21" t="s">
        <v>545</v>
      </c>
      <c r="I498" s="21" t="s">
        <v>36</v>
      </c>
    </row>
    <row r="499" customFormat="false" ht="15" hidden="false" customHeight="true" outlineLevel="0" collapsed="false">
      <c r="A499" s="21" t="n">
        <v>1</v>
      </c>
      <c r="B499" s="21" t="n">
        <v>74</v>
      </c>
      <c r="C499" s="21" t="n">
        <v>3.28</v>
      </c>
      <c r="D499" s="21" t="n">
        <v>5</v>
      </c>
      <c r="E499" s="21" t="s">
        <v>157</v>
      </c>
      <c r="F499" s="21" t="n">
        <v>1</v>
      </c>
      <c r="G499" s="21" t="n">
        <v>0</v>
      </c>
      <c r="H499" s="21" t="s">
        <v>546</v>
      </c>
      <c r="I499" s="21" t="s">
        <v>36</v>
      </c>
    </row>
    <row r="500" customFormat="false" ht="15" hidden="false" customHeight="true" outlineLevel="0" collapsed="false">
      <c r="A500" s="21" t="n">
        <v>0</v>
      </c>
      <c r="B500" s="21" t="n">
        <v>55</v>
      </c>
      <c r="C500" s="21" t="n">
        <v>5.5</v>
      </c>
      <c r="D500" s="21" t="n">
        <v>3</v>
      </c>
      <c r="E500" s="21" t="s">
        <v>157</v>
      </c>
      <c r="F500" s="21" t="n">
        <v>0</v>
      </c>
      <c r="G500" s="21" t="n">
        <v>1</v>
      </c>
      <c r="H500" s="21" t="s">
        <v>547</v>
      </c>
      <c r="I500" s="21" t="s">
        <v>36</v>
      </c>
    </row>
    <row r="501" customFormat="false" ht="15" hidden="false" customHeight="true" outlineLevel="0" collapsed="false">
      <c r="A501" s="21" t="n">
        <v>0</v>
      </c>
      <c r="B501" s="21" t="n">
        <v>54</v>
      </c>
      <c r="C501" s="21" t="n">
        <v>2.95</v>
      </c>
      <c r="D501" s="21" t="n">
        <v>8</v>
      </c>
      <c r="E501" s="21" t="s">
        <v>157</v>
      </c>
      <c r="F501" s="21" t="n">
        <v>0</v>
      </c>
      <c r="G501" s="21" t="n">
        <v>0</v>
      </c>
      <c r="H501" s="21" t="s">
        <v>548</v>
      </c>
      <c r="I501" s="21" t="s">
        <v>36</v>
      </c>
    </row>
    <row r="502" customFormat="false" ht="15" hidden="false" customHeight="true" outlineLevel="0" collapsed="false">
      <c r="A502" s="21" t="n">
        <v>1</v>
      </c>
      <c r="B502" s="21" t="n">
        <v>52</v>
      </c>
      <c r="C502" s="21" t="n">
        <v>4.64</v>
      </c>
      <c r="D502" s="21" t="n">
        <v>3</v>
      </c>
      <c r="E502" s="21" t="s">
        <v>157</v>
      </c>
      <c r="F502" s="21" t="n">
        <v>0</v>
      </c>
      <c r="G502" s="21" t="n">
        <v>0</v>
      </c>
      <c r="H502" s="21" t="s">
        <v>549</v>
      </c>
      <c r="I502" s="21" t="s">
        <v>36</v>
      </c>
    </row>
    <row r="503" customFormat="false" ht="15" hidden="false" customHeight="true" outlineLevel="0" collapsed="false">
      <c r="A503" s="21" t="n">
        <v>0</v>
      </c>
      <c r="B503" s="21" t="n">
        <v>60</v>
      </c>
      <c r="C503" s="21" t="n">
        <v>3.39</v>
      </c>
      <c r="D503" s="21" t="n">
        <v>14</v>
      </c>
      <c r="E503" s="21" t="s">
        <v>157</v>
      </c>
      <c r="F503" s="21" t="n">
        <v>0</v>
      </c>
      <c r="G503" s="21" t="n">
        <v>0</v>
      </c>
      <c r="H503" s="21" t="s">
        <v>550</v>
      </c>
      <c r="I503" s="21" t="s">
        <v>36</v>
      </c>
    </row>
    <row r="504" customFormat="false" ht="15" hidden="false" customHeight="true" outlineLevel="0" collapsed="false">
      <c r="A504" s="21" t="n">
        <v>0</v>
      </c>
      <c r="B504" s="21" t="n">
        <v>11</v>
      </c>
      <c r="C504" s="21" t="n">
        <v>1.66</v>
      </c>
      <c r="D504" s="21" t="n">
        <v>3</v>
      </c>
      <c r="E504" s="21" t="s">
        <v>58</v>
      </c>
      <c r="F504" s="21" t="n">
        <v>1</v>
      </c>
      <c r="G504" s="21" t="n">
        <v>1</v>
      </c>
      <c r="H504" s="21" t="s">
        <v>551</v>
      </c>
      <c r="I504" s="21" t="s">
        <v>40</v>
      </c>
    </row>
    <row r="505" customFormat="false" ht="15" hidden="false" customHeight="true" outlineLevel="0" collapsed="false">
      <c r="A505" s="21" t="n">
        <v>0</v>
      </c>
      <c r="B505" s="21" t="n">
        <v>10</v>
      </c>
      <c r="C505" s="21" t="n">
        <v>3.63</v>
      </c>
      <c r="D505" s="21" t="n">
        <v>3</v>
      </c>
      <c r="E505" s="21" t="s">
        <v>58</v>
      </c>
      <c r="F505" s="21" t="n">
        <v>0</v>
      </c>
      <c r="G505" s="21" t="n">
        <v>1</v>
      </c>
      <c r="H505" s="21" t="s">
        <v>552</v>
      </c>
      <c r="I505" s="21" t="s">
        <v>40</v>
      </c>
    </row>
    <row r="506" customFormat="false" ht="15" hidden="false" customHeight="true" outlineLevel="0" collapsed="false">
      <c r="A506" s="21" t="n">
        <v>0</v>
      </c>
      <c r="B506" s="21" t="n">
        <v>10</v>
      </c>
      <c r="C506" s="21" t="n">
        <v>0.86</v>
      </c>
      <c r="D506" s="21" t="n">
        <v>2</v>
      </c>
      <c r="E506" s="21" t="s">
        <v>58</v>
      </c>
      <c r="F506" s="21" t="n">
        <v>1</v>
      </c>
      <c r="G506" s="21" t="n">
        <v>0</v>
      </c>
      <c r="H506" s="21" t="s">
        <v>553</v>
      </c>
      <c r="I506" s="21" t="s">
        <v>40</v>
      </c>
    </row>
    <row r="507" customFormat="false" ht="15" hidden="false" customHeight="true" outlineLevel="0" collapsed="false">
      <c r="A507" s="21" t="n">
        <v>1</v>
      </c>
      <c r="B507" s="21" t="n">
        <v>16</v>
      </c>
      <c r="C507" s="21" t="n">
        <v>3.11</v>
      </c>
      <c r="D507" s="21" t="n">
        <v>4</v>
      </c>
      <c r="E507" s="21" t="s">
        <v>58</v>
      </c>
      <c r="F507" s="21" t="n">
        <v>1</v>
      </c>
      <c r="G507" s="21" t="n">
        <v>0</v>
      </c>
      <c r="H507" s="21" t="s">
        <v>554</v>
      </c>
      <c r="I507" s="21" t="s">
        <v>40</v>
      </c>
    </row>
    <row r="508" customFormat="false" ht="15" hidden="false" customHeight="true" outlineLevel="0" collapsed="false">
      <c r="A508" s="21" t="n">
        <v>0</v>
      </c>
      <c r="B508" s="21" t="n">
        <v>9</v>
      </c>
      <c r="C508" s="21" t="n">
        <v>1.2</v>
      </c>
      <c r="D508" s="21" t="n">
        <v>2</v>
      </c>
      <c r="E508" s="21" t="s">
        <v>58</v>
      </c>
      <c r="F508" s="21" t="n">
        <v>1</v>
      </c>
      <c r="G508" s="21" t="n">
        <v>1</v>
      </c>
      <c r="H508" s="21" t="s">
        <v>555</v>
      </c>
      <c r="I508" s="21" t="s">
        <v>40</v>
      </c>
    </row>
    <row r="509" customFormat="false" ht="15" hidden="false" customHeight="true" outlineLevel="0" collapsed="false">
      <c r="A509" s="21" t="n">
        <v>0</v>
      </c>
      <c r="B509" s="21" t="n">
        <v>11</v>
      </c>
      <c r="C509" s="21" t="n">
        <v>1.2</v>
      </c>
      <c r="D509" s="21" t="n">
        <v>4</v>
      </c>
      <c r="E509" s="21" t="s">
        <v>58</v>
      </c>
      <c r="F509" s="21" t="n">
        <v>1</v>
      </c>
      <c r="G509" s="21" t="n">
        <v>0</v>
      </c>
      <c r="H509" s="21" t="s">
        <v>556</v>
      </c>
      <c r="I509" s="21" t="s">
        <v>40</v>
      </c>
    </row>
    <row r="510" customFormat="false" ht="15" hidden="false" customHeight="true" outlineLevel="0" collapsed="false">
      <c r="A510" s="21" t="n">
        <v>0</v>
      </c>
      <c r="B510" s="21" t="n">
        <v>8</v>
      </c>
      <c r="C510" s="21" t="n">
        <v>3.82</v>
      </c>
      <c r="D510" s="21" t="n">
        <v>4</v>
      </c>
      <c r="E510" s="21" t="s">
        <v>58</v>
      </c>
      <c r="F510" s="21" t="n">
        <v>1</v>
      </c>
      <c r="G510" s="21" t="n">
        <v>0</v>
      </c>
      <c r="H510" s="21" t="s">
        <v>288</v>
      </c>
      <c r="I510" s="21" t="s">
        <v>40</v>
      </c>
    </row>
    <row r="511" customFormat="false" ht="15" hidden="false" customHeight="true" outlineLevel="0" collapsed="false">
      <c r="A511" s="21" t="n">
        <v>0</v>
      </c>
      <c r="B511" s="21" t="n">
        <v>12</v>
      </c>
      <c r="C511" s="21" t="n">
        <v>3.09</v>
      </c>
      <c r="D511" s="21" t="n">
        <v>4</v>
      </c>
      <c r="E511" s="21" t="s">
        <v>58</v>
      </c>
      <c r="F511" s="21" t="n">
        <v>0</v>
      </c>
      <c r="G511" s="21" t="n">
        <v>1</v>
      </c>
      <c r="H511" s="21" t="s">
        <v>557</v>
      </c>
      <c r="I511" s="21" t="s">
        <v>40</v>
      </c>
    </row>
    <row r="512" customFormat="false" ht="15" hidden="false" customHeight="true" outlineLevel="0" collapsed="false">
      <c r="A512" s="21" t="n">
        <v>0</v>
      </c>
      <c r="B512" s="21" t="n">
        <v>10</v>
      </c>
      <c r="C512" s="21" t="n">
        <v>3.48</v>
      </c>
      <c r="D512" s="21" t="n">
        <v>4</v>
      </c>
      <c r="E512" s="21" t="s">
        <v>58</v>
      </c>
      <c r="F512" s="21" t="n">
        <v>1</v>
      </c>
      <c r="G512" s="21" t="n">
        <v>1</v>
      </c>
      <c r="H512" s="21" t="s">
        <v>558</v>
      </c>
      <c r="I512" s="21" t="s">
        <v>40</v>
      </c>
    </row>
    <row r="513" customFormat="false" ht="15" hidden="false" customHeight="true" outlineLevel="0" collapsed="false">
      <c r="A513" s="21" t="n">
        <v>0</v>
      </c>
      <c r="B513" s="21" t="n">
        <v>8</v>
      </c>
      <c r="C513" s="21" t="n">
        <v>1.54</v>
      </c>
      <c r="D513" s="21" t="n">
        <v>2</v>
      </c>
      <c r="E513" s="21" t="s">
        <v>58</v>
      </c>
      <c r="F513" s="21" t="n">
        <v>1</v>
      </c>
      <c r="G513" s="21" t="n">
        <v>1</v>
      </c>
      <c r="H513" s="21" t="s">
        <v>559</v>
      </c>
      <c r="I513" s="21" t="s">
        <v>40</v>
      </c>
    </row>
    <row r="514" customFormat="false" ht="15" hidden="false" customHeight="true" outlineLevel="0" collapsed="false">
      <c r="A514" s="21" t="n">
        <v>0</v>
      </c>
      <c r="B514" s="21" t="n">
        <v>15</v>
      </c>
      <c r="C514" s="21" t="n">
        <v>1.44</v>
      </c>
      <c r="D514" s="21" t="n">
        <v>4</v>
      </c>
      <c r="E514" s="21" t="s">
        <v>72</v>
      </c>
      <c r="F514" s="21" t="n">
        <v>1</v>
      </c>
      <c r="G514" s="21" t="n">
        <v>1</v>
      </c>
      <c r="H514" s="21" t="s">
        <v>560</v>
      </c>
      <c r="I514" s="21" t="s">
        <v>40</v>
      </c>
    </row>
    <row r="515" customFormat="false" ht="15" hidden="false" customHeight="true" outlineLevel="0" collapsed="false">
      <c r="A515" s="21" t="n">
        <v>0</v>
      </c>
      <c r="B515" s="21" t="n">
        <v>11</v>
      </c>
      <c r="C515" s="21" t="n">
        <v>1.39</v>
      </c>
      <c r="D515" s="21" t="n">
        <v>2</v>
      </c>
      <c r="E515" s="21" t="s">
        <v>72</v>
      </c>
      <c r="F515" s="21" t="n">
        <v>1</v>
      </c>
      <c r="G515" s="21" t="n">
        <v>0</v>
      </c>
      <c r="H515" s="21" t="s">
        <v>561</v>
      </c>
      <c r="I515" s="21" t="s">
        <v>40</v>
      </c>
    </row>
    <row r="516" customFormat="false" ht="15" hidden="false" customHeight="true" outlineLevel="0" collapsed="false">
      <c r="A516" s="21" t="n">
        <v>0</v>
      </c>
      <c r="B516" s="21" t="n">
        <v>15</v>
      </c>
      <c r="C516" s="21" t="n">
        <v>1.18</v>
      </c>
      <c r="D516" s="21" t="n">
        <v>3</v>
      </c>
      <c r="E516" s="21" t="s">
        <v>72</v>
      </c>
      <c r="F516" s="21" t="n">
        <v>1</v>
      </c>
      <c r="G516" s="21" t="n">
        <v>1</v>
      </c>
      <c r="H516" s="21" t="s">
        <v>562</v>
      </c>
      <c r="I516" s="21" t="s">
        <v>40</v>
      </c>
    </row>
    <row r="517" customFormat="false" ht="15" hidden="false" customHeight="true" outlineLevel="0" collapsed="false">
      <c r="A517" s="21" t="n">
        <v>0</v>
      </c>
      <c r="B517" s="21" t="n">
        <v>6</v>
      </c>
      <c r="C517" s="21" t="n">
        <v>2.56</v>
      </c>
      <c r="D517" s="21" t="n">
        <v>4</v>
      </c>
      <c r="E517" s="21" t="s">
        <v>72</v>
      </c>
      <c r="F517" s="21" t="n">
        <v>1</v>
      </c>
      <c r="G517" s="21" t="n">
        <v>0</v>
      </c>
      <c r="H517" s="21" t="s">
        <v>563</v>
      </c>
      <c r="I517" s="21" t="s">
        <v>40</v>
      </c>
    </row>
    <row r="518" customFormat="false" ht="15" hidden="false" customHeight="true" outlineLevel="0" collapsed="false">
      <c r="A518" s="21" t="n">
        <v>0</v>
      </c>
      <c r="B518" s="21" t="n">
        <v>11</v>
      </c>
      <c r="C518" s="21" t="n">
        <v>0.99</v>
      </c>
      <c r="D518" s="21" t="n">
        <v>3</v>
      </c>
      <c r="E518" s="21" t="s">
        <v>72</v>
      </c>
      <c r="F518" s="21" t="n">
        <v>1</v>
      </c>
      <c r="G518" s="21" t="n">
        <v>1</v>
      </c>
      <c r="H518" s="21" t="s">
        <v>564</v>
      </c>
      <c r="I518" s="21" t="s">
        <v>40</v>
      </c>
    </row>
    <row r="519" customFormat="false" ht="15" hidden="false" customHeight="true" outlineLevel="0" collapsed="false">
      <c r="A519" s="21" t="n">
        <v>0</v>
      </c>
      <c r="B519" s="21" t="n">
        <v>5</v>
      </c>
      <c r="C519" s="21" t="n">
        <v>0.62</v>
      </c>
      <c r="D519" s="21" t="n">
        <v>4</v>
      </c>
      <c r="E519" s="21" t="s">
        <v>72</v>
      </c>
      <c r="F519" s="21" t="n">
        <v>0</v>
      </c>
      <c r="G519" s="21" t="n">
        <v>0</v>
      </c>
      <c r="H519" s="21" t="s">
        <v>565</v>
      </c>
      <c r="I519" s="21" t="s">
        <v>40</v>
      </c>
    </row>
    <row r="520" customFormat="false" ht="15" hidden="false" customHeight="true" outlineLevel="0" collapsed="false">
      <c r="A520" s="21" t="n">
        <v>0</v>
      </c>
      <c r="B520" s="21" t="n">
        <v>7</v>
      </c>
      <c r="C520" s="21" t="n">
        <v>1.5</v>
      </c>
      <c r="D520" s="21" t="n">
        <v>3</v>
      </c>
      <c r="E520" s="21" t="s">
        <v>72</v>
      </c>
      <c r="F520" s="21" t="n">
        <v>1</v>
      </c>
      <c r="G520" s="21" t="n">
        <v>0</v>
      </c>
      <c r="H520" s="21" t="s">
        <v>566</v>
      </c>
      <c r="I520" s="21" t="s">
        <v>40</v>
      </c>
    </row>
    <row r="521" customFormat="false" ht="15" hidden="false" customHeight="true" outlineLevel="0" collapsed="false">
      <c r="A521" s="21" t="n">
        <v>0</v>
      </c>
      <c r="B521" s="21" t="n">
        <v>14</v>
      </c>
      <c r="C521" s="21" t="n">
        <v>1.52</v>
      </c>
      <c r="D521" s="21" t="n">
        <v>1</v>
      </c>
      <c r="E521" s="21" t="s">
        <v>72</v>
      </c>
      <c r="F521" s="21" t="n">
        <v>1</v>
      </c>
      <c r="G521" s="21" t="n">
        <v>1</v>
      </c>
      <c r="H521" s="21" t="s">
        <v>567</v>
      </c>
      <c r="I521" s="21" t="s">
        <v>40</v>
      </c>
    </row>
    <row r="522" customFormat="false" ht="15" hidden="false" customHeight="true" outlineLevel="0" collapsed="false">
      <c r="A522" s="21" t="n">
        <v>0</v>
      </c>
      <c r="B522" s="21" t="n">
        <v>10</v>
      </c>
      <c r="C522" s="21" t="n">
        <v>3.07</v>
      </c>
      <c r="D522" s="21" t="n">
        <v>4</v>
      </c>
      <c r="E522" s="21" t="s">
        <v>72</v>
      </c>
      <c r="F522" s="21" t="n">
        <v>1</v>
      </c>
      <c r="G522" s="21" t="n">
        <v>1</v>
      </c>
      <c r="H522" s="21" t="s">
        <v>568</v>
      </c>
      <c r="I522" s="21" t="s">
        <v>40</v>
      </c>
    </row>
    <row r="523" customFormat="false" ht="15" hidden="false" customHeight="true" outlineLevel="0" collapsed="false">
      <c r="A523" s="21" t="n">
        <v>0</v>
      </c>
      <c r="B523" s="21" t="n">
        <v>12</v>
      </c>
      <c r="C523" s="21" t="n">
        <v>1.4</v>
      </c>
      <c r="D523" s="21" t="n">
        <v>2</v>
      </c>
      <c r="E523" s="21" t="s">
        <v>72</v>
      </c>
      <c r="F523" s="21" t="n">
        <v>1</v>
      </c>
      <c r="G523" s="21" t="n">
        <v>0</v>
      </c>
      <c r="H523" s="21" t="s">
        <v>91</v>
      </c>
      <c r="I523" s="21" t="s">
        <v>40</v>
      </c>
    </row>
    <row r="524" customFormat="false" ht="15" hidden="false" customHeight="true" outlineLevel="0" collapsed="false">
      <c r="A524" s="21" t="n">
        <v>1</v>
      </c>
      <c r="B524" s="21" t="n">
        <v>14</v>
      </c>
      <c r="C524" s="21" t="n">
        <v>2.36</v>
      </c>
      <c r="D524" s="21" t="n">
        <v>4</v>
      </c>
      <c r="E524" s="21" t="s">
        <v>72</v>
      </c>
      <c r="F524" s="21" t="n">
        <v>1</v>
      </c>
      <c r="G524" s="21" t="n">
        <v>1</v>
      </c>
      <c r="H524" s="21" t="s">
        <v>569</v>
      </c>
      <c r="I524" s="21" t="s">
        <v>40</v>
      </c>
    </row>
    <row r="525" customFormat="false" ht="15" hidden="false" customHeight="true" outlineLevel="0" collapsed="false">
      <c r="A525" s="21" t="n">
        <v>0</v>
      </c>
      <c r="B525" s="21" t="n">
        <v>8</v>
      </c>
      <c r="C525" s="21" t="n">
        <v>3.48</v>
      </c>
      <c r="D525" s="21" t="n">
        <v>2</v>
      </c>
      <c r="E525" s="21" t="s">
        <v>72</v>
      </c>
      <c r="F525" s="21" t="n">
        <v>1</v>
      </c>
      <c r="G525" s="21" t="n">
        <v>0</v>
      </c>
      <c r="H525" s="21" t="s">
        <v>570</v>
      </c>
      <c r="I525" s="21" t="s">
        <v>40</v>
      </c>
    </row>
    <row r="526" customFormat="false" ht="15" hidden="false" customHeight="true" outlineLevel="0" collapsed="false">
      <c r="A526" s="21" t="n">
        <v>0</v>
      </c>
      <c r="B526" s="21" t="n">
        <v>10</v>
      </c>
      <c r="C526" s="21" t="n">
        <v>0.86</v>
      </c>
      <c r="D526" s="21" t="n">
        <v>2</v>
      </c>
      <c r="E526" s="21" t="s">
        <v>72</v>
      </c>
      <c r="F526" s="21" t="n">
        <v>1</v>
      </c>
      <c r="G526" s="21" t="n">
        <v>0</v>
      </c>
      <c r="H526" s="21" t="s">
        <v>571</v>
      </c>
      <c r="I526" s="21" t="s">
        <v>40</v>
      </c>
    </row>
    <row r="527" customFormat="false" ht="15" hidden="false" customHeight="true" outlineLevel="0" collapsed="false">
      <c r="A527" s="21" t="n">
        <v>0</v>
      </c>
      <c r="B527" s="21" t="n">
        <v>15</v>
      </c>
      <c r="C527" s="21" t="n">
        <v>1.46</v>
      </c>
      <c r="D527" s="21" t="n">
        <v>2</v>
      </c>
      <c r="E527" s="21" t="s">
        <v>72</v>
      </c>
      <c r="F527" s="21" t="n">
        <v>1</v>
      </c>
      <c r="G527" s="21" t="n">
        <v>0</v>
      </c>
      <c r="H527" s="21" t="s">
        <v>572</v>
      </c>
      <c r="I527" s="21" t="s">
        <v>40</v>
      </c>
    </row>
    <row r="528" customFormat="false" ht="15" hidden="false" customHeight="true" outlineLevel="0" collapsed="false">
      <c r="A528" s="21" t="n">
        <v>0</v>
      </c>
      <c r="B528" s="21" t="n">
        <v>11</v>
      </c>
      <c r="C528" s="21" t="n">
        <v>2.77</v>
      </c>
      <c r="D528" s="21" t="n">
        <v>5</v>
      </c>
      <c r="E528" s="21" t="s">
        <v>72</v>
      </c>
      <c r="F528" s="21" t="n">
        <v>0</v>
      </c>
      <c r="G528" s="21" t="n">
        <v>0</v>
      </c>
      <c r="H528" s="21" t="s">
        <v>573</v>
      </c>
      <c r="I528" s="21" t="s">
        <v>40</v>
      </c>
    </row>
    <row r="529" customFormat="false" ht="15" hidden="false" customHeight="true" outlineLevel="0" collapsed="false">
      <c r="A529" s="21" t="n">
        <v>0</v>
      </c>
      <c r="B529" s="21" t="n">
        <v>13</v>
      </c>
      <c r="C529" s="21" t="n">
        <v>2.02</v>
      </c>
      <c r="D529" s="21" t="n">
        <v>2</v>
      </c>
      <c r="E529" s="21" t="s">
        <v>72</v>
      </c>
      <c r="F529" s="21" t="n">
        <v>1</v>
      </c>
      <c r="G529" s="21" t="n">
        <v>0</v>
      </c>
      <c r="H529" s="21" t="s">
        <v>574</v>
      </c>
      <c r="I529" s="21" t="s">
        <v>40</v>
      </c>
    </row>
    <row r="530" customFormat="false" ht="15" hidden="false" customHeight="true" outlineLevel="0" collapsed="false">
      <c r="A530" s="21" t="n">
        <v>0</v>
      </c>
      <c r="B530" s="21" t="n">
        <v>11</v>
      </c>
      <c r="C530" s="21" t="n">
        <v>2.99</v>
      </c>
      <c r="D530" s="21" t="n">
        <v>3</v>
      </c>
      <c r="E530" s="21" t="s">
        <v>72</v>
      </c>
      <c r="F530" s="21" t="n">
        <v>0</v>
      </c>
      <c r="G530" s="21" t="n">
        <v>1</v>
      </c>
      <c r="H530" s="21" t="s">
        <v>575</v>
      </c>
      <c r="I530" s="21" t="s">
        <v>40</v>
      </c>
    </row>
    <row r="531" customFormat="false" ht="15" hidden="false" customHeight="true" outlineLevel="0" collapsed="false">
      <c r="A531" s="21" t="n">
        <v>0</v>
      </c>
      <c r="B531" s="21" t="n">
        <v>9</v>
      </c>
      <c r="C531" s="21" t="n">
        <v>2.38</v>
      </c>
      <c r="D531" s="21" t="n">
        <v>4</v>
      </c>
      <c r="E531" s="21" t="s">
        <v>72</v>
      </c>
      <c r="F531" s="21" t="n">
        <v>1</v>
      </c>
      <c r="G531" s="21" t="n">
        <v>0</v>
      </c>
      <c r="H531" s="21" t="s">
        <v>576</v>
      </c>
      <c r="I531" s="21" t="s">
        <v>40</v>
      </c>
    </row>
    <row r="532" customFormat="false" ht="15" hidden="false" customHeight="true" outlineLevel="0" collapsed="false">
      <c r="A532" s="21" t="n">
        <v>0</v>
      </c>
      <c r="B532" s="21" t="n">
        <v>16</v>
      </c>
      <c r="C532" s="21" t="n">
        <v>3.38</v>
      </c>
      <c r="D532" s="21" t="n">
        <v>4</v>
      </c>
      <c r="E532" s="21" t="s">
        <v>72</v>
      </c>
      <c r="F532" s="21" t="n">
        <v>1</v>
      </c>
      <c r="G532" s="21" t="n">
        <v>0</v>
      </c>
      <c r="H532" s="21" t="s">
        <v>577</v>
      </c>
      <c r="I532" s="21" t="s">
        <v>40</v>
      </c>
    </row>
    <row r="533" customFormat="false" ht="15" hidden="false" customHeight="true" outlineLevel="0" collapsed="false">
      <c r="A533" s="21" t="n">
        <v>0</v>
      </c>
      <c r="B533" s="21" t="n">
        <v>12</v>
      </c>
      <c r="C533" s="21" t="n">
        <v>2.99</v>
      </c>
      <c r="D533" s="21" t="n">
        <v>4</v>
      </c>
      <c r="E533" s="21" t="s">
        <v>72</v>
      </c>
      <c r="F533" s="21" t="n">
        <v>1</v>
      </c>
      <c r="G533" s="21" t="n">
        <v>0</v>
      </c>
      <c r="H533" s="21" t="s">
        <v>578</v>
      </c>
      <c r="I533" s="21" t="s">
        <v>40</v>
      </c>
    </row>
    <row r="534" customFormat="false" ht="15" hidden="false" customHeight="true" outlineLevel="0" collapsed="false">
      <c r="A534" s="21" t="n">
        <v>0</v>
      </c>
      <c r="B534" s="21" t="n">
        <v>12</v>
      </c>
      <c r="C534" s="21" t="n">
        <v>1.33</v>
      </c>
      <c r="D534" s="21" t="n">
        <v>2</v>
      </c>
      <c r="E534" s="21" t="s">
        <v>72</v>
      </c>
      <c r="F534" s="21" t="n">
        <v>1</v>
      </c>
      <c r="G534" s="21" t="n">
        <v>0</v>
      </c>
      <c r="H534" s="21" t="s">
        <v>579</v>
      </c>
      <c r="I534" s="21" t="s">
        <v>40</v>
      </c>
    </row>
    <row r="535" customFormat="false" ht="15" hidden="false" customHeight="true" outlineLevel="0" collapsed="false">
      <c r="A535" s="21" t="n">
        <v>0</v>
      </c>
      <c r="B535" s="21" t="n">
        <v>10</v>
      </c>
      <c r="C535" s="21" t="n">
        <v>2.81</v>
      </c>
      <c r="D535" s="21" t="n">
        <v>3</v>
      </c>
      <c r="E535" s="21" t="s">
        <v>72</v>
      </c>
      <c r="F535" s="21" t="n">
        <v>1</v>
      </c>
      <c r="G535" s="21" t="n">
        <v>1</v>
      </c>
      <c r="H535" s="21" t="s">
        <v>580</v>
      </c>
      <c r="I535" s="21" t="s">
        <v>40</v>
      </c>
    </row>
    <row r="536" customFormat="false" ht="15" hidden="false" customHeight="true" outlineLevel="0" collapsed="false">
      <c r="A536" s="21" t="n">
        <v>0</v>
      </c>
      <c r="B536" s="21" t="n">
        <v>16</v>
      </c>
      <c r="C536" s="21" t="n">
        <v>1.31</v>
      </c>
      <c r="D536" s="21" t="n">
        <v>2</v>
      </c>
      <c r="E536" s="21" t="s">
        <v>72</v>
      </c>
      <c r="F536" s="21" t="n">
        <v>0</v>
      </c>
      <c r="G536" s="21" t="n">
        <v>0</v>
      </c>
      <c r="H536" s="21" t="s">
        <v>581</v>
      </c>
      <c r="I536" s="21" t="s">
        <v>40</v>
      </c>
    </row>
    <row r="537" customFormat="false" ht="15" hidden="false" customHeight="true" outlineLevel="0" collapsed="false">
      <c r="A537" s="21" t="n">
        <v>0</v>
      </c>
      <c r="B537" s="21" t="n">
        <v>14</v>
      </c>
      <c r="C537" s="21" t="n">
        <v>2.13</v>
      </c>
      <c r="D537" s="21" t="n">
        <v>2</v>
      </c>
      <c r="E537" s="21" t="s">
        <v>72</v>
      </c>
      <c r="F537" s="21" t="n">
        <v>0</v>
      </c>
      <c r="G537" s="21" t="n">
        <v>0</v>
      </c>
      <c r="H537" s="21" t="s">
        <v>582</v>
      </c>
      <c r="I537" s="21" t="s">
        <v>40</v>
      </c>
    </row>
    <row r="538" customFormat="false" ht="15" hidden="false" customHeight="true" outlineLevel="0" collapsed="false">
      <c r="A538" s="21" t="n">
        <v>0</v>
      </c>
      <c r="B538" s="21" t="n">
        <v>10</v>
      </c>
      <c r="C538" s="21" t="n">
        <v>2.53</v>
      </c>
      <c r="D538" s="21" t="n">
        <v>3</v>
      </c>
      <c r="E538" s="21" t="s">
        <v>72</v>
      </c>
      <c r="F538" s="21" t="n">
        <v>1</v>
      </c>
      <c r="G538" s="21" t="n">
        <v>1</v>
      </c>
      <c r="H538" s="21" t="s">
        <v>583</v>
      </c>
      <c r="I538" s="21" t="s">
        <v>40</v>
      </c>
    </row>
    <row r="539" customFormat="false" ht="15" hidden="false" customHeight="true" outlineLevel="0" collapsed="false">
      <c r="A539" s="21" t="n">
        <v>0</v>
      </c>
      <c r="B539" s="21" t="n">
        <v>12</v>
      </c>
      <c r="C539" s="21" t="n">
        <v>2.79</v>
      </c>
      <c r="D539" s="21" t="n">
        <v>4</v>
      </c>
      <c r="E539" s="21" t="s">
        <v>72</v>
      </c>
      <c r="F539" s="21" t="n">
        <v>1</v>
      </c>
      <c r="G539" s="21" t="n">
        <v>0</v>
      </c>
      <c r="H539" s="21" t="s">
        <v>584</v>
      </c>
      <c r="I539" s="21" t="s">
        <v>40</v>
      </c>
    </row>
    <row r="540" customFormat="false" ht="15" hidden="false" customHeight="true" outlineLevel="0" collapsed="false">
      <c r="A540" s="21" t="n">
        <v>0</v>
      </c>
      <c r="B540" s="21" t="n">
        <v>17</v>
      </c>
      <c r="C540" s="21" t="n">
        <v>1.14</v>
      </c>
      <c r="D540" s="21" t="n">
        <v>2</v>
      </c>
      <c r="E540" s="21" t="s">
        <v>72</v>
      </c>
      <c r="F540" s="21" t="n">
        <v>1</v>
      </c>
      <c r="G540" s="21" t="n">
        <v>1</v>
      </c>
      <c r="H540" s="21" t="s">
        <v>585</v>
      </c>
      <c r="I540" s="21" t="s">
        <v>40</v>
      </c>
    </row>
    <row r="541" customFormat="false" ht="15" hidden="false" customHeight="true" outlineLevel="0" collapsed="false">
      <c r="A541" s="21" t="n">
        <v>0</v>
      </c>
      <c r="B541" s="21" t="n">
        <v>10</v>
      </c>
      <c r="C541" s="21" t="n">
        <v>1.27</v>
      </c>
      <c r="D541" s="21" t="n">
        <v>4</v>
      </c>
      <c r="E541" s="21" t="s">
        <v>72</v>
      </c>
      <c r="F541" s="21" t="n">
        <v>1</v>
      </c>
      <c r="G541" s="21" t="n">
        <v>1</v>
      </c>
      <c r="H541" s="21" t="s">
        <v>395</v>
      </c>
      <c r="I541" s="21" t="s">
        <v>40</v>
      </c>
    </row>
    <row r="542" customFormat="false" ht="15" hidden="false" customHeight="true" outlineLevel="0" collapsed="false">
      <c r="A542" s="21" t="n">
        <v>0</v>
      </c>
      <c r="B542" s="21" t="n">
        <v>17</v>
      </c>
      <c r="C542" s="21" t="n">
        <v>1.61</v>
      </c>
      <c r="D542" s="21" t="n">
        <v>1</v>
      </c>
      <c r="E542" s="21" t="s">
        <v>72</v>
      </c>
      <c r="F542" s="21" t="n">
        <v>0</v>
      </c>
      <c r="G542" s="21" t="n">
        <v>0</v>
      </c>
      <c r="H542" s="21" t="s">
        <v>586</v>
      </c>
      <c r="I542" s="21" t="s">
        <v>40</v>
      </c>
    </row>
    <row r="543" customFormat="false" ht="15" hidden="false" customHeight="true" outlineLevel="0" collapsed="false">
      <c r="A543" s="21" t="n">
        <v>0</v>
      </c>
      <c r="B543" s="21" t="n">
        <v>14</v>
      </c>
      <c r="C543" s="21" t="n">
        <v>2.23</v>
      </c>
      <c r="D543" s="21" t="n">
        <v>3</v>
      </c>
      <c r="E543" s="21" t="s">
        <v>72</v>
      </c>
      <c r="F543" s="21" t="n">
        <v>1</v>
      </c>
      <c r="G543" s="21" t="n">
        <v>0</v>
      </c>
      <c r="H543" s="21" t="s">
        <v>587</v>
      </c>
      <c r="I543" s="21" t="s">
        <v>40</v>
      </c>
    </row>
    <row r="544" customFormat="false" ht="15" hidden="false" customHeight="true" outlineLevel="0" collapsed="false">
      <c r="A544" s="21" t="n">
        <v>0</v>
      </c>
      <c r="B544" s="21" t="n">
        <v>12</v>
      </c>
      <c r="C544" s="21" t="n">
        <v>3.61</v>
      </c>
      <c r="D544" s="21" t="n">
        <v>2</v>
      </c>
      <c r="E544" s="21" t="s">
        <v>72</v>
      </c>
      <c r="F544" s="21" t="n">
        <v>1</v>
      </c>
      <c r="G544" s="21" t="n">
        <v>1</v>
      </c>
      <c r="H544" s="21" t="s">
        <v>588</v>
      </c>
      <c r="I544" s="21" t="s">
        <v>40</v>
      </c>
    </row>
    <row r="545" customFormat="false" ht="15" hidden="false" customHeight="true" outlineLevel="0" collapsed="false">
      <c r="A545" s="21" t="n">
        <v>0</v>
      </c>
      <c r="B545" s="21" t="n">
        <v>10</v>
      </c>
      <c r="C545" s="21" t="n">
        <v>1.51</v>
      </c>
      <c r="D545" s="21" t="n">
        <v>3</v>
      </c>
      <c r="E545" s="21" t="s">
        <v>72</v>
      </c>
      <c r="F545" s="21" t="n">
        <v>1</v>
      </c>
      <c r="G545" s="21" t="n">
        <v>0</v>
      </c>
      <c r="H545" s="21" t="s">
        <v>560</v>
      </c>
      <c r="I545" s="21" t="s">
        <v>40</v>
      </c>
    </row>
    <row r="546" customFormat="false" ht="15" hidden="false" customHeight="true" outlineLevel="0" collapsed="false">
      <c r="A546" s="21" t="n">
        <v>0</v>
      </c>
      <c r="B546" s="21" t="n">
        <v>12</v>
      </c>
      <c r="C546" s="21" t="n">
        <v>2.66</v>
      </c>
      <c r="D546" s="21" t="n">
        <v>5</v>
      </c>
      <c r="E546" s="21" t="s">
        <v>72</v>
      </c>
      <c r="F546" s="21" t="n">
        <v>1</v>
      </c>
      <c r="G546" s="21" t="n">
        <v>0</v>
      </c>
      <c r="H546" s="21" t="s">
        <v>589</v>
      </c>
      <c r="I546" s="21" t="s">
        <v>40</v>
      </c>
    </row>
    <row r="547" customFormat="false" ht="15" hidden="false" customHeight="true" outlineLevel="0" collapsed="false">
      <c r="A547" s="21" t="n">
        <v>0</v>
      </c>
      <c r="B547" s="21" t="n">
        <v>11</v>
      </c>
      <c r="C547" s="21" t="n">
        <v>2.6</v>
      </c>
      <c r="D547" s="21" t="n">
        <v>1</v>
      </c>
      <c r="E547" s="21" t="s">
        <v>72</v>
      </c>
      <c r="F547" s="21" t="n">
        <v>1</v>
      </c>
      <c r="G547" s="21" t="n">
        <v>1</v>
      </c>
      <c r="H547" s="21" t="s">
        <v>590</v>
      </c>
      <c r="I547" s="21" t="s">
        <v>40</v>
      </c>
    </row>
    <row r="548" customFormat="false" ht="15" hidden="false" customHeight="true" outlineLevel="0" collapsed="false">
      <c r="A548" s="21" t="n">
        <v>0</v>
      </c>
      <c r="B548" s="21" t="n">
        <v>15</v>
      </c>
      <c r="C548" s="21" t="n">
        <v>2.39</v>
      </c>
      <c r="D548" s="21" t="n">
        <v>1</v>
      </c>
      <c r="E548" s="21" t="s">
        <v>72</v>
      </c>
      <c r="F548" s="21" t="n">
        <v>1</v>
      </c>
      <c r="G548" s="21" t="n">
        <v>0</v>
      </c>
      <c r="H548" s="21" t="s">
        <v>413</v>
      </c>
      <c r="I548" s="21" t="s">
        <v>40</v>
      </c>
    </row>
    <row r="549" customFormat="false" ht="15" hidden="false" customHeight="true" outlineLevel="0" collapsed="false">
      <c r="A549" s="21" t="n">
        <v>0</v>
      </c>
      <c r="B549" s="21" t="n">
        <v>9</v>
      </c>
      <c r="C549" s="21" t="n">
        <v>2.66</v>
      </c>
      <c r="D549" s="21" t="n">
        <v>2</v>
      </c>
      <c r="E549" s="21" t="s">
        <v>72</v>
      </c>
      <c r="F549" s="21" t="n">
        <v>1</v>
      </c>
      <c r="G549" s="21" t="n">
        <v>1</v>
      </c>
      <c r="H549" s="21" t="s">
        <v>591</v>
      </c>
      <c r="I549" s="21" t="s">
        <v>40</v>
      </c>
    </row>
    <row r="550" customFormat="false" ht="15" hidden="false" customHeight="true" outlineLevel="0" collapsed="false">
      <c r="A550" s="21" t="n">
        <v>0</v>
      </c>
      <c r="B550" s="21" t="n">
        <v>12</v>
      </c>
      <c r="C550" s="21" t="n">
        <v>2.67</v>
      </c>
      <c r="D550" s="21" t="n">
        <v>3</v>
      </c>
      <c r="E550" s="21" t="s">
        <v>105</v>
      </c>
      <c r="F550" s="21" t="n">
        <v>1</v>
      </c>
      <c r="G550" s="21" t="n">
        <v>0</v>
      </c>
      <c r="H550" s="21" t="s">
        <v>592</v>
      </c>
      <c r="I550" s="21" t="s">
        <v>40</v>
      </c>
    </row>
    <row r="551" customFormat="false" ht="15" hidden="false" customHeight="true" outlineLevel="0" collapsed="false">
      <c r="A551" s="21" t="n">
        <v>0</v>
      </c>
      <c r="B551" s="21" t="n">
        <v>9</v>
      </c>
      <c r="C551" s="21" t="n">
        <v>2.14</v>
      </c>
      <c r="D551" s="21" t="n">
        <v>3</v>
      </c>
      <c r="E551" s="21" t="s">
        <v>105</v>
      </c>
      <c r="F551" s="21" t="n">
        <v>1</v>
      </c>
      <c r="G551" s="21" t="n">
        <v>1</v>
      </c>
      <c r="H551" s="21" t="s">
        <v>593</v>
      </c>
      <c r="I551" s="21" t="s">
        <v>40</v>
      </c>
    </row>
    <row r="552" customFormat="false" ht="15" hidden="false" customHeight="true" outlineLevel="0" collapsed="false">
      <c r="A552" s="21" t="n">
        <v>1</v>
      </c>
      <c r="B552" s="21" t="n">
        <v>16</v>
      </c>
      <c r="C552" s="21" t="n">
        <v>1.51</v>
      </c>
      <c r="D552" s="21" t="n">
        <v>2</v>
      </c>
      <c r="E552" s="21" t="s">
        <v>105</v>
      </c>
      <c r="F552" s="21" t="n">
        <v>1</v>
      </c>
      <c r="G552" s="21" t="n">
        <v>1</v>
      </c>
      <c r="H552" s="21" t="s">
        <v>594</v>
      </c>
      <c r="I552" s="21" t="s">
        <v>40</v>
      </c>
    </row>
    <row r="553" customFormat="false" ht="15" hidden="false" customHeight="true" outlineLevel="0" collapsed="false">
      <c r="A553" s="21" t="n">
        <v>0</v>
      </c>
      <c r="B553" s="21" t="n">
        <v>8</v>
      </c>
      <c r="C553" s="21" t="n">
        <v>1.17</v>
      </c>
      <c r="D553" s="21" t="n">
        <v>4</v>
      </c>
      <c r="E553" s="21" t="s">
        <v>105</v>
      </c>
      <c r="F553" s="21" t="n">
        <v>1</v>
      </c>
      <c r="G553" s="21" t="n">
        <v>0</v>
      </c>
      <c r="H553" s="21" t="s">
        <v>595</v>
      </c>
      <c r="I553" s="21" t="s">
        <v>40</v>
      </c>
    </row>
    <row r="554" customFormat="false" ht="15" hidden="false" customHeight="true" outlineLevel="0" collapsed="false">
      <c r="A554" s="21" t="n">
        <v>1</v>
      </c>
      <c r="B554" s="21" t="n">
        <v>16</v>
      </c>
      <c r="C554" s="21" t="n">
        <v>1.54</v>
      </c>
      <c r="D554" s="21" t="n">
        <v>3</v>
      </c>
      <c r="E554" s="21" t="s">
        <v>105</v>
      </c>
      <c r="F554" s="21" t="n">
        <v>1</v>
      </c>
      <c r="G554" s="21" t="n">
        <v>0</v>
      </c>
      <c r="H554" s="21" t="s">
        <v>596</v>
      </c>
      <c r="I554" s="21" t="s">
        <v>40</v>
      </c>
    </row>
    <row r="555" customFormat="false" ht="15" hidden="false" customHeight="true" outlineLevel="0" collapsed="false">
      <c r="A555" s="21" t="n">
        <v>0</v>
      </c>
      <c r="B555" s="21" t="n">
        <v>11</v>
      </c>
      <c r="C555" s="21" t="n">
        <v>0.38</v>
      </c>
      <c r="D555" s="21" t="n">
        <v>1</v>
      </c>
      <c r="E555" s="21" t="s">
        <v>105</v>
      </c>
      <c r="F555" s="21" t="n">
        <v>0</v>
      </c>
      <c r="G555" s="21" t="n">
        <v>1</v>
      </c>
      <c r="H555" s="21" t="s">
        <v>597</v>
      </c>
      <c r="I555" s="21" t="s">
        <v>40</v>
      </c>
    </row>
    <row r="556" customFormat="false" ht="15" hidden="false" customHeight="true" outlineLevel="0" collapsed="false">
      <c r="A556" s="21" t="n">
        <v>0</v>
      </c>
      <c r="B556" s="21" t="n">
        <v>14</v>
      </c>
      <c r="C556" s="21" t="n">
        <v>1.77</v>
      </c>
      <c r="D556" s="21" t="n">
        <v>4</v>
      </c>
      <c r="E556" s="21" t="s">
        <v>116</v>
      </c>
      <c r="F556" s="21" t="n">
        <v>1</v>
      </c>
      <c r="G556" s="21" t="n">
        <v>0</v>
      </c>
      <c r="H556" s="21" t="s">
        <v>598</v>
      </c>
      <c r="I556" s="21" t="s">
        <v>40</v>
      </c>
    </row>
    <row r="557" customFormat="false" ht="15" hidden="false" customHeight="true" outlineLevel="0" collapsed="false">
      <c r="A557" s="21" t="n">
        <v>0</v>
      </c>
      <c r="B557" s="21" t="n">
        <v>13</v>
      </c>
      <c r="C557" s="21" t="n">
        <v>2.41</v>
      </c>
      <c r="D557" s="21" t="n">
        <v>3</v>
      </c>
      <c r="E557" s="21" t="s">
        <v>116</v>
      </c>
      <c r="F557" s="21" t="n">
        <v>1</v>
      </c>
      <c r="G557" s="21" t="n">
        <v>0</v>
      </c>
      <c r="H557" s="21" t="s">
        <v>599</v>
      </c>
      <c r="I557" s="21" t="s">
        <v>40</v>
      </c>
    </row>
    <row r="558" customFormat="false" ht="15" hidden="false" customHeight="true" outlineLevel="0" collapsed="false">
      <c r="A558" s="21" t="n">
        <v>0</v>
      </c>
      <c r="B558" s="21" t="n">
        <v>16</v>
      </c>
      <c r="C558" s="21" t="n">
        <v>1.79</v>
      </c>
      <c r="D558" s="21" t="n">
        <v>3</v>
      </c>
      <c r="E558" s="21" t="s">
        <v>116</v>
      </c>
      <c r="F558" s="21" t="n">
        <v>1</v>
      </c>
      <c r="G558" s="21" t="n">
        <v>1</v>
      </c>
      <c r="H558" s="21" t="s">
        <v>600</v>
      </c>
      <c r="I558" s="21" t="s">
        <v>40</v>
      </c>
    </row>
    <row r="559" customFormat="false" ht="15" hidden="false" customHeight="true" outlineLevel="0" collapsed="false">
      <c r="A559" s="21" t="n">
        <v>0</v>
      </c>
      <c r="B559" s="21" t="n">
        <v>18</v>
      </c>
      <c r="C559" s="21" t="n">
        <v>4.16</v>
      </c>
      <c r="D559" s="21" t="n">
        <v>3</v>
      </c>
      <c r="E559" s="21" t="s">
        <v>116</v>
      </c>
      <c r="F559" s="21" t="n">
        <v>1</v>
      </c>
      <c r="G559" s="21" t="n">
        <v>0</v>
      </c>
      <c r="H559" s="21" t="s">
        <v>601</v>
      </c>
      <c r="I559" s="21" t="s">
        <v>40</v>
      </c>
    </row>
    <row r="560" customFormat="false" ht="15" hidden="false" customHeight="true" outlineLevel="0" collapsed="false">
      <c r="A560" s="21" t="n">
        <v>1</v>
      </c>
      <c r="B560" s="21" t="n">
        <v>14</v>
      </c>
      <c r="C560" s="21" t="n">
        <v>1.83</v>
      </c>
      <c r="D560" s="21" t="n">
        <v>3</v>
      </c>
      <c r="E560" s="21" t="s">
        <v>116</v>
      </c>
      <c r="F560" s="21" t="n">
        <v>1</v>
      </c>
      <c r="G560" s="21" t="n">
        <v>1</v>
      </c>
      <c r="H560" s="21" t="s">
        <v>602</v>
      </c>
      <c r="I560" s="21" t="s">
        <v>40</v>
      </c>
    </row>
    <row r="561" customFormat="false" ht="15" hidden="false" customHeight="true" outlineLevel="0" collapsed="false">
      <c r="A561" s="21" t="n">
        <v>1</v>
      </c>
      <c r="B561" s="21" t="n">
        <v>9</v>
      </c>
      <c r="C561" s="21" t="n">
        <v>1.1</v>
      </c>
      <c r="D561" s="21" t="n">
        <v>3</v>
      </c>
      <c r="E561" s="21" t="s">
        <v>116</v>
      </c>
      <c r="F561" s="21" t="n">
        <v>1</v>
      </c>
      <c r="G561" s="21" t="n">
        <v>1</v>
      </c>
      <c r="H561" s="21" t="s">
        <v>603</v>
      </c>
      <c r="I561" s="21" t="s">
        <v>40</v>
      </c>
    </row>
    <row r="562" customFormat="false" ht="15" hidden="false" customHeight="true" outlineLevel="0" collapsed="false">
      <c r="A562" s="21" t="n">
        <v>0</v>
      </c>
      <c r="B562" s="21" t="n">
        <v>17</v>
      </c>
      <c r="C562" s="21" t="n">
        <v>3.85</v>
      </c>
      <c r="D562" s="21" t="n">
        <v>3</v>
      </c>
      <c r="E562" s="21" t="s">
        <v>116</v>
      </c>
      <c r="F562" s="21" t="n">
        <v>1</v>
      </c>
      <c r="G562" s="21" t="n">
        <v>1</v>
      </c>
      <c r="H562" s="21" t="s">
        <v>604</v>
      </c>
      <c r="I562" s="21" t="s">
        <v>40</v>
      </c>
    </row>
    <row r="563" customFormat="false" ht="15" hidden="false" customHeight="true" outlineLevel="0" collapsed="false">
      <c r="A563" s="21" t="n">
        <v>0</v>
      </c>
      <c r="B563" s="21" t="n">
        <v>7</v>
      </c>
      <c r="C563" s="21" t="n">
        <v>2.65</v>
      </c>
      <c r="D563" s="21" t="n">
        <v>2</v>
      </c>
      <c r="E563" s="21" t="s">
        <v>116</v>
      </c>
      <c r="F563" s="21" t="n">
        <v>1</v>
      </c>
      <c r="G563" s="21" t="n">
        <v>0</v>
      </c>
      <c r="H563" s="21" t="s">
        <v>605</v>
      </c>
      <c r="I563" s="21" t="s">
        <v>40</v>
      </c>
    </row>
    <row r="564" customFormat="false" ht="15" hidden="false" customHeight="true" outlineLevel="0" collapsed="false">
      <c r="A564" s="21" t="n">
        <v>0</v>
      </c>
      <c r="B564" s="21" t="n">
        <v>14</v>
      </c>
      <c r="C564" s="21" t="n">
        <v>2.44</v>
      </c>
      <c r="D564" s="21" t="n">
        <v>4</v>
      </c>
      <c r="E564" s="21" t="s">
        <v>116</v>
      </c>
      <c r="F564" s="21" t="n">
        <v>0</v>
      </c>
      <c r="G564" s="21" t="n">
        <v>0</v>
      </c>
      <c r="H564" s="21" t="s">
        <v>606</v>
      </c>
      <c r="I564" s="21" t="s">
        <v>40</v>
      </c>
    </row>
    <row r="565" customFormat="false" ht="15" hidden="false" customHeight="true" outlineLevel="0" collapsed="false">
      <c r="A565" s="21" t="n">
        <v>0</v>
      </c>
      <c r="B565" s="21" t="n">
        <v>12</v>
      </c>
      <c r="C565" s="21" t="n">
        <v>2.86</v>
      </c>
      <c r="D565" s="21" t="n">
        <v>2</v>
      </c>
      <c r="E565" s="21" t="s">
        <v>116</v>
      </c>
      <c r="F565" s="21" t="n">
        <v>1</v>
      </c>
      <c r="G565" s="21" t="n">
        <v>0</v>
      </c>
      <c r="H565" s="21" t="s">
        <v>607</v>
      </c>
      <c r="I565" s="21" t="s">
        <v>40</v>
      </c>
    </row>
    <row r="566" customFormat="false" ht="15" hidden="false" customHeight="true" outlineLevel="0" collapsed="false">
      <c r="A566" s="21" t="n">
        <v>0</v>
      </c>
      <c r="B566" s="21" t="n">
        <v>18</v>
      </c>
      <c r="C566" s="21" t="n">
        <v>2.85</v>
      </c>
      <c r="D566" s="21" t="n">
        <v>2</v>
      </c>
      <c r="E566" s="21" t="s">
        <v>116</v>
      </c>
      <c r="F566" s="21" t="n">
        <v>1</v>
      </c>
      <c r="G566" s="21" t="n">
        <v>1</v>
      </c>
      <c r="H566" s="21" t="s">
        <v>608</v>
      </c>
      <c r="I566" s="21" t="s">
        <v>40</v>
      </c>
    </row>
    <row r="567" customFormat="false" ht="15" hidden="false" customHeight="true" outlineLevel="0" collapsed="false">
      <c r="A567" s="21" t="n">
        <v>0</v>
      </c>
      <c r="B567" s="21" t="n">
        <v>10</v>
      </c>
      <c r="C567" s="21" t="n">
        <v>0.92</v>
      </c>
      <c r="D567" s="21" t="n">
        <v>4</v>
      </c>
      <c r="E567" s="21" t="s">
        <v>116</v>
      </c>
      <c r="F567" s="21" t="n">
        <v>1</v>
      </c>
      <c r="G567" s="21" t="n">
        <v>1</v>
      </c>
      <c r="H567" s="21" t="s">
        <v>609</v>
      </c>
      <c r="I567" s="21" t="s">
        <v>40</v>
      </c>
    </row>
    <row r="568" customFormat="false" ht="15" hidden="false" customHeight="true" outlineLevel="0" collapsed="false">
      <c r="A568" s="21" t="n">
        <v>0</v>
      </c>
      <c r="B568" s="21" t="n">
        <v>13</v>
      </c>
      <c r="C568" s="21" t="n">
        <v>1.55</v>
      </c>
      <c r="D568" s="21" t="n">
        <v>2</v>
      </c>
      <c r="E568" s="21" t="s">
        <v>116</v>
      </c>
      <c r="F568" s="21" t="n">
        <v>0</v>
      </c>
      <c r="G568" s="21" t="n">
        <v>0</v>
      </c>
      <c r="H568" s="21" t="s">
        <v>610</v>
      </c>
      <c r="I568" s="21" t="s">
        <v>40</v>
      </c>
    </row>
    <row r="569" customFormat="false" ht="15" hidden="false" customHeight="true" outlineLevel="0" collapsed="false">
      <c r="A569" s="21" t="n">
        <v>0</v>
      </c>
      <c r="B569" s="21" t="n">
        <v>10</v>
      </c>
      <c r="C569" s="21" t="n">
        <v>0.86</v>
      </c>
      <c r="D569" s="21" t="n">
        <v>4</v>
      </c>
      <c r="E569" s="21" t="s">
        <v>116</v>
      </c>
      <c r="F569" s="21" t="n">
        <v>1</v>
      </c>
      <c r="G569" s="21" t="n">
        <v>1</v>
      </c>
      <c r="H569" s="21" t="s">
        <v>611</v>
      </c>
      <c r="I569" s="21" t="s">
        <v>40</v>
      </c>
    </row>
    <row r="570" customFormat="false" ht="15" hidden="false" customHeight="true" outlineLevel="0" collapsed="false">
      <c r="A570" s="21" t="n">
        <v>0</v>
      </c>
      <c r="B570" s="21" t="n">
        <v>13</v>
      </c>
      <c r="C570" s="21" t="n">
        <v>3.18</v>
      </c>
      <c r="D570" s="21" t="n">
        <v>3</v>
      </c>
      <c r="E570" s="21" t="s">
        <v>116</v>
      </c>
      <c r="F570" s="21" t="n">
        <v>1</v>
      </c>
      <c r="G570" s="21" t="n">
        <v>0</v>
      </c>
      <c r="H570" s="21" t="s">
        <v>612</v>
      </c>
      <c r="I570" s="21" t="s">
        <v>40</v>
      </c>
    </row>
    <row r="571" customFormat="false" ht="15" hidden="false" customHeight="true" outlineLevel="0" collapsed="false">
      <c r="A571" s="21" t="n">
        <v>1</v>
      </c>
      <c r="B571" s="21" t="n">
        <v>16</v>
      </c>
      <c r="C571" s="21" t="n">
        <v>1.77</v>
      </c>
      <c r="D571" s="21" t="n">
        <v>5</v>
      </c>
      <c r="E571" s="21" t="s">
        <v>116</v>
      </c>
      <c r="F571" s="21" t="n">
        <v>1</v>
      </c>
      <c r="G571" s="21" t="n">
        <v>1</v>
      </c>
      <c r="H571" s="21" t="s">
        <v>613</v>
      </c>
      <c r="I571" s="21" t="s">
        <v>40</v>
      </c>
    </row>
    <row r="572" customFormat="false" ht="15" hidden="false" customHeight="true" outlineLevel="0" collapsed="false">
      <c r="A572" s="21" t="n">
        <v>0</v>
      </c>
      <c r="B572" s="21" t="n">
        <v>9</v>
      </c>
      <c r="C572" s="21" t="n">
        <v>1.61</v>
      </c>
      <c r="D572" s="21" t="n">
        <v>3</v>
      </c>
      <c r="E572" s="21" t="s">
        <v>116</v>
      </c>
      <c r="F572" s="21" t="n">
        <v>1</v>
      </c>
      <c r="G572" s="21" t="n">
        <v>1</v>
      </c>
      <c r="H572" s="21" t="s">
        <v>614</v>
      </c>
      <c r="I572" s="21" t="s">
        <v>40</v>
      </c>
    </row>
    <row r="573" customFormat="false" ht="15" hidden="false" customHeight="true" outlineLevel="0" collapsed="false">
      <c r="A573" s="21" t="n">
        <v>0</v>
      </c>
      <c r="B573" s="21" t="n">
        <v>11</v>
      </c>
      <c r="C573" s="21" t="n">
        <v>0.87</v>
      </c>
      <c r="D573" s="21" t="n">
        <v>4</v>
      </c>
      <c r="E573" s="21" t="s">
        <v>116</v>
      </c>
      <c r="F573" s="21" t="n">
        <v>1</v>
      </c>
      <c r="G573" s="21" t="n">
        <v>1</v>
      </c>
      <c r="H573" s="21" t="s">
        <v>615</v>
      </c>
      <c r="I573" s="21" t="s">
        <v>40</v>
      </c>
    </row>
    <row r="574" customFormat="false" ht="15" hidden="false" customHeight="true" outlineLevel="0" collapsed="false">
      <c r="A574" s="21" t="n">
        <v>0</v>
      </c>
      <c r="B574" s="21" t="n">
        <v>19</v>
      </c>
      <c r="C574" s="21" t="n">
        <v>2</v>
      </c>
      <c r="D574" s="21" t="n">
        <v>4</v>
      </c>
      <c r="E574" s="21" t="s">
        <v>116</v>
      </c>
      <c r="F574" s="21" t="n">
        <v>1</v>
      </c>
      <c r="G574" s="21" t="n">
        <v>0</v>
      </c>
      <c r="H574" s="21" t="s">
        <v>616</v>
      </c>
      <c r="I574" s="21" t="s">
        <v>40</v>
      </c>
    </row>
    <row r="575" customFormat="false" ht="15" hidden="false" customHeight="true" outlineLevel="0" collapsed="false">
      <c r="A575" s="21" t="n">
        <v>0</v>
      </c>
      <c r="B575" s="21" t="n">
        <v>3</v>
      </c>
      <c r="C575" s="21" t="n">
        <v>1.82</v>
      </c>
      <c r="D575" s="21" t="n">
        <v>3</v>
      </c>
      <c r="E575" s="21" t="s">
        <v>116</v>
      </c>
      <c r="F575" s="21" t="n">
        <v>1</v>
      </c>
      <c r="G575" s="21" t="n">
        <v>0</v>
      </c>
      <c r="H575" s="21" t="s">
        <v>617</v>
      </c>
      <c r="I575" s="21" t="s">
        <v>40</v>
      </c>
    </row>
    <row r="576" customFormat="false" ht="15" hidden="false" customHeight="true" outlineLevel="0" collapsed="false">
      <c r="A576" s="21" t="n">
        <v>0</v>
      </c>
      <c r="B576" s="21" t="n">
        <v>11</v>
      </c>
      <c r="C576" s="21" t="n">
        <v>2.7</v>
      </c>
      <c r="D576" s="21" t="n">
        <v>1</v>
      </c>
      <c r="E576" s="21" t="s">
        <v>116</v>
      </c>
      <c r="F576" s="21" t="n">
        <v>0</v>
      </c>
      <c r="G576" s="21" t="n">
        <v>0</v>
      </c>
      <c r="H576" s="21" t="s">
        <v>618</v>
      </c>
      <c r="I576" s="21" t="s">
        <v>40</v>
      </c>
    </row>
    <row r="577" customFormat="false" ht="15" hidden="false" customHeight="true" outlineLevel="0" collapsed="false">
      <c r="A577" s="21" t="n">
        <v>0</v>
      </c>
      <c r="B577" s="21" t="n">
        <v>15</v>
      </c>
      <c r="C577" s="21" t="n">
        <v>3</v>
      </c>
      <c r="D577" s="21" t="n">
        <v>4</v>
      </c>
      <c r="E577" s="21" t="s">
        <v>116</v>
      </c>
      <c r="F577" s="21" t="n">
        <v>1</v>
      </c>
      <c r="G577" s="21" t="n">
        <v>1</v>
      </c>
      <c r="H577" s="21" t="s">
        <v>62</v>
      </c>
      <c r="I577" s="21" t="s">
        <v>40</v>
      </c>
    </row>
    <row r="578" customFormat="false" ht="15" hidden="false" customHeight="true" outlineLevel="0" collapsed="false">
      <c r="A578" s="21" t="n">
        <v>0</v>
      </c>
      <c r="B578" s="21" t="n">
        <v>14</v>
      </c>
      <c r="C578" s="21" t="n">
        <v>2.69</v>
      </c>
      <c r="D578" s="21" t="n">
        <v>3</v>
      </c>
      <c r="E578" s="21" t="s">
        <v>116</v>
      </c>
      <c r="F578" s="21" t="n">
        <v>1</v>
      </c>
      <c r="G578" s="21" t="n">
        <v>1</v>
      </c>
      <c r="H578" s="21" t="s">
        <v>619</v>
      </c>
      <c r="I578" s="21" t="s">
        <v>40</v>
      </c>
    </row>
    <row r="579" customFormat="false" ht="15" hidden="false" customHeight="true" outlineLevel="0" collapsed="false">
      <c r="A579" s="21" t="n">
        <v>0</v>
      </c>
      <c r="B579" s="21" t="n">
        <v>16</v>
      </c>
      <c r="C579" s="21" t="n">
        <v>0.65</v>
      </c>
      <c r="D579" s="21" t="n">
        <v>3</v>
      </c>
      <c r="E579" s="21" t="s">
        <v>116</v>
      </c>
      <c r="F579" s="21" t="n">
        <v>1</v>
      </c>
      <c r="G579" s="21" t="n">
        <v>1</v>
      </c>
      <c r="H579" s="21" t="s">
        <v>206</v>
      </c>
      <c r="I579" s="21" t="s">
        <v>40</v>
      </c>
    </row>
    <row r="580" customFormat="false" ht="15" hidden="false" customHeight="true" outlineLevel="0" collapsed="false">
      <c r="A580" s="21" t="n">
        <v>0</v>
      </c>
      <c r="B580" s="21" t="n">
        <v>8</v>
      </c>
      <c r="C580" s="21" t="n">
        <v>2.64</v>
      </c>
      <c r="D580" s="21" t="n">
        <v>1</v>
      </c>
      <c r="E580" s="21" t="s">
        <v>116</v>
      </c>
      <c r="F580" s="21" t="n">
        <v>0</v>
      </c>
      <c r="G580" s="21" t="n">
        <v>1</v>
      </c>
      <c r="H580" s="21" t="s">
        <v>620</v>
      </c>
      <c r="I580" s="21" t="s">
        <v>40</v>
      </c>
    </row>
    <row r="581" customFormat="false" ht="15" hidden="false" customHeight="true" outlineLevel="0" collapsed="false">
      <c r="A581" s="21" t="n">
        <v>0</v>
      </c>
      <c r="B581" s="21" t="n">
        <v>11</v>
      </c>
      <c r="C581" s="21" t="n">
        <v>1.88</v>
      </c>
      <c r="D581" s="21" t="n">
        <v>3</v>
      </c>
      <c r="E581" s="21" t="s">
        <v>116</v>
      </c>
      <c r="F581" s="21" t="n">
        <v>1</v>
      </c>
      <c r="G581" s="21" t="n">
        <v>1</v>
      </c>
      <c r="H581" s="21" t="s">
        <v>621</v>
      </c>
      <c r="I581" s="21" t="s">
        <v>40</v>
      </c>
    </row>
    <row r="582" customFormat="false" ht="15" hidden="false" customHeight="true" outlineLevel="0" collapsed="false">
      <c r="A582" s="21" t="n">
        <v>0</v>
      </c>
      <c r="B582" s="21" t="n">
        <v>6</v>
      </c>
      <c r="C582" s="21" t="n">
        <v>2.83</v>
      </c>
      <c r="D582" s="21" t="n">
        <v>5</v>
      </c>
      <c r="E582" s="21" t="s">
        <v>116</v>
      </c>
      <c r="F582" s="21" t="n">
        <v>1</v>
      </c>
      <c r="G582" s="21" t="n">
        <v>0</v>
      </c>
      <c r="H582" s="21" t="s">
        <v>401</v>
      </c>
      <c r="I582" s="21" t="s">
        <v>40</v>
      </c>
    </row>
    <row r="583" customFormat="false" ht="15" hidden="false" customHeight="true" outlineLevel="0" collapsed="false">
      <c r="A583" s="21" t="n">
        <v>0</v>
      </c>
      <c r="B583" s="21" t="n">
        <v>13</v>
      </c>
      <c r="C583" s="21" t="n">
        <v>2.87</v>
      </c>
      <c r="D583" s="21" t="n">
        <v>5</v>
      </c>
      <c r="E583" s="21" t="s">
        <v>116</v>
      </c>
      <c r="F583" s="21" t="n">
        <v>0</v>
      </c>
      <c r="G583" s="21" t="n">
        <v>0</v>
      </c>
      <c r="H583" s="21" t="s">
        <v>622</v>
      </c>
      <c r="I583" s="21" t="s">
        <v>40</v>
      </c>
    </row>
    <row r="584" customFormat="false" ht="15" hidden="false" customHeight="true" outlineLevel="0" collapsed="false">
      <c r="A584" s="21" t="n">
        <v>0</v>
      </c>
      <c r="B584" s="21" t="n">
        <v>11</v>
      </c>
      <c r="C584" s="21" t="n">
        <v>2.97</v>
      </c>
      <c r="D584" s="21" t="n">
        <v>4</v>
      </c>
      <c r="E584" s="21" t="s">
        <v>116</v>
      </c>
      <c r="F584" s="21" t="n">
        <v>1</v>
      </c>
      <c r="G584" s="21" t="n">
        <v>0</v>
      </c>
      <c r="H584" s="21" t="s">
        <v>623</v>
      </c>
      <c r="I584" s="21" t="s">
        <v>40</v>
      </c>
    </row>
    <row r="585" customFormat="false" ht="15" hidden="false" customHeight="true" outlineLevel="0" collapsed="false">
      <c r="A585" s="21" t="n">
        <v>0</v>
      </c>
      <c r="B585" s="21" t="n">
        <v>14</v>
      </c>
      <c r="C585" s="21" t="n">
        <v>1.13</v>
      </c>
      <c r="D585" s="21" t="n">
        <v>4</v>
      </c>
      <c r="E585" s="21" t="s">
        <v>116</v>
      </c>
      <c r="F585" s="21" t="n">
        <v>0</v>
      </c>
      <c r="G585" s="21" t="n">
        <v>1</v>
      </c>
      <c r="H585" s="21" t="s">
        <v>624</v>
      </c>
      <c r="I585" s="21" t="s">
        <v>40</v>
      </c>
    </row>
    <row r="586" customFormat="false" ht="15" hidden="false" customHeight="true" outlineLevel="0" collapsed="false">
      <c r="A586" s="21" t="n">
        <v>0</v>
      </c>
      <c r="B586" s="21" t="n">
        <v>10</v>
      </c>
      <c r="C586" s="21" t="n">
        <v>1.4</v>
      </c>
      <c r="D586" s="21" t="n">
        <v>3</v>
      </c>
      <c r="E586" s="21" t="s">
        <v>116</v>
      </c>
      <c r="F586" s="21" t="n">
        <v>1</v>
      </c>
      <c r="G586" s="21" t="n">
        <v>1</v>
      </c>
      <c r="H586" s="21" t="s">
        <v>625</v>
      </c>
      <c r="I586" s="21" t="s">
        <v>40</v>
      </c>
    </row>
    <row r="587" customFormat="false" ht="15" hidden="false" customHeight="true" outlineLevel="0" collapsed="false">
      <c r="A587" s="21" t="n">
        <v>0</v>
      </c>
      <c r="B587" s="21" t="n">
        <v>15</v>
      </c>
      <c r="C587" s="21" t="n">
        <v>3.48</v>
      </c>
      <c r="D587" s="21" t="n">
        <v>4</v>
      </c>
      <c r="E587" s="21" t="s">
        <v>116</v>
      </c>
      <c r="F587" s="21" t="n">
        <v>1</v>
      </c>
      <c r="G587" s="21" t="n">
        <v>0</v>
      </c>
      <c r="H587" s="21" t="s">
        <v>626</v>
      </c>
      <c r="I587" s="21" t="s">
        <v>40</v>
      </c>
    </row>
    <row r="588" customFormat="false" ht="15" hidden="false" customHeight="true" outlineLevel="0" collapsed="false">
      <c r="A588" s="21" t="n">
        <v>0</v>
      </c>
      <c r="B588" s="21" t="n">
        <v>14</v>
      </c>
      <c r="C588" s="21" t="n">
        <v>2.93</v>
      </c>
      <c r="D588" s="21" t="n">
        <v>4</v>
      </c>
      <c r="E588" s="21" t="s">
        <v>116</v>
      </c>
      <c r="F588" s="21" t="n">
        <v>1</v>
      </c>
      <c r="G588" s="21" t="n">
        <v>0</v>
      </c>
      <c r="H588" s="21" t="s">
        <v>627</v>
      </c>
      <c r="I588" s="21" t="s">
        <v>40</v>
      </c>
    </row>
    <row r="589" customFormat="false" ht="15" hidden="false" customHeight="true" outlineLevel="0" collapsed="false">
      <c r="A589" s="21" t="n">
        <v>0</v>
      </c>
      <c r="B589" s="21" t="n">
        <v>9</v>
      </c>
      <c r="C589" s="21" t="n">
        <v>0.57</v>
      </c>
      <c r="D589" s="21" t="n">
        <v>2</v>
      </c>
      <c r="E589" s="21" t="s">
        <v>116</v>
      </c>
      <c r="F589" s="21" t="n">
        <v>1</v>
      </c>
      <c r="G589" s="21" t="n">
        <v>0</v>
      </c>
      <c r="H589" s="21" t="s">
        <v>628</v>
      </c>
      <c r="I589" s="21" t="s">
        <v>40</v>
      </c>
    </row>
    <row r="590" customFormat="false" ht="15" hidden="false" customHeight="true" outlineLevel="0" collapsed="false">
      <c r="A590" s="21" t="n">
        <v>0</v>
      </c>
      <c r="B590" s="21" t="n">
        <v>11</v>
      </c>
      <c r="C590" s="21" t="n">
        <v>1.91</v>
      </c>
      <c r="D590" s="21" t="n">
        <v>3</v>
      </c>
      <c r="E590" s="21" t="s">
        <v>116</v>
      </c>
      <c r="F590" s="21" t="n">
        <v>0</v>
      </c>
      <c r="G590" s="21" t="n">
        <v>0</v>
      </c>
      <c r="H590" s="21" t="s">
        <v>629</v>
      </c>
      <c r="I590" s="21" t="s">
        <v>40</v>
      </c>
    </row>
    <row r="591" customFormat="false" ht="15" hidden="false" customHeight="true" outlineLevel="0" collapsed="false">
      <c r="A591" s="21" t="n">
        <v>0</v>
      </c>
      <c r="B591" s="21" t="n">
        <v>9</v>
      </c>
      <c r="C591" s="21" t="n">
        <v>1.26</v>
      </c>
      <c r="D591" s="21" t="n">
        <v>3</v>
      </c>
      <c r="E591" s="21" t="s">
        <v>116</v>
      </c>
      <c r="F591" s="21" t="n">
        <v>1</v>
      </c>
      <c r="G591" s="21" t="n">
        <v>0</v>
      </c>
      <c r="H591" s="21" t="s">
        <v>630</v>
      </c>
      <c r="I591" s="21" t="s">
        <v>40</v>
      </c>
    </row>
    <row r="592" customFormat="false" ht="15" hidden="false" customHeight="true" outlineLevel="0" collapsed="false">
      <c r="A592" s="21" t="n">
        <v>0</v>
      </c>
      <c r="B592" s="21" t="n">
        <v>11</v>
      </c>
      <c r="C592" s="21" t="n">
        <v>2.21</v>
      </c>
      <c r="D592" s="21" t="n">
        <v>2</v>
      </c>
      <c r="E592" s="21" t="s">
        <v>116</v>
      </c>
      <c r="F592" s="21" t="n">
        <v>0</v>
      </c>
      <c r="G592" s="21" t="n">
        <v>0</v>
      </c>
      <c r="H592" s="21" t="s">
        <v>631</v>
      </c>
      <c r="I592" s="21" t="s">
        <v>40</v>
      </c>
    </row>
    <row r="593" customFormat="false" ht="15" hidden="false" customHeight="true" outlineLevel="0" collapsed="false">
      <c r="A593" s="21" t="n">
        <v>0</v>
      </c>
      <c r="B593" s="21" t="n">
        <v>15</v>
      </c>
      <c r="C593" s="21" t="n">
        <v>0.46</v>
      </c>
      <c r="D593" s="21" t="n">
        <v>4</v>
      </c>
      <c r="E593" s="21" t="s">
        <v>116</v>
      </c>
      <c r="F593" s="21" t="n">
        <v>1</v>
      </c>
      <c r="G593" s="21" t="n">
        <v>0</v>
      </c>
      <c r="H593" s="21" t="s">
        <v>632</v>
      </c>
      <c r="I593" s="21" t="s">
        <v>40</v>
      </c>
    </row>
    <row r="594" customFormat="false" ht="15" hidden="false" customHeight="true" outlineLevel="0" collapsed="false">
      <c r="A594" s="21" t="n">
        <v>0</v>
      </c>
      <c r="B594" s="21" t="n">
        <v>14</v>
      </c>
      <c r="C594" s="21" t="n">
        <v>1.98</v>
      </c>
      <c r="D594" s="21" t="n">
        <v>3</v>
      </c>
      <c r="E594" s="21" t="s">
        <v>116</v>
      </c>
      <c r="F594" s="21" t="n">
        <v>1</v>
      </c>
      <c r="G594" s="21" t="n">
        <v>0</v>
      </c>
      <c r="H594" s="21" t="s">
        <v>633</v>
      </c>
      <c r="I594" s="21" t="s">
        <v>40</v>
      </c>
    </row>
    <row r="595" customFormat="false" ht="15" hidden="false" customHeight="true" outlineLevel="0" collapsed="false">
      <c r="A595" s="21" t="n">
        <v>0</v>
      </c>
      <c r="B595" s="21" t="n">
        <v>14</v>
      </c>
      <c r="C595" s="21" t="n">
        <v>3.15</v>
      </c>
      <c r="D595" s="21" t="n">
        <v>3</v>
      </c>
      <c r="E595" s="21" t="s">
        <v>116</v>
      </c>
      <c r="F595" s="21" t="n">
        <v>1</v>
      </c>
      <c r="G595" s="21" t="n">
        <v>0</v>
      </c>
      <c r="H595" s="21" t="s">
        <v>634</v>
      </c>
      <c r="I595" s="21" t="s">
        <v>40</v>
      </c>
    </row>
    <row r="596" customFormat="false" ht="15" hidden="false" customHeight="true" outlineLevel="0" collapsed="false">
      <c r="A596" s="21" t="n">
        <v>0</v>
      </c>
      <c r="B596" s="21" t="n">
        <v>6</v>
      </c>
      <c r="C596" s="21" t="n">
        <v>1.95</v>
      </c>
      <c r="D596" s="21" t="n">
        <v>2</v>
      </c>
      <c r="E596" s="21" t="s">
        <v>116</v>
      </c>
      <c r="F596" s="21" t="n">
        <v>1</v>
      </c>
      <c r="G596" s="21" t="n">
        <v>0</v>
      </c>
      <c r="H596" s="21" t="s">
        <v>635</v>
      </c>
      <c r="I596" s="21" t="s">
        <v>40</v>
      </c>
    </row>
    <row r="597" customFormat="false" ht="15" hidden="false" customHeight="true" outlineLevel="0" collapsed="false">
      <c r="A597" s="21" t="n">
        <v>0</v>
      </c>
      <c r="B597" s="21" t="n">
        <v>12</v>
      </c>
      <c r="C597" s="21" t="n">
        <v>1.46</v>
      </c>
      <c r="D597" s="21" t="n">
        <v>1</v>
      </c>
      <c r="E597" s="21" t="s">
        <v>157</v>
      </c>
      <c r="F597" s="21" t="n">
        <v>1</v>
      </c>
      <c r="G597" s="21" t="n">
        <v>0</v>
      </c>
      <c r="H597" s="21" t="s">
        <v>636</v>
      </c>
      <c r="I597" s="21" t="s">
        <v>40</v>
      </c>
    </row>
    <row r="598" customFormat="false" ht="15" hidden="false" customHeight="true" outlineLevel="0" collapsed="false">
      <c r="A598" s="21" t="n">
        <v>0</v>
      </c>
      <c r="B598" s="21" t="n">
        <v>13</v>
      </c>
      <c r="C598" s="21" t="n">
        <v>1.83</v>
      </c>
      <c r="D598" s="21" t="n">
        <v>4</v>
      </c>
      <c r="E598" s="21" t="s">
        <v>157</v>
      </c>
      <c r="F598" s="21" t="n">
        <v>1</v>
      </c>
      <c r="G598" s="21" t="n">
        <v>0</v>
      </c>
      <c r="H598" s="21" t="s">
        <v>637</v>
      </c>
      <c r="I598" s="21" t="s">
        <v>40</v>
      </c>
    </row>
    <row r="599" customFormat="false" ht="15" hidden="false" customHeight="true" outlineLevel="0" collapsed="false">
      <c r="A599" s="21" t="n">
        <v>0</v>
      </c>
      <c r="B599" s="21" t="n">
        <v>8</v>
      </c>
      <c r="C599" s="21" t="n">
        <v>3.8</v>
      </c>
      <c r="D599" s="21" t="n">
        <v>4</v>
      </c>
      <c r="E599" s="21" t="s">
        <v>157</v>
      </c>
      <c r="F599" s="21" t="n">
        <v>1</v>
      </c>
      <c r="G599" s="21" t="n">
        <v>0</v>
      </c>
      <c r="H599" s="21" t="s">
        <v>638</v>
      </c>
      <c r="I599" s="21" t="s">
        <v>40</v>
      </c>
    </row>
    <row r="600" customFormat="false" ht="15" hidden="false" customHeight="true" outlineLevel="0" collapsed="false">
      <c r="A600" s="21" t="n">
        <v>0</v>
      </c>
      <c r="B600" s="21" t="n">
        <v>8</v>
      </c>
      <c r="C600" s="21" t="n">
        <v>4.24</v>
      </c>
      <c r="D600" s="21" t="n">
        <v>4</v>
      </c>
      <c r="E600" s="21" t="s">
        <v>157</v>
      </c>
      <c r="F600" s="21" t="n">
        <v>1</v>
      </c>
      <c r="G600" s="21" t="n">
        <v>0</v>
      </c>
      <c r="H600" s="21" t="s">
        <v>639</v>
      </c>
      <c r="I600" s="21" t="s">
        <v>40</v>
      </c>
    </row>
    <row r="601" customFormat="false" ht="15" hidden="false" customHeight="true" outlineLevel="0" collapsed="false">
      <c r="A601" s="21" t="n">
        <v>0</v>
      </c>
      <c r="B601" s="21" t="n">
        <v>8</v>
      </c>
      <c r="C601" s="21" t="n">
        <v>2.11</v>
      </c>
      <c r="D601" s="21" t="n">
        <v>3</v>
      </c>
      <c r="E601" s="21" t="s">
        <v>157</v>
      </c>
      <c r="F601" s="21" t="n">
        <v>0</v>
      </c>
      <c r="G601" s="21" t="n">
        <v>1</v>
      </c>
      <c r="H601" s="21" t="s">
        <v>640</v>
      </c>
      <c r="I601" s="21" t="s">
        <v>40</v>
      </c>
    </row>
    <row r="602" customFormat="false" ht="15" hidden="false" customHeight="true" outlineLevel="0" collapsed="false">
      <c r="A602" s="21" t="n">
        <v>0</v>
      </c>
      <c r="B602" s="21" t="n">
        <v>15</v>
      </c>
      <c r="C602" s="21" t="n">
        <v>2.84</v>
      </c>
      <c r="D602" s="21" t="n">
        <v>2</v>
      </c>
      <c r="E602" s="21" t="s">
        <v>157</v>
      </c>
      <c r="F602" s="21" t="n">
        <v>1</v>
      </c>
      <c r="G602" s="21" t="n">
        <v>0</v>
      </c>
      <c r="H602" s="21" t="s">
        <v>599</v>
      </c>
      <c r="I602" s="21" t="s">
        <v>40</v>
      </c>
    </row>
    <row r="603" customFormat="false" ht="15" hidden="false" customHeight="true" outlineLevel="0" collapsed="false">
      <c r="A603" s="21" t="n">
        <v>0</v>
      </c>
      <c r="B603" s="21" t="n">
        <v>15</v>
      </c>
      <c r="C603" s="21" t="n">
        <v>1.4</v>
      </c>
      <c r="D603" s="21" t="n">
        <v>3</v>
      </c>
      <c r="E603" s="21" t="s">
        <v>157</v>
      </c>
      <c r="F603" s="21" t="n">
        <v>0</v>
      </c>
      <c r="G603" s="21" t="n">
        <v>0</v>
      </c>
      <c r="H603" s="21" t="s">
        <v>641</v>
      </c>
      <c r="I603" s="21" t="s">
        <v>40</v>
      </c>
    </row>
    <row r="604" customFormat="false" ht="15" hidden="false" customHeight="true" outlineLevel="0" collapsed="false">
      <c r="A604" s="21" t="n">
        <v>0</v>
      </c>
      <c r="B604" s="21" t="n">
        <v>26</v>
      </c>
      <c r="C604" s="21" t="n">
        <v>2.32</v>
      </c>
      <c r="D604" s="21" t="n">
        <v>3</v>
      </c>
      <c r="E604" s="21" t="s">
        <v>58</v>
      </c>
      <c r="F604" s="21" t="n">
        <v>0</v>
      </c>
      <c r="G604" s="21" t="n">
        <v>0</v>
      </c>
      <c r="H604" s="21" t="s">
        <v>642</v>
      </c>
      <c r="I604" s="21" t="s">
        <v>42</v>
      </c>
    </row>
    <row r="605" customFormat="false" ht="15" hidden="false" customHeight="true" outlineLevel="0" collapsed="false">
      <c r="A605" s="21" t="n">
        <v>0</v>
      </c>
      <c r="B605" s="21" t="n">
        <v>2</v>
      </c>
      <c r="C605" s="21" t="n">
        <v>1.65</v>
      </c>
      <c r="D605" s="21" t="n">
        <v>4</v>
      </c>
      <c r="E605" s="21" t="s">
        <v>58</v>
      </c>
      <c r="F605" s="21" t="n">
        <v>0</v>
      </c>
      <c r="G605" s="21" t="n">
        <v>0</v>
      </c>
      <c r="H605" s="21" t="s">
        <v>643</v>
      </c>
      <c r="I605" s="21" t="s">
        <v>42</v>
      </c>
    </row>
    <row r="606" customFormat="false" ht="15" hidden="false" customHeight="true" outlineLevel="0" collapsed="false">
      <c r="A606" s="21" t="n">
        <v>0</v>
      </c>
      <c r="B606" s="21" t="n">
        <v>38</v>
      </c>
      <c r="C606" s="21" t="n">
        <v>4</v>
      </c>
      <c r="D606" s="21" t="n">
        <v>2</v>
      </c>
      <c r="E606" s="21" t="s">
        <v>58</v>
      </c>
      <c r="F606" s="21" t="n">
        <v>0</v>
      </c>
      <c r="G606" s="21" t="n">
        <v>1</v>
      </c>
      <c r="H606" s="21" t="s">
        <v>644</v>
      </c>
      <c r="I606" s="21" t="s">
        <v>42</v>
      </c>
    </row>
    <row r="607" customFormat="false" ht="15" hidden="false" customHeight="true" outlineLevel="0" collapsed="false">
      <c r="A607" s="21" t="n">
        <v>0</v>
      </c>
      <c r="B607" s="21" t="n">
        <v>31</v>
      </c>
      <c r="C607" s="21" t="n">
        <v>6.24</v>
      </c>
      <c r="D607" s="21" t="n">
        <v>3</v>
      </c>
      <c r="E607" s="21" t="s">
        <v>58</v>
      </c>
      <c r="F607" s="21" t="n">
        <v>0</v>
      </c>
      <c r="G607" s="21" t="n">
        <v>1</v>
      </c>
      <c r="H607" s="21" t="s">
        <v>645</v>
      </c>
      <c r="I607" s="21" t="s">
        <v>42</v>
      </c>
    </row>
    <row r="608" customFormat="false" ht="15" hidden="false" customHeight="true" outlineLevel="0" collapsed="false">
      <c r="A608" s="21" t="n">
        <v>0</v>
      </c>
      <c r="B608" s="21" t="n">
        <v>33</v>
      </c>
      <c r="C608" s="21" t="n">
        <v>2.28</v>
      </c>
      <c r="D608" s="21" t="n">
        <v>3</v>
      </c>
      <c r="E608" s="21" t="s">
        <v>58</v>
      </c>
      <c r="F608" s="21" t="n">
        <v>0</v>
      </c>
      <c r="G608" s="21" t="n">
        <v>1</v>
      </c>
      <c r="H608" s="21" t="s">
        <v>288</v>
      </c>
      <c r="I608" s="21" t="s">
        <v>42</v>
      </c>
    </row>
    <row r="609" customFormat="false" ht="15" hidden="false" customHeight="true" outlineLevel="0" collapsed="false">
      <c r="A609" s="21" t="n">
        <v>0</v>
      </c>
      <c r="B609" s="21" t="n">
        <v>15</v>
      </c>
      <c r="C609" s="21" t="n">
        <v>1.42</v>
      </c>
      <c r="D609" s="21" t="n">
        <v>3</v>
      </c>
      <c r="E609" s="21" t="s">
        <v>58</v>
      </c>
      <c r="F609" s="21" t="n">
        <v>1</v>
      </c>
      <c r="G609" s="21" t="n">
        <v>0</v>
      </c>
      <c r="H609" s="21" t="s">
        <v>646</v>
      </c>
      <c r="I609" s="21" t="s">
        <v>42</v>
      </c>
    </row>
    <row r="610" customFormat="false" ht="15" hidden="false" customHeight="true" outlineLevel="0" collapsed="false">
      <c r="A610" s="21" t="n">
        <v>0</v>
      </c>
      <c r="B610" s="21" t="n">
        <v>22</v>
      </c>
      <c r="C610" s="21" t="n">
        <v>4.17</v>
      </c>
      <c r="D610" s="21" t="n">
        <v>1</v>
      </c>
      <c r="E610" s="21" t="s">
        <v>58</v>
      </c>
      <c r="F610" s="21" t="n">
        <v>0</v>
      </c>
      <c r="G610" s="21" t="n">
        <v>1</v>
      </c>
      <c r="H610" s="21" t="s">
        <v>647</v>
      </c>
      <c r="I610" s="21" t="s">
        <v>42</v>
      </c>
    </row>
    <row r="611" customFormat="false" ht="15" hidden="false" customHeight="true" outlineLevel="0" collapsed="false">
      <c r="A611" s="21" t="n">
        <v>0</v>
      </c>
      <c r="B611" s="21" t="n">
        <v>29</v>
      </c>
      <c r="C611" s="21" t="n">
        <v>1.87</v>
      </c>
      <c r="D611" s="21" t="n">
        <v>1</v>
      </c>
      <c r="E611" s="21" t="s">
        <v>58</v>
      </c>
      <c r="F611" s="21" t="n">
        <v>0</v>
      </c>
      <c r="G611" s="21" t="n">
        <v>1</v>
      </c>
      <c r="H611" s="21" t="s">
        <v>648</v>
      </c>
      <c r="I611" s="21" t="s">
        <v>42</v>
      </c>
    </row>
    <row r="612" customFormat="false" ht="15" hidden="false" customHeight="true" outlineLevel="0" collapsed="false">
      <c r="A612" s="21" t="n">
        <v>0</v>
      </c>
      <c r="B612" s="21" t="n">
        <v>33</v>
      </c>
      <c r="C612" s="21" t="n">
        <v>0.88</v>
      </c>
      <c r="D612" s="21" t="n">
        <v>1</v>
      </c>
      <c r="E612" s="21" t="s">
        <v>58</v>
      </c>
      <c r="F612" s="21" t="n">
        <v>0</v>
      </c>
      <c r="G612" s="21" t="n">
        <v>0</v>
      </c>
      <c r="H612" s="21" t="s">
        <v>649</v>
      </c>
      <c r="I612" s="21" t="s">
        <v>42</v>
      </c>
    </row>
    <row r="613" customFormat="false" ht="15" hidden="false" customHeight="true" outlineLevel="0" collapsed="false">
      <c r="A613" s="21" t="n">
        <v>0</v>
      </c>
      <c r="B613" s="21" t="n">
        <v>25</v>
      </c>
      <c r="C613" s="21" t="n">
        <v>7.28</v>
      </c>
      <c r="D613" s="21" t="n">
        <v>2</v>
      </c>
      <c r="E613" s="21" t="s">
        <v>58</v>
      </c>
      <c r="F613" s="21" t="n">
        <v>0</v>
      </c>
      <c r="G613" s="21" t="n">
        <v>0</v>
      </c>
      <c r="H613" s="21" t="s">
        <v>650</v>
      </c>
      <c r="I613" s="21" t="s">
        <v>42</v>
      </c>
    </row>
    <row r="614" customFormat="false" ht="15" hidden="false" customHeight="true" outlineLevel="0" collapsed="false">
      <c r="A614" s="21" t="n">
        <v>0</v>
      </c>
      <c r="B614" s="21" t="n">
        <v>36</v>
      </c>
      <c r="C614" s="21" t="n">
        <v>2.53</v>
      </c>
      <c r="D614" s="21" t="n">
        <v>2</v>
      </c>
      <c r="E614" s="21" t="s">
        <v>58</v>
      </c>
      <c r="F614" s="21" t="n">
        <v>0</v>
      </c>
      <c r="G614" s="21" t="n">
        <v>0</v>
      </c>
      <c r="H614" s="21" t="s">
        <v>651</v>
      </c>
      <c r="I614" s="21" t="s">
        <v>42</v>
      </c>
    </row>
    <row r="615" customFormat="false" ht="15" hidden="false" customHeight="true" outlineLevel="0" collapsed="false">
      <c r="A615" s="21" t="n">
        <v>0</v>
      </c>
      <c r="B615" s="21" t="n">
        <v>21</v>
      </c>
      <c r="C615" s="21" t="n">
        <v>3.61</v>
      </c>
      <c r="D615" s="21" t="n">
        <v>2</v>
      </c>
      <c r="E615" s="21" t="s">
        <v>58</v>
      </c>
      <c r="F615" s="21" t="n">
        <v>1</v>
      </c>
      <c r="G615" s="21" t="n">
        <v>0</v>
      </c>
      <c r="H615" s="21" t="s">
        <v>652</v>
      </c>
      <c r="I615" s="21" t="s">
        <v>42</v>
      </c>
    </row>
    <row r="616" customFormat="false" ht="15" hidden="false" customHeight="true" outlineLevel="0" collapsed="false">
      <c r="A616" s="21" t="n">
        <v>0</v>
      </c>
      <c r="B616" s="21" t="n">
        <v>26</v>
      </c>
      <c r="C616" s="21" t="n">
        <v>3.2</v>
      </c>
      <c r="D616" s="21" t="n">
        <v>2</v>
      </c>
      <c r="E616" s="21" t="s">
        <v>58</v>
      </c>
      <c r="F616" s="21" t="n">
        <v>0</v>
      </c>
      <c r="G616" s="21" t="n">
        <v>1</v>
      </c>
      <c r="H616" s="21" t="s">
        <v>653</v>
      </c>
      <c r="I616" s="21" t="s">
        <v>42</v>
      </c>
    </row>
    <row r="617" customFormat="false" ht="15" hidden="false" customHeight="true" outlineLevel="0" collapsed="false">
      <c r="A617" s="21" t="n">
        <v>1</v>
      </c>
      <c r="B617" s="21" t="n">
        <v>32</v>
      </c>
      <c r="C617" s="21" t="n">
        <v>2.28</v>
      </c>
      <c r="D617" s="21" t="n">
        <v>1</v>
      </c>
      <c r="E617" s="21" t="s">
        <v>58</v>
      </c>
      <c r="F617" s="21" t="n">
        <v>0</v>
      </c>
      <c r="G617" s="21" t="n">
        <v>0</v>
      </c>
      <c r="H617" s="21" t="s">
        <v>654</v>
      </c>
      <c r="I617" s="21" t="s">
        <v>42</v>
      </c>
    </row>
    <row r="618" customFormat="false" ht="15" hidden="false" customHeight="true" outlineLevel="0" collapsed="false">
      <c r="A618" s="21" t="n">
        <v>0</v>
      </c>
      <c r="B618" s="21" t="n">
        <v>28</v>
      </c>
      <c r="C618" s="21" t="n">
        <v>4.87</v>
      </c>
      <c r="D618" s="21" t="n">
        <v>1</v>
      </c>
      <c r="E618" s="21" t="s">
        <v>58</v>
      </c>
      <c r="F618" s="21" t="n">
        <v>0</v>
      </c>
      <c r="G618" s="21" t="n">
        <v>1</v>
      </c>
      <c r="H618" s="21" t="s">
        <v>655</v>
      </c>
      <c r="I618" s="21" t="s">
        <v>42</v>
      </c>
    </row>
    <row r="619" customFormat="false" ht="15" hidden="false" customHeight="true" outlineLevel="0" collapsed="false">
      <c r="A619" s="21" t="n">
        <v>0</v>
      </c>
      <c r="B619" s="21" t="n">
        <v>33</v>
      </c>
      <c r="C619" s="21" t="n">
        <v>3.24</v>
      </c>
      <c r="D619" s="21" t="n">
        <v>2</v>
      </c>
      <c r="E619" s="21" t="s">
        <v>58</v>
      </c>
      <c r="F619" s="21" t="n">
        <v>0</v>
      </c>
      <c r="G619" s="21" t="n">
        <v>0</v>
      </c>
      <c r="H619" s="21" t="s">
        <v>656</v>
      </c>
      <c r="I619" s="21" t="s">
        <v>42</v>
      </c>
    </row>
    <row r="620" customFormat="false" ht="15" hidden="false" customHeight="true" outlineLevel="0" collapsed="false">
      <c r="A620" s="21" t="n">
        <v>0</v>
      </c>
      <c r="B620" s="21" t="n">
        <v>38</v>
      </c>
      <c r="C620" s="21" t="n">
        <v>3.48</v>
      </c>
      <c r="D620" s="21" t="n">
        <v>3</v>
      </c>
      <c r="E620" s="21" t="s">
        <v>58</v>
      </c>
      <c r="F620" s="21" t="n">
        <v>0</v>
      </c>
      <c r="G620" s="21" t="n">
        <v>0</v>
      </c>
      <c r="H620" s="21" t="s">
        <v>657</v>
      </c>
      <c r="I620" s="21" t="s">
        <v>42</v>
      </c>
    </row>
    <row r="621" customFormat="false" ht="15" hidden="false" customHeight="true" outlineLevel="0" collapsed="false">
      <c r="A621" s="21" t="n">
        <v>0</v>
      </c>
      <c r="B621" s="21" t="n">
        <v>18</v>
      </c>
      <c r="C621" s="21" t="n">
        <v>1.65</v>
      </c>
      <c r="D621" s="21" t="n">
        <v>3</v>
      </c>
      <c r="E621" s="21" t="s">
        <v>58</v>
      </c>
      <c r="F621" s="21" t="n">
        <v>0</v>
      </c>
      <c r="G621" s="21" t="n">
        <v>1</v>
      </c>
      <c r="H621" s="21" t="s">
        <v>658</v>
      </c>
      <c r="I621" s="21" t="s">
        <v>42</v>
      </c>
    </row>
    <row r="622" customFormat="false" ht="15" hidden="false" customHeight="true" outlineLevel="0" collapsed="false">
      <c r="A622" s="21" t="n">
        <v>0</v>
      </c>
      <c r="B622" s="21" t="n">
        <v>44</v>
      </c>
      <c r="C622" s="21" t="n">
        <v>3.69</v>
      </c>
      <c r="D622" s="21" t="n">
        <v>1</v>
      </c>
      <c r="E622" s="21" t="s">
        <v>58</v>
      </c>
      <c r="F622" s="21" t="n">
        <v>1</v>
      </c>
      <c r="G622" s="21" t="n">
        <v>1</v>
      </c>
      <c r="H622" s="21" t="s">
        <v>659</v>
      </c>
      <c r="I622" s="21" t="s">
        <v>42</v>
      </c>
    </row>
    <row r="623" customFormat="false" ht="15" hidden="false" customHeight="true" outlineLevel="0" collapsed="false">
      <c r="A623" s="21" t="n">
        <v>0</v>
      </c>
      <c r="B623" s="21" t="n">
        <v>13</v>
      </c>
      <c r="C623" s="21" t="n">
        <v>3.08</v>
      </c>
      <c r="D623" s="21" t="n">
        <v>5</v>
      </c>
      <c r="E623" s="21" t="s">
        <v>58</v>
      </c>
      <c r="F623" s="21" t="n">
        <v>1</v>
      </c>
      <c r="G623" s="21" t="n">
        <v>0</v>
      </c>
      <c r="H623" s="21" t="s">
        <v>660</v>
      </c>
      <c r="I623" s="21" t="s">
        <v>42</v>
      </c>
    </row>
    <row r="624" customFormat="false" ht="15" hidden="false" customHeight="true" outlineLevel="0" collapsed="false">
      <c r="A624" s="21" t="n">
        <v>0</v>
      </c>
      <c r="B624" s="21" t="n">
        <v>44</v>
      </c>
      <c r="C624" s="21" t="n">
        <v>2.57</v>
      </c>
      <c r="D624" s="21" t="n">
        <v>1</v>
      </c>
      <c r="E624" s="21" t="s">
        <v>58</v>
      </c>
      <c r="F624" s="21" t="n">
        <v>0</v>
      </c>
      <c r="G624" s="21" t="n">
        <v>0</v>
      </c>
      <c r="H624" s="21" t="s">
        <v>661</v>
      </c>
      <c r="I624" s="21" t="s">
        <v>42</v>
      </c>
    </row>
    <row r="625" customFormat="false" ht="15" hidden="false" customHeight="true" outlineLevel="0" collapsed="false">
      <c r="A625" s="21" t="n">
        <v>0</v>
      </c>
      <c r="B625" s="21" t="n">
        <v>46</v>
      </c>
      <c r="C625" s="21" t="n">
        <v>2.07</v>
      </c>
      <c r="D625" s="21" t="n">
        <v>3</v>
      </c>
      <c r="E625" s="21" t="s">
        <v>58</v>
      </c>
      <c r="F625" s="21" t="n">
        <v>0</v>
      </c>
      <c r="G625" s="21" t="n">
        <v>0</v>
      </c>
      <c r="H625" s="21" t="s">
        <v>662</v>
      </c>
      <c r="I625" s="21" t="s">
        <v>42</v>
      </c>
    </row>
    <row r="626" customFormat="false" ht="15" hidden="false" customHeight="true" outlineLevel="0" collapsed="false">
      <c r="A626" s="21" t="n">
        <v>0</v>
      </c>
      <c r="B626" s="21" t="n">
        <v>38</v>
      </c>
      <c r="C626" s="21" t="n">
        <v>5.41</v>
      </c>
      <c r="D626" s="21" t="n">
        <v>1</v>
      </c>
      <c r="E626" s="21" t="s">
        <v>58</v>
      </c>
      <c r="F626" s="21" t="n">
        <v>0</v>
      </c>
      <c r="G626" s="21" t="n">
        <v>0</v>
      </c>
      <c r="H626" s="21" t="s">
        <v>663</v>
      </c>
      <c r="I626" s="21" t="s">
        <v>42</v>
      </c>
    </row>
    <row r="627" customFormat="false" ht="15" hidden="false" customHeight="true" outlineLevel="0" collapsed="false">
      <c r="A627" s="21" t="n">
        <v>0</v>
      </c>
      <c r="B627" s="21" t="n">
        <v>49</v>
      </c>
      <c r="C627" s="21" t="n">
        <v>1.74</v>
      </c>
      <c r="D627" s="21" t="n">
        <v>2</v>
      </c>
      <c r="E627" s="21" t="s">
        <v>58</v>
      </c>
      <c r="F627" s="21" t="n">
        <v>1</v>
      </c>
      <c r="G627" s="21" t="n">
        <v>0</v>
      </c>
      <c r="H627" s="21" t="s">
        <v>664</v>
      </c>
      <c r="I627" s="21" t="s">
        <v>42</v>
      </c>
    </row>
    <row r="628" customFormat="false" ht="15" hidden="false" customHeight="true" outlineLevel="0" collapsed="false">
      <c r="A628" s="21" t="n">
        <v>0</v>
      </c>
      <c r="B628" s="21" t="n">
        <v>31</v>
      </c>
      <c r="C628" s="21" t="n">
        <v>4.81</v>
      </c>
      <c r="D628" s="21" t="n">
        <v>1</v>
      </c>
      <c r="E628" s="21" t="s">
        <v>72</v>
      </c>
      <c r="F628" s="21" t="n">
        <v>0</v>
      </c>
      <c r="G628" s="21" t="n">
        <v>0</v>
      </c>
      <c r="H628" s="21" t="s">
        <v>665</v>
      </c>
      <c r="I628" s="21" t="s">
        <v>42</v>
      </c>
    </row>
    <row r="629" customFormat="false" ht="15" hidden="false" customHeight="true" outlineLevel="0" collapsed="false">
      <c r="A629" s="21" t="n">
        <v>0</v>
      </c>
      <c r="B629" s="21" t="n">
        <v>42</v>
      </c>
      <c r="C629" s="21" t="n">
        <v>1.84</v>
      </c>
      <c r="D629" s="21" t="n">
        <v>2</v>
      </c>
      <c r="E629" s="21" t="s">
        <v>72</v>
      </c>
      <c r="F629" s="21" t="n">
        <v>0</v>
      </c>
      <c r="G629" s="21" t="n">
        <v>0</v>
      </c>
      <c r="H629" s="21" t="s">
        <v>666</v>
      </c>
      <c r="I629" s="21" t="s">
        <v>42</v>
      </c>
    </row>
    <row r="630" customFormat="false" ht="15" hidden="false" customHeight="true" outlineLevel="0" collapsed="false">
      <c r="A630" s="21" t="n">
        <v>0</v>
      </c>
      <c r="B630" s="21" t="n">
        <v>20</v>
      </c>
      <c r="C630" s="21" t="n">
        <v>5.53</v>
      </c>
      <c r="D630" s="21" t="n">
        <v>3</v>
      </c>
      <c r="E630" s="21" t="s">
        <v>72</v>
      </c>
      <c r="F630" s="21" t="n">
        <v>0</v>
      </c>
      <c r="G630" s="21" t="n">
        <v>0</v>
      </c>
      <c r="H630" s="21" t="s">
        <v>667</v>
      </c>
      <c r="I630" s="21" t="s">
        <v>42</v>
      </c>
    </row>
    <row r="631" customFormat="false" ht="15" hidden="false" customHeight="true" outlineLevel="0" collapsed="false">
      <c r="A631" s="21" t="n">
        <v>0</v>
      </c>
      <c r="B631" s="21" t="n">
        <v>34</v>
      </c>
      <c r="C631" s="21" t="n">
        <v>5.86</v>
      </c>
      <c r="D631" s="21" t="n">
        <v>2</v>
      </c>
      <c r="E631" s="21" t="s">
        <v>72</v>
      </c>
      <c r="F631" s="21" t="n">
        <v>0</v>
      </c>
      <c r="G631" s="21" t="n">
        <v>0</v>
      </c>
      <c r="H631" s="21" t="s">
        <v>668</v>
      </c>
      <c r="I631" s="21" t="s">
        <v>42</v>
      </c>
    </row>
    <row r="632" customFormat="false" ht="15" hidden="false" customHeight="true" outlineLevel="0" collapsed="false">
      <c r="A632" s="21" t="n">
        <v>0</v>
      </c>
      <c r="B632" s="21" t="n">
        <v>39</v>
      </c>
      <c r="C632" s="21" t="n">
        <v>1.13</v>
      </c>
      <c r="D632" s="21" t="n">
        <v>3</v>
      </c>
      <c r="E632" s="21" t="s">
        <v>72</v>
      </c>
      <c r="F632" s="21" t="n">
        <v>0</v>
      </c>
      <c r="G632" s="21" t="n">
        <v>0</v>
      </c>
      <c r="H632" s="21" t="s">
        <v>669</v>
      </c>
      <c r="I632" s="21" t="s">
        <v>42</v>
      </c>
    </row>
    <row r="633" customFormat="false" ht="15" hidden="false" customHeight="true" outlineLevel="0" collapsed="false">
      <c r="A633" s="21" t="n">
        <v>0</v>
      </c>
      <c r="B633" s="21" t="n">
        <v>39</v>
      </c>
      <c r="C633" s="21" t="n">
        <v>1.38</v>
      </c>
      <c r="D633" s="21" t="n">
        <v>2</v>
      </c>
      <c r="E633" s="21" t="s">
        <v>72</v>
      </c>
      <c r="F633" s="21" t="n">
        <v>0</v>
      </c>
      <c r="G633" s="21" t="n">
        <v>0</v>
      </c>
      <c r="H633" s="21" t="s">
        <v>670</v>
      </c>
      <c r="I633" s="21" t="s">
        <v>42</v>
      </c>
    </row>
    <row r="634" customFormat="false" ht="15" hidden="false" customHeight="true" outlineLevel="0" collapsed="false">
      <c r="A634" s="21" t="n">
        <v>0</v>
      </c>
      <c r="B634" s="21" t="n">
        <v>27</v>
      </c>
      <c r="C634" s="21" t="n">
        <v>6.92</v>
      </c>
      <c r="D634" s="21" t="n">
        <v>2</v>
      </c>
      <c r="E634" s="21" t="s">
        <v>72</v>
      </c>
      <c r="F634" s="21" t="n">
        <v>1</v>
      </c>
      <c r="G634" s="21" t="n">
        <v>1</v>
      </c>
      <c r="H634" s="21" t="s">
        <v>671</v>
      </c>
      <c r="I634" s="21" t="s">
        <v>42</v>
      </c>
    </row>
    <row r="635" customFormat="false" ht="15" hidden="false" customHeight="true" outlineLevel="0" collapsed="false">
      <c r="A635" s="21" t="n">
        <v>0</v>
      </c>
      <c r="B635" s="21" t="n">
        <v>12</v>
      </c>
      <c r="C635" s="21" t="n">
        <v>4.94</v>
      </c>
      <c r="D635" s="21" t="n">
        <v>2</v>
      </c>
      <c r="E635" s="21" t="s">
        <v>72</v>
      </c>
      <c r="F635" s="21" t="n">
        <v>0</v>
      </c>
      <c r="G635" s="21" t="n">
        <v>0</v>
      </c>
      <c r="H635" s="21" t="s">
        <v>672</v>
      </c>
      <c r="I635" s="21" t="s">
        <v>42</v>
      </c>
    </row>
    <row r="636" customFormat="false" ht="15" hidden="false" customHeight="true" outlineLevel="0" collapsed="false">
      <c r="A636" s="21" t="n">
        <v>0</v>
      </c>
      <c r="B636" s="21" t="n">
        <v>40</v>
      </c>
      <c r="C636" s="21" t="n">
        <v>2.72</v>
      </c>
      <c r="D636" s="21" t="n">
        <v>2</v>
      </c>
      <c r="E636" s="21" t="s">
        <v>72</v>
      </c>
      <c r="F636" s="21" t="n">
        <v>0</v>
      </c>
      <c r="G636" s="21" t="n">
        <v>0</v>
      </c>
      <c r="H636" s="21" t="s">
        <v>673</v>
      </c>
      <c r="I636" s="21" t="s">
        <v>42</v>
      </c>
    </row>
    <row r="637" customFormat="false" ht="15" hidden="false" customHeight="true" outlineLevel="0" collapsed="false">
      <c r="A637" s="21" t="n">
        <v>0</v>
      </c>
      <c r="B637" s="21" t="n">
        <v>31</v>
      </c>
      <c r="C637" s="21" t="n">
        <v>0.29</v>
      </c>
      <c r="D637" s="21" t="n">
        <v>2</v>
      </c>
      <c r="E637" s="21" t="s">
        <v>72</v>
      </c>
      <c r="F637" s="21" t="n">
        <v>0</v>
      </c>
      <c r="G637" s="21" t="n">
        <v>0</v>
      </c>
      <c r="H637" s="21" t="s">
        <v>674</v>
      </c>
      <c r="I637" s="21" t="s">
        <v>42</v>
      </c>
    </row>
    <row r="638" customFormat="false" ht="15" hidden="false" customHeight="true" outlineLevel="0" collapsed="false">
      <c r="A638" s="21" t="n">
        <v>0</v>
      </c>
      <c r="B638" s="21" t="n">
        <v>36</v>
      </c>
      <c r="C638" s="21" t="n">
        <v>3.65</v>
      </c>
      <c r="D638" s="21" t="n">
        <v>1</v>
      </c>
      <c r="E638" s="21" t="s">
        <v>105</v>
      </c>
      <c r="F638" s="21" t="n">
        <v>0</v>
      </c>
      <c r="G638" s="21" t="n">
        <v>0</v>
      </c>
      <c r="H638" s="21" t="s">
        <v>675</v>
      </c>
      <c r="I638" s="21" t="s">
        <v>42</v>
      </c>
    </row>
    <row r="639" customFormat="false" ht="15" hidden="false" customHeight="true" outlineLevel="0" collapsed="false">
      <c r="A639" s="21" t="n">
        <v>0</v>
      </c>
      <c r="B639" s="21" t="n">
        <v>25</v>
      </c>
      <c r="C639" s="21" t="n">
        <v>3.55</v>
      </c>
      <c r="D639" s="21" t="n">
        <v>1</v>
      </c>
      <c r="E639" s="21" t="s">
        <v>105</v>
      </c>
      <c r="F639" s="21" t="n">
        <v>0</v>
      </c>
      <c r="G639" s="21" t="n">
        <v>0</v>
      </c>
      <c r="H639" s="21" t="s">
        <v>676</v>
      </c>
      <c r="I639" s="21" t="s">
        <v>42</v>
      </c>
    </row>
    <row r="640" customFormat="false" ht="15" hidden="false" customHeight="true" outlineLevel="0" collapsed="false">
      <c r="A640" s="21" t="n">
        <v>0</v>
      </c>
      <c r="B640" s="21" t="n">
        <v>27</v>
      </c>
      <c r="C640" s="21" t="n">
        <v>4.55</v>
      </c>
      <c r="D640" s="21" t="n">
        <v>3</v>
      </c>
      <c r="E640" s="21" t="s">
        <v>105</v>
      </c>
      <c r="F640" s="21" t="n">
        <v>0</v>
      </c>
      <c r="G640" s="21" t="n">
        <v>1</v>
      </c>
      <c r="H640" s="21" t="s">
        <v>677</v>
      </c>
      <c r="I640" s="21" t="s">
        <v>42</v>
      </c>
    </row>
    <row r="641" customFormat="false" ht="15" hidden="false" customHeight="true" outlineLevel="0" collapsed="false">
      <c r="A641" s="21" t="n">
        <v>0</v>
      </c>
      <c r="B641" s="21" t="n">
        <v>34</v>
      </c>
      <c r="C641" s="21" t="n">
        <v>4.21</v>
      </c>
      <c r="D641" s="21" t="n">
        <v>3</v>
      </c>
      <c r="E641" s="21" t="s">
        <v>105</v>
      </c>
      <c r="F641" s="21" t="n">
        <v>1</v>
      </c>
      <c r="G641" s="21" t="n">
        <v>0</v>
      </c>
      <c r="H641" s="21" t="s">
        <v>678</v>
      </c>
      <c r="I641" s="21" t="s">
        <v>42</v>
      </c>
    </row>
    <row r="642" customFormat="false" ht="15" hidden="false" customHeight="true" outlineLevel="0" collapsed="false">
      <c r="A642" s="21" t="n">
        <v>0</v>
      </c>
      <c r="B642" s="21" t="n">
        <v>34</v>
      </c>
      <c r="C642" s="21" t="n">
        <v>1.42</v>
      </c>
      <c r="D642" s="21" t="n">
        <v>3</v>
      </c>
      <c r="E642" s="21" t="s">
        <v>105</v>
      </c>
      <c r="F642" s="21" t="n">
        <v>0</v>
      </c>
      <c r="G642" s="21" t="n">
        <v>0</v>
      </c>
      <c r="H642" s="21" t="s">
        <v>679</v>
      </c>
      <c r="I642" s="21" t="s">
        <v>42</v>
      </c>
    </row>
    <row r="643" customFormat="false" ht="15" hidden="false" customHeight="true" outlineLevel="0" collapsed="false">
      <c r="A643" s="21" t="n">
        <v>0</v>
      </c>
      <c r="B643" s="21" t="n">
        <v>36</v>
      </c>
      <c r="C643" s="21" t="n">
        <v>3.98</v>
      </c>
      <c r="D643" s="21" t="n">
        <v>2</v>
      </c>
      <c r="E643" s="21" t="s">
        <v>105</v>
      </c>
      <c r="F643" s="21" t="n">
        <v>0</v>
      </c>
      <c r="G643" s="21" t="n">
        <v>0</v>
      </c>
      <c r="H643" s="21" t="s">
        <v>680</v>
      </c>
      <c r="I643" s="21" t="s">
        <v>42</v>
      </c>
    </row>
    <row r="644" customFormat="false" ht="15" hidden="false" customHeight="true" outlineLevel="0" collapsed="false">
      <c r="A644" s="21" t="n">
        <v>0</v>
      </c>
      <c r="B644" s="21" t="n">
        <v>36</v>
      </c>
      <c r="C644" s="21" t="n">
        <v>6.42</v>
      </c>
      <c r="D644" s="21" t="n">
        <v>3</v>
      </c>
      <c r="E644" s="21" t="s">
        <v>105</v>
      </c>
      <c r="F644" s="21" t="n">
        <v>1</v>
      </c>
      <c r="G644" s="21" t="n">
        <v>1</v>
      </c>
      <c r="H644" s="21" t="s">
        <v>681</v>
      </c>
      <c r="I644" s="21" t="s">
        <v>42</v>
      </c>
    </row>
    <row r="645" customFormat="false" ht="15" hidden="false" customHeight="true" outlineLevel="0" collapsed="false">
      <c r="A645" s="21" t="n">
        <v>0</v>
      </c>
      <c r="B645" s="21" t="n">
        <v>49</v>
      </c>
      <c r="C645" s="21" t="n">
        <v>5.28</v>
      </c>
      <c r="D645" s="21" t="n">
        <v>2</v>
      </c>
      <c r="E645" s="21" t="s">
        <v>105</v>
      </c>
      <c r="F645" s="21" t="n">
        <v>1</v>
      </c>
      <c r="G645" s="21" t="n">
        <v>0</v>
      </c>
      <c r="H645" s="21" t="s">
        <v>682</v>
      </c>
      <c r="I645" s="21" t="s">
        <v>42</v>
      </c>
    </row>
    <row r="646" customFormat="false" ht="15" hidden="false" customHeight="true" outlineLevel="0" collapsed="false">
      <c r="A646" s="21" t="n">
        <v>0</v>
      </c>
      <c r="B646" s="21" t="n">
        <v>31</v>
      </c>
      <c r="C646" s="21" t="n">
        <v>1</v>
      </c>
      <c r="D646" s="21" t="n">
        <v>2</v>
      </c>
      <c r="E646" s="21" t="s">
        <v>105</v>
      </c>
      <c r="F646" s="21" t="n">
        <v>0</v>
      </c>
      <c r="G646" s="21" t="n">
        <v>1</v>
      </c>
      <c r="H646" s="21" t="s">
        <v>683</v>
      </c>
      <c r="I646" s="21" t="s">
        <v>42</v>
      </c>
    </row>
    <row r="647" customFormat="false" ht="15" hidden="false" customHeight="true" outlineLevel="0" collapsed="false">
      <c r="A647" s="21" t="n">
        <v>0</v>
      </c>
      <c r="B647" s="21" t="n">
        <v>37</v>
      </c>
      <c r="C647" s="21" t="n">
        <v>6.35</v>
      </c>
      <c r="D647" s="21" t="n">
        <v>1</v>
      </c>
      <c r="E647" s="21" t="s">
        <v>116</v>
      </c>
      <c r="F647" s="21" t="n">
        <v>0</v>
      </c>
      <c r="G647" s="21" t="n">
        <v>1</v>
      </c>
      <c r="H647" s="21" t="s">
        <v>684</v>
      </c>
      <c r="I647" s="21" t="s">
        <v>42</v>
      </c>
    </row>
    <row r="648" customFormat="false" ht="15" hidden="false" customHeight="true" outlineLevel="0" collapsed="false">
      <c r="A648" s="21" t="n">
        <v>0</v>
      </c>
      <c r="B648" s="21" t="n">
        <v>36</v>
      </c>
      <c r="C648" s="21" t="n">
        <v>3.82</v>
      </c>
      <c r="D648" s="21" t="n">
        <v>3</v>
      </c>
      <c r="E648" s="21" t="s">
        <v>116</v>
      </c>
      <c r="F648" s="21" t="n">
        <v>0</v>
      </c>
      <c r="G648" s="21" t="n">
        <v>1</v>
      </c>
      <c r="H648" s="21" t="s">
        <v>685</v>
      </c>
      <c r="I648" s="21" t="s">
        <v>42</v>
      </c>
    </row>
    <row r="649" customFormat="false" ht="15" hidden="false" customHeight="true" outlineLevel="0" collapsed="false">
      <c r="A649" s="21" t="n">
        <v>0</v>
      </c>
      <c r="B649" s="21" t="n">
        <v>28</v>
      </c>
      <c r="C649" s="21" t="n">
        <v>3.64</v>
      </c>
      <c r="D649" s="21" t="n">
        <v>2</v>
      </c>
      <c r="E649" s="21" t="s">
        <v>116</v>
      </c>
      <c r="F649" s="21" t="n">
        <v>0</v>
      </c>
      <c r="G649" s="21" t="n">
        <v>0</v>
      </c>
      <c r="H649" s="21" t="s">
        <v>686</v>
      </c>
      <c r="I649" s="21" t="s">
        <v>42</v>
      </c>
    </row>
    <row r="650" customFormat="false" ht="15" hidden="false" customHeight="true" outlineLevel="0" collapsed="false">
      <c r="A650" s="21" t="n">
        <v>0</v>
      </c>
      <c r="B650" s="21" t="n">
        <v>29</v>
      </c>
      <c r="C650" s="21" t="n">
        <v>5.33</v>
      </c>
      <c r="D650" s="21" t="n">
        <v>1</v>
      </c>
      <c r="E650" s="21" t="s">
        <v>116</v>
      </c>
      <c r="F650" s="21" t="n">
        <v>1</v>
      </c>
      <c r="G650" s="21" t="n">
        <v>1</v>
      </c>
      <c r="H650" s="21" t="s">
        <v>687</v>
      </c>
      <c r="I650" s="21" t="s">
        <v>42</v>
      </c>
    </row>
    <row r="651" customFormat="false" ht="15" hidden="false" customHeight="true" outlineLevel="0" collapsed="false">
      <c r="A651" s="21" t="n">
        <v>0</v>
      </c>
      <c r="B651" s="21" t="n">
        <v>21</v>
      </c>
      <c r="C651" s="21" t="n">
        <v>3.05</v>
      </c>
      <c r="D651" s="21" t="n">
        <v>1</v>
      </c>
      <c r="E651" s="21" t="s">
        <v>116</v>
      </c>
      <c r="F651" s="21" t="n">
        <v>1</v>
      </c>
      <c r="G651" s="21" t="n">
        <v>0</v>
      </c>
      <c r="H651" s="21" t="s">
        <v>688</v>
      </c>
      <c r="I651" s="21" t="s">
        <v>42</v>
      </c>
    </row>
    <row r="652" customFormat="false" ht="15" hidden="false" customHeight="true" outlineLevel="0" collapsed="false">
      <c r="A652" s="21" t="n">
        <v>0</v>
      </c>
      <c r="B652" s="21" t="n">
        <v>30</v>
      </c>
      <c r="C652" s="21" t="n">
        <v>6.45</v>
      </c>
      <c r="D652" s="21" t="n">
        <v>4</v>
      </c>
      <c r="E652" s="21" t="s">
        <v>116</v>
      </c>
      <c r="F652" s="21" t="n">
        <v>1</v>
      </c>
      <c r="G652" s="21" t="n">
        <v>0</v>
      </c>
      <c r="H652" s="21" t="s">
        <v>689</v>
      </c>
      <c r="I652" s="21" t="s">
        <v>42</v>
      </c>
    </row>
    <row r="653" customFormat="false" ht="15" hidden="false" customHeight="true" outlineLevel="0" collapsed="false">
      <c r="A653" s="21" t="n">
        <v>0</v>
      </c>
      <c r="B653" s="21" t="n">
        <v>30</v>
      </c>
      <c r="C653" s="21" t="n">
        <v>5.15</v>
      </c>
      <c r="D653" s="21" t="n">
        <v>3</v>
      </c>
      <c r="E653" s="21" t="s">
        <v>116</v>
      </c>
      <c r="F653" s="21" t="n">
        <v>0</v>
      </c>
      <c r="G653" s="21" t="n">
        <v>0</v>
      </c>
      <c r="H653" s="21" t="s">
        <v>690</v>
      </c>
      <c r="I653" s="21" t="s">
        <v>42</v>
      </c>
    </row>
    <row r="654" customFormat="false" ht="15" hidden="false" customHeight="true" outlineLevel="0" collapsed="false">
      <c r="A654" s="21" t="n">
        <v>0</v>
      </c>
      <c r="B654" s="21" t="n">
        <v>28</v>
      </c>
      <c r="C654" s="21" t="n">
        <v>4.51</v>
      </c>
      <c r="D654" s="21" t="n">
        <v>1</v>
      </c>
      <c r="E654" s="21" t="s">
        <v>116</v>
      </c>
      <c r="F654" s="21" t="n">
        <v>1</v>
      </c>
      <c r="G654" s="21" t="n">
        <v>0</v>
      </c>
      <c r="H654" s="21" t="s">
        <v>691</v>
      </c>
      <c r="I654" s="21" t="s">
        <v>42</v>
      </c>
    </row>
    <row r="655" customFormat="false" ht="15" hidden="false" customHeight="true" outlineLevel="0" collapsed="false">
      <c r="A655" s="21" t="n">
        <v>0</v>
      </c>
      <c r="B655" s="21" t="n">
        <v>50</v>
      </c>
      <c r="C655" s="21" t="n">
        <v>3.27</v>
      </c>
      <c r="D655" s="21" t="n">
        <v>2</v>
      </c>
      <c r="E655" s="21" t="s">
        <v>116</v>
      </c>
      <c r="F655" s="21" t="n">
        <v>0</v>
      </c>
      <c r="G655" s="21" t="n">
        <v>1</v>
      </c>
      <c r="H655" s="21" t="s">
        <v>692</v>
      </c>
      <c r="I655" s="21" t="s">
        <v>42</v>
      </c>
    </row>
    <row r="656" customFormat="false" ht="15" hidden="false" customHeight="true" outlineLevel="0" collapsed="false">
      <c r="A656" s="21" t="n">
        <v>0</v>
      </c>
      <c r="B656" s="21" t="n">
        <v>36</v>
      </c>
      <c r="C656" s="21" t="n">
        <v>1.65</v>
      </c>
      <c r="D656" s="21" t="n">
        <v>2</v>
      </c>
      <c r="E656" s="21" t="s">
        <v>116</v>
      </c>
      <c r="F656" s="21" t="n">
        <v>0</v>
      </c>
      <c r="G656" s="21" t="n">
        <v>0</v>
      </c>
      <c r="H656" s="21" t="s">
        <v>693</v>
      </c>
      <c r="I656" s="21" t="s">
        <v>42</v>
      </c>
    </row>
    <row r="657" customFormat="false" ht="15" hidden="false" customHeight="true" outlineLevel="0" collapsed="false">
      <c r="A657" s="21" t="n">
        <v>0</v>
      </c>
      <c r="B657" s="21" t="n">
        <v>24</v>
      </c>
      <c r="C657" s="21" t="n">
        <v>5.57</v>
      </c>
      <c r="D657" s="21" t="n">
        <v>3</v>
      </c>
      <c r="E657" s="21" t="s">
        <v>116</v>
      </c>
      <c r="F657" s="21" t="n">
        <v>1</v>
      </c>
      <c r="G657" s="21" t="n">
        <v>1</v>
      </c>
      <c r="H657" s="21" t="s">
        <v>694</v>
      </c>
      <c r="I657" s="21" t="s">
        <v>42</v>
      </c>
    </row>
    <row r="658" customFormat="false" ht="15" hidden="false" customHeight="true" outlineLevel="0" collapsed="false">
      <c r="A658" s="21" t="n">
        <v>0</v>
      </c>
      <c r="B658" s="21" t="n">
        <v>40</v>
      </c>
      <c r="C658" s="21" t="n">
        <v>5.67</v>
      </c>
      <c r="D658" s="21" t="n">
        <v>2</v>
      </c>
      <c r="E658" s="21" t="s">
        <v>116</v>
      </c>
      <c r="F658" s="21" t="n">
        <v>0</v>
      </c>
      <c r="G658" s="21" t="n">
        <v>1</v>
      </c>
      <c r="H658" s="21" t="s">
        <v>695</v>
      </c>
      <c r="I658" s="21" t="s">
        <v>42</v>
      </c>
    </row>
    <row r="659" customFormat="false" ht="15" hidden="false" customHeight="true" outlineLevel="0" collapsed="false">
      <c r="A659" s="21" t="n">
        <v>0</v>
      </c>
      <c r="B659" s="21" t="n">
        <v>35</v>
      </c>
      <c r="C659" s="21" t="n">
        <v>0.48</v>
      </c>
      <c r="D659" s="21" t="n">
        <v>1</v>
      </c>
      <c r="E659" s="21" t="s">
        <v>116</v>
      </c>
      <c r="F659" s="21" t="n">
        <v>0</v>
      </c>
      <c r="G659" s="21" t="n">
        <v>0</v>
      </c>
      <c r="H659" s="21" t="s">
        <v>696</v>
      </c>
      <c r="I659" s="21" t="s">
        <v>42</v>
      </c>
    </row>
    <row r="660" customFormat="false" ht="15" hidden="false" customHeight="true" outlineLevel="0" collapsed="false">
      <c r="A660" s="21" t="n">
        <v>0</v>
      </c>
      <c r="B660" s="21" t="n">
        <v>13</v>
      </c>
      <c r="C660" s="21" t="n">
        <v>3.95</v>
      </c>
      <c r="D660" s="21" t="n">
        <v>1</v>
      </c>
      <c r="E660" s="21" t="s">
        <v>116</v>
      </c>
      <c r="F660" s="21" t="n">
        <v>1</v>
      </c>
      <c r="G660" s="21" t="n">
        <v>0</v>
      </c>
      <c r="H660" s="21" t="s">
        <v>697</v>
      </c>
      <c r="I660" s="21" t="s">
        <v>42</v>
      </c>
    </row>
    <row r="661" customFormat="false" ht="15" hidden="false" customHeight="true" outlineLevel="0" collapsed="false">
      <c r="A661" s="21" t="n">
        <v>1</v>
      </c>
      <c r="B661" s="21" t="n">
        <v>42</v>
      </c>
      <c r="C661" s="21" t="n">
        <v>2.96</v>
      </c>
      <c r="D661" s="21" t="n">
        <v>1</v>
      </c>
      <c r="E661" s="21" t="s">
        <v>116</v>
      </c>
      <c r="F661" s="21" t="n">
        <v>0</v>
      </c>
      <c r="G661" s="21" t="n">
        <v>0</v>
      </c>
      <c r="H661" s="21" t="s">
        <v>698</v>
      </c>
      <c r="I661" s="21" t="s">
        <v>42</v>
      </c>
    </row>
    <row r="662" customFormat="false" ht="15" hidden="false" customHeight="true" outlineLevel="0" collapsed="false">
      <c r="A662" s="21" t="n">
        <v>0</v>
      </c>
      <c r="B662" s="21" t="n">
        <v>30</v>
      </c>
      <c r="C662" s="21" t="n">
        <v>4.23</v>
      </c>
      <c r="D662" s="21" t="n">
        <v>3</v>
      </c>
      <c r="E662" s="21" t="s">
        <v>116</v>
      </c>
      <c r="F662" s="21" t="n">
        <v>1</v>
      </c>
      <c r="G662" s="21" t="n">
        <v>0</v>
      </c>
      <c r="H662" s="21" t="s">
        <v>699</v>
      </c>
      <c r="I662" s="21" t="s">
        <v>42</v>
      </c>
    </row>
    <row r="663" customFormat="false" ht="15" hidden="false" customHeight="true" outlineLevel="0" collapsed="false">
      <c r="A663" s="21" t="n">
        <v>0</v>
      </c>
      <c r="B663" s="21" t="n">
        <v>23</v>
      </c>
      <c r="C663" s="21" t="n">
        <v>3.38</v>
      </c>
      <c r="D663" s="21" t="n">
        <v>1</v>
      </c>
      <c r="E663" s="21" t="s">
        <v>116</v>
      </c>
      <c r="F663" s="21" t="n">
        <v>0</v>
      </c>
      <c r="G663" s="21" t="n">
        <v>0</v>
      </c>
      <c r="H663" s="21" t="s">
        <v>700</v>
      </c>
      <c r="I663" s="21" t="s">
        <v>42</v>
      </c>
    </row>
    <row r="664" customFormat="false" ht="15" hidden="false" customHeight="true" outlineLevel="0" collapsed="false">
      <c r="A664" s="21" t="n">
        <v>0</v>
      </c>
      <c r="B664" s="21" t="n">
        <v>39</v>
      </c>
      <c r="C664" s="21" t="n">
        <v>3.69</v>
      </c>
      <c r="D664" s="21" t="n">
        <v>2</v>
      </c>
      <c r="E664" s="21" t="s">
        <v>116</v>
      </c>
      <c r="F664" s="21" t="n">
        <v>0</v>
      </c>
      <c r="G664" s="21" t="n">
        <v>1</v>
      </c>
      <c r="H664" s="21" t="s">
        <v>701</v>
      </c>
      <c r="I664" s="21" t="s">
        <v>42</v>
      </c>
    </row>
    <row r="665" customFormat="false" ht="15" hidden="false" customHeight="true" outlineLevel="0" collapsed="false">
      <c r="A665" s="21" t="n">
        <v>0</v>
      </c>
      <c r="B665" s="21" t="n">
        <v>32</v>
      </c>
      <c r="C665" s="21" t="n">
        <v>4.64</v>
      </c>
      <c r="D665" s="21" t="n">
        <v>3</v>
      </c>
      <c r="E665" s="21" t="s">
        <v>116</v>
      </c>
      <c r="F665" s="21" t="n">
        <v>0</v>
      </c>
      <c r="G665" s="21" t="n">
        <v>1</v>
      </c>
      <c r="H665" s="21" t="s">
        <v>702</v>
      </c>
      <c r="I665" s="21" t="s">
        <v>42</v>
      </c>
    </row>
    <row r="666" customFormat="false" ht="15" hidden="false" customHeight="true" outlineLevel="0" collapsed="false">
      <c r="A666" s="21" t="n">
        <v>0</v>
      </c>
      <c r="B666" s="21" t="n">
        <v>23</v>
      </c>
      <c r="C666" s="21" t="n">
        <v>0.56</v>
      </c>
      <c r="D666" s="21" t="n">
        <v>1</v>
      </c>
      <c r="E666" s="21" t="s">
        <v>116</v>
      </c>
      <c r="F666" s="21" t="n">
        <v>1</v>
      </c>
      <c r="G666" s="21" t="n">
        <v>0</v>
      </c>
      <c r="H666" s="21" t="s">
        <v>703</v>
      </c>
      <c r="I666" s="21" t="s">
        <v>42</v>
      </c>
    </row>
    <row r="667" customFormat="false" ht="15" hidden="false" customHeight="true" outlineLevel="0" collapsed="false">
      <c r="A667" s="21" t="n">
        <v>0</v>
      </c>
      <c r="B667" s="21" t="n">
        <v>22</v>
      </c>
      <c r="C667" s="21" t="n">
        <v>1</v>
      </c>
      <c r="D667" s="21" t="n">
        <v>2</v>
      </c>
      <c r="E667" s="21" t="s">
        <v>116</v>
      </c>
      <c r="F667" s="21" t="n">
        <v>1</v>
      </c>
      <c r="G667" s="21" t="n">
        <v>0</v>
      </c>
      <c r="H667" s="21" t="s">
        <v>704</v>
      </c>
      <c r="I667" s="21" t="s">
        <v>42</v>
      </c>
    </row>
    <row r="668" customFormat="false" ht="15" hidden="false" customHeight="true" outlineLevel="0" collapsed="false">
      <c r="A668" s="21" t="n">
        <v>0</v>
      </c>
      <c r="B668" s="21" t="n">
        <v>23</v>
      </c>
      <c r="C668" s="21" t="n">
        <v>7.5</v>
      </c>
      <c r="D668" s="21" t="n">
        <v>4</v>
      </c>
      <c r="E668" s="21" t="s">
        <v>116</v>
      </c>
      <c r="F668" s="21" t="n">
        <v>1</v>
      </c>
      <c r="G668" s="21" t="n">
        <v>0</v>
      </c>
      <c r="H668" s="21" t="s">
        <v>705</v>
      </c>
      <c r="I668" s="21" t="s">
        <v>42</v>
      </c>
    </row>
    <row r="669" customFormat="false" ht="15" hidden="false" customHeight="true" outlineLevel="0" collapsed="false">
      <c r="A669" s="21" t="n">
        <v>0</v>
      </c>
      <c r="B669" s="21" t="n">
        <v>27</v>
      </c>
      <c r="C669" s="21" t="n">
        <v>5.28</v>
      </c>
      <c r="D669" s="21" t="n">
        <v>1</v>
      </c>
      <c r="E669" s="21" t="s">
        <v>116</v>
      </c>
      <c r="F669" s="21" t="n">
        <v>0</v>
      </c>
      <c r="G669" s="21" t="n">
        <v>0</v>
      </c>
      <c r="H669" s="21" t="s">
        <v>706</v>
      </c>
      <c r="I669" s="21" t="s">
        <v>42</v>
      </c>
    </row>
    <row r="670" customFormat="false" ht="15" hidden="false" customHeight="true" outlineLevel="0" collapsed="false">
      <c r="A670" s="21" t="n">
        <v>0</v>
      </c>
      <c r="B670" s="21" t="n">
        <v>29</v>
      </c>
      <c r="C670" s="21" t="n">
        <v>5.25</v>
      </c>
      <c r="D670" s="21" t="n">
        <v>3</v>
      </c>
      <c r="E670" s="21" t="s">
        <v>116</v>
      </c>
      <c r="F670" s="21" t="n">
        <v>0</v>
      </c>
      <c r="G670" s="21" t="n">
        <v>0</v>
      </c>
      <c r="H670" s="21" t="s">
        <v>707</v>
      </c>
      <c r="I670" s="21" t="s">
        <v>42</v>
      </c>
    </row>
    <row r="671" customFormat="false" ht="15" hidden="false" customHeight="true" outlineLevel="0" collapsed="false">
      <c r="A671" s="21" t="n">
        <v>0</v>
      </c>
      <c r="B671" s="21" t="n">
        <v>36</v>
      </c>
      <c r="C671" s="21" t="n">
        <v>2.76</v>
      </c>
      <c r="D671" s="21" t="n">
        <v>2</v>
      </c>
      <c r="E671" s="21" t="s">
        <v>116</v>
      </c>
      <c r="F671" s="21" t="n">
        <v>0</v>
      </c>
      <c r="G671" s="21" t="n">
        <v>0</v>
      </c>
      <c r="H671" s="21" t="s">
        <v>708</v>
      </c>
      <c r="I671" s="21" t="s">
        <v>42</v>
      </c>
    </row>
    <row r="672" customFormat="false" ht="15" hidden="false" customHeight="true" outlineLevel="0" collapsed="false">
      <c r="A672" s="21" t="n">
        <v>0</v>
      </c>
      <c r="B672" s="21" t="n">
        <v>17</v>
      </c>
      <c r="C672" s="21" t="n">
        <v>1.71</v>
      </c>
      <c r="D672" s="21" t="n">
        <v>3</v>
      </c>
      <c r="E672" s="21" t="s">
        <v>116</v>
      </c>
      <c r="F672" s="21" t="n">
        <v>0</v>
      </c>
      <c r="G672" s="21" t="n">
        <v>0</v>
      </c>
      <c r="H672" s="21" t="s">
        <v>709</v>
      </c>
      <c r="I672" s="21" t="s">
        <v>42</v>
      </c>
    </row>
    <row r="673" customFormat="false" ht="15" hidden="false" customHeight="true" outlineLevel="0" collapsed="false">
      <c r="A673" s="21" t="n">
        <v>1</v>
      </c>
      <c r="B673" s="21" t="n">
        <v>38</v>
      </c>
      <c r="C673" s="21" t="n">
        <v>3.87</v>
      </c>
      <c r="D673" s="21" t="n">
        <v>1</v>
      </c>
      <c r="E673" s="21" t="s">
        <v>116</v>
      </c>
      <c r="F673" s="21" t="n">
        <v>1</v>
      </c>
      <c r="G673" s="21" t="n">
        <v>0</v>
      </c>
      <c r="H673" s="21" t="s">
        <v>710</v>
      </c>
      <c r="I673" s="21" t="s">
        <v>42</v>
      </c>
    </row>
    <row r="674" customFormat="false" ht="15" hidden="false" customHeight="true" outlineLevel="0" collapsed="false">
      <c r="A674" s="21" t="n">
        <v>0</v>
      </c>
      <c r="B674" s="21" t="n">
        <v>31</v>
      </c>
      <c r="C674" s="21" t="n">
        <v>1.68</v>
      </c>
      <c r="D674" s="21" t="n">
        <v>1</v>
      </c>
      <c r="E674" s="21" t="s">
        <v>116</v>
      </c>
      <c r="F674" s="21" t="n">
        <v>0</v>
      </c>
      <c r="G674" s="21" t="n">
        <v>1</v>
      </c>
      <c r="H674" s="21" t="s">
        <v>711</v>
      </c>
      <c r="I674" s="21" t="s">
        <v>42</v>
      </c>
    </row>
    <row r="675" customFormat="false" ht="15" hidden="false" customHeight="true" outlineLevel="0" collapsed="false">
      <c r="A675" s="21" t="n">
        <v>0</v>
      </c>
      <c r="B675" s="21" t="n">
        <v>27</v>
      </c>
      <c r="C675" s="21" t="n">
        <v>5.6</v>
      </c>
      <c r="D675" s="21" t="n">
        <v>2</v>
      </c>
      <c r="E675" s="21" t="s">
        <v>116</v>
      </c>
      <c r="F675" s="21" t="n">
        <v>0</v>
      </c>
      <c r="G675" s="21" t="n">
        <v>0</v>
      </c>
      <c r="H675" s="21" t="s">
        <v>712</v>
      </c>
      <c r="I675" s="21" t="s">
        <v>42</v>
      </c>
    </row>
    <row r="676" customFormat="false" ht="15" hidden="false" customHeight="true" outlineLevel="0" collapsed="false">
      <c r="A676" s="21" t="n">
        <v>0</v>
      </c>
      <c r="B676" s="21" t="n">
        <v>34</v>
      </c>
      <c r="C676" s="21" t="n">
        <v>4.89</v>
      </c>
      <c r="D676" s="21" t="n">
        <v>1</v>
      </c>
      <c r="E676" s="21" t="s">
        <v>116</v>
      </c>
      <c r="F676" s="21" t="n">
        <v>0</v>
      </c>
      <c r="G676" s="21" t="n">
        <v>0</v>
      </c>
      <c r="H676" s="21" t="s">
        <v>713</v>
      </c>
      <c r="I676" s="21" t="s">
        <v>42</v>
      </c>
    </row>
    <row r="677" customFormat="false" ht="15" hidden="false" customHeight="true" outlineLevel="0" collapsed="false">
      <c r="A677" s="21" t="n">
        <v>0</v>
      </c>
      <c r="B677" s="21" t="n">
        <v>41</v>
      </c>
      <c r="C677" s="21" t="n">
        <v>5.63</v>
      </c>
      <c r="D677" s="21" t="n">
        <v>3</v>
      </c>
      <c r="E677" s="21" t="s">
        <v>116</v>
      </c>
      <c r="F677" s="21" t="n">
        <v>0</v>
      </c>
      <c r="G677" s="21" t="n">
        <v>0</v>
      </c>
      <c r="H677" s="21" t="s">
        <v>714</v>
      </c>
      <c r="I677" s="21" t="s">
        <v>42</v>
      </c>
    </row>
    <row r="678" customFormat="false" ht="15" hidden="false" customHeight="true" outlineLevel="0" collapsed="false">
      <c r="A678" s="21" t="n">
        <v>0</v>
      </c>
      <c r="B678" s="21" t="n">
        <v>28</v>
      </c>
      <c r="C678" s="21" t="n">
        <v>1.43</v>
      </c>
      <c r="D678" s="21" t="n">
        <v>1</v>
      </c>
      <c r="E678" s="21" t="s">
        <v>116</v>
      </c>
      <c r="F678" s="21" t="n">
        <v>0</v>
      </c>
      <c r="G678" s="21" t="n">
        <v>0</v>
      </c>
      <c r="H678" s="21" t="s">
        <v>715</v>
      </c>
      <c r="I678" s="21" t="s">
        <v>42</v>
      </c>
    </row>
    <row r="679" customFormat="false" ht="15" hidden="false" customHeight="true" outlineLevel="0" collapsed="false">
      <c r="A679" s="21" t="n">
        <v>0</v>
      </c>
      <c r="B679" s="21" t="n">
        <v>32</v>
      </c>
      <c r="C679" s="21" t="n">
        <v>3.39</v>
      </c>
      <c r="D679" s="21" t="n">
        <v>2</v>
      </c>
      <c r="E679" s="21" t="s">
        <v>116</v>
      </c>
      <c r="F679" s="21" t="n">
        <v>1</v>
      </c>
      <c r="G679" s="21" t="n">
        <v>1</v>
      </c>
      <c r="H679" s="21" t="s">
        <v>716</v>
      </c>
      <c r="I679" s="21" t="s">
        <v>42</v>
      </c>
    </row>
    <row r="680" customFormat="false" ht="15" hidden="false" customHeight="true" outlineLevel="0" collapsed="false">
      <c r="A680" s="21" t="n">
        <v>0</v>
      </c>
      <c r="B680" s="21" t="n">
        <v>34</v>
      </c>
      <c r="C680" s="21" t="n">
        <v>4.26</v>
      </c>
      <c r="D680" s="21" t="n">
        <v>2</v>
      </c>
      <c r="E680" s="21" t="s">
        <v>116</v>
      </c>
      <c r="F680" s="21" t="n">
        <v>0</v>
      </c>
      <c r="G680" s="21" t="n">
        <v>1</v>
      </c>
      <c r="H680" s="21" t="s">
        <v>717</v>
      </c>
      <c r="I680" s="21" t="s">
        <v>42</v>
      </c>
    </row>
    <row r="681" customFormat="false" ht="15" hidden="false" customHeight="true" outlineLevel="0" collapsed="false">
      <c r="A681" s="21" t="n">
        <v>0</v>
      </c>
      <c r="B681" s="21" t="n">
        <v>39</v>
      </c>
      <c r="C681" s="21" t="n">
        <v>6.41</v>
      </c>
      <c r="D681" s="21" t="n">
        <v>1</v>
      </c>
      <c r="E681" s="21" t="s">
        <v>116</v>
      </c>
      <c r="F681" s="21" t="n">
        <v>0</v>
      </c>
      <c r="G681" s="21" t="n">
        <v>0</v>
      </c>
      <c r="H681" s="21" t="s">
        <v>276</v>
      </c>
      <c r="I681" s="21" t="s">
        <v>42</v>
      </c>
    </row>
    <row r="682" customFormat="false" ht="15" hidden="false" customHeight="true" outlineLevel="0" collapsed="false">
      <c r="A682" s="21" t="n">
        <v>0</v>
      </c>
      <c r="B682" s="21" t="n">
        <v>27</v>
      </c>
      <c r="C682" s="21" t="n">
        <v>4.23</v>
      </c>
      <c r="D682" s="21" t="n">
        <v>3</v>
      </c>
      <c r="E682" s="21" t="s">
        <v>116</v>
      </c>
      <c r="F682" s="21" t="n">
        <v>1</v>
      </c>
      <c r="G682" s="21" t="n">
        <v>0</v>
      </c>
      <c r="H682" s="21" t="s">
        <v>718</v>
      </c>
      <c r="I682" s="21" t="s">
        <v>42</v>
      </c>
    </row>
    <row r="683" customFormat="false" ht="15" hidden="false" customHeight="true" outlineLevel="0" collapsed="false">
      <c r="A683" s="21" t="n">
        <v>0</v>
      </c>
      <c r="B683" s="21" t="n">
        <v>29</v>
      </c>
      <c r="C683" s="21" t="n">
        <v>1.04</v>
      </c>
      <c r="D683" s="21" t="n">
        <v>3</v>
      </c>
      <c r="E683" s="21" t="s">
        <v>116</v>
      </c>
      <c r="F683" s="21" t="n">
        <v>0</v>
      </c>
      <c r="G683" s="21" t="n">
        <v>0</v>
      </c>
      <c r="H683" s="21" t="s">
        <v>719</v>
      </c>
      <c r="I683" s="21" t="s">
        <v>42</v>
      </c>
    </row>
    <row r="684" customFormat="false" ht="15" hidden="false" customHeight="true" outlineLevel="0" collapsed="false">
      <c r="A684" s="21" t="n">
        <v>0</v>
      </c>
      <c r="B684" s="21" t="n">
        <v>21</v>
      </c>
      <c r="C684" s="21" t="n">
        <v>3.72</v>
      </c>
      <c r="D684" s="21" t="n">
        <v>2</v>
      </c>
      <c r="E684" s="21" t="s">
        <v>116</v>
      </c>
      <c r="F684" s="21" t="n">
        <v>1</v>
      </c>
      <c r="G684" s="21" t="n">
        <v>0</v>
      </c>
      <c r="H684" s="21" t="s">
        <v>720</v>
      </c>
      <c r="I684" s="21" t="s">
        <v>42</v>
      </c>
    </row>
    <row r="685" customFormat="false" ht="15" hidden="false" customHeight="true" outlineLevel="0" collapsed="false">
      <c r="A685" s="21" t="n">
        <v>1</v>
      </c>
      <c r="B685" s="21" t="n">
        <v>29</v>
      </c>
      <c r="C685" s="21" t="n">
        <v>5.86</v>
      </c>
      <c r="D685" s="21" t="n">
        <v>2</v>
      </c>
      <c r="E685" s="21" t="s">
        <v>116</v>
      </c>
      <c r="F685" s="21" t="n">
        <v>1</v>
      </c>
      <c r="G685" s="21" t="n">
        <v>0</v>
      </c>
      <c r="H685" s="21" t="s">
        <v>721</v>
      </c>
      <c r="I685" s="21" t="s">
        <v>42</v>
      </c>
    </row>
    <row r="686" customFormat="false" ht="15" hidden="false" customHeight="true" outlineLevel="0" collapsed="false">
      <c r="A686" s="21" t="n">
        <v>0</v>
      </c>
      <c r="B686" s="21" t="n">
        <v>30</v>
      </c>
      <c r="C686" s="21" t="n">
        <v>3.25</v>
      </c>
      <c r="D686" s="21" t="n">
        <v>2</v>
      </c>
      <c r="E686" s="21" t="s">
        <v>116</v>
      </c>
      <c r="F686" s="21" t="n">
        <v>1</v>
      </c>
      <c r="G686" s="21" t="n">
        <v>0</v>
      </c>
      <c r="H686" s="21" t="s">
        <v>722</v>
      </c>
      <c r="I686" s="21" t="s">
        <v>42</v>
      </c>
    </row>
    <row r="687" customFormat="false" ht="15" hidden="false" customHeight="true" outlineLevel="0" collapsed="false">
      <c r="A687" s="21" t="n">
        <v>0</v>
      </c>
      <c r="B687" s="21" t="n">
        <v>38</v>
      </c>
      <c r="C687" s="21" t="n">
        <v>1</v>
      </c>
      <c r="D687" s="21" t="n">
        <v>1</v>
      </c>
      <c r="E687" s="21" t="s">
        <v>116</v>
      </c>
      <c r="F687" s="21" t="n">
        <v>0</v>
      </c>
      <c r="G687" s="21" t="n">
        <v>1</v>
      </c>
      <c r="H687" s="21" t="s">
        <v>723</v>
      </c>
      <c r="I687" s="21" t="s">
        <v>42</v>
      </c>
    </row>
    <row r="688" customFormat="false" ht="15" hidden="false" customHeight="true" outlineLevel="0" collapsed="false">
      <c r="A688" s="21" t="n">
        <v>0</v>
      </c>
      <c r="B688" s="21" t="n">
        <v>47</v>
      </c>
      <c r="C688" s="21" t="n">
        <v>6.04</v>
      </c>
      <c r="D688" s="21" t="n">
        <v>1</v>
      </c>
      <c r="E688" s="21" t="s">
        <v>116</v>
      </c>
      <c r="F688" s="21" t="n">
        <v>0</v>
      </c>
      <c r="G688" s="21" t="n">
        <v>0</v>
      </c>
      <c r="H688" s="21" t="s">
        <v>724</v>
      </c>
      <c r="I688" s="21" t="s">
        <v>42</v>
      </c>
    </row>
    <row r="689" customFormat="false" ht="15" hidden="false" customHeight="true" outlineLevel="0" collapsed="false">
      <c r="A689" s="21" t="n">
        <v>0</v>
      </c>
      <c r="B689" s="21" t="n">
        <v>37</v>
      </c>
      <c r="C689" s="21" t="n">
        <v>4.23</v>
      </c>
      <c r="D689" s="21" t="n">
        <v>4</v>
      </c>
      <c r="E689" s="21" t="s">
        <v>116</v>
      </c>
      <c r="F689" s="21" t="n">
        <v>0</v>
      </c>
      <c r="G689" s="21" t="n">
        <v>0</v>
      </c>
      <c r="H689" s="21" t="s">
        <v>725</v>
      </c>
      <c r="I689" s="21" t="s">
        <v>42</v>
      </c>
    </row>
    <row r="690" customFormat="false" ht="15" hidden="false" customHeight="true" outlineLevel="0" collapsed="false">
      <c r="A690" s="21" t="n">
        <v>0</v>
      </c>
      <c r="B690" s="21" t="n">
        <v>28</v>
      </c>
      <c r="C690" s="21" t="n">
        <v>1.63</v>
      </c>
      <c r="D690" s="21" t="n">
        <v>3</v>
      </c>
      <c r="E690" s="21" t="s">
        <v>116</v>
      </c>
      <c r="F690" s="21" t="n">
        <v>0</v>
      </c>
      <c r="G690" s="21" t="n">
        <v>1</v>
      </c>
      <c r="H690" s="21" t="s">
        <v>726</v>
      </c>
      <c r="I690" s="21" t="s">
        <v>42</v>
      </c>
    </row>
    <row r="691" customFormat="false" ht="15" hidden="false" customHeight="true" outlineLevel="0" collapsed="false">
      <c r="A691" s="21" t="n">
        <v>0</v>
      </c>
      <c r="B691" s="21" t="n">
        <v>32</v>
      </c>
      <c r="C691" s="21" t="n">
        <v>2.51</v>
      </c>
      <c r="D691" s="21" t="n">
        <v>1</v>
      </c>
      <c r="E691" s="21" t="s">
        <v>116</v>
      </c>
      <c r="F691" s="21" t="n">
        <v>0</v>
      </c>
      <c r="G691" s="21" t="n">
        <v>1</v>
      </c>
      <c r="H691" s="21" t="s">
        <v>727</v>
      </c>
      <c r="I691" s="21" t="s">
        <v>42</v>
      </c>
    </row>
    <row r="692" customFormat="false" ht="15" hidden="false" customHeight="true" outlineLevel="0" collapsed="false">
      <c r="A692" s="21" t="n">
        <v>0</v>
      </c>
      <c r="B692" s="21" t="n">
        <v>30</v>
      </c>
      <c r="C692" s="21" t="n">
        <v>4.79</v>
      </c>
      <c r="D692" s="21" t="n">
        <v>3</v>
      </c>
      <c r="E692" s="21" t="s">
        <v>157</v>
      </c>
      <c r="F692" s="21" t="n">
        <v>1</v>
      </c>
      <c r="G692" s="21" t="n">
        <v>0</v>
      </c>
      <c r="H692" s="21" t="s">
        <v>728</v>
      </c>
      <c r="I692" s="21" t="s">
        <v>42</v>
      </c>
    </row>
    <row r="693" customFormat="false" ht="15" hidden="false" customHeight="true" outlineLevel="0" collapsed="false">
      <c r="A693" s="21" t="n">
        <v>0</v>
      </c>
      <c r="B693" s="21" t="n">
        <v>32</v>
      </c>
      <c r="C693" s="21" t="n">
        <v>2.23</v>
      </c>
      <c r="D693" s="21" t="n">
        <v>3</v>
      </c>
      <c r="E693" s="21" t="s">
        <v>157</v>
      </c>
      <c r="F693" s="21" t="n">
        <v>0</v>
      </c>
      <c r="G693" s="21" t="n">
        <v>0</v>
      </c>
      <c r="H693" s="21" t="s">
        <v>729</v>
      </c>
      <c r="I693" s="21" t="s">
        <v>42</v>
      </c>
    </row>
    <row r="694" customFormat="false" ht="15" hidden="false" customHeight="true" outlineLevel="0" collapsed="false">
      <c r="A694" s="21" t="n">
        <v>0</v>
      </c>
      <c r="B694" s="21" t="n">
        <v>35</v>
      </c>
      <c r="C694" s="21" t="n">
        <v>4.34</v>
      </c>
      <c r="D694" s="21" t="n">
        <v>3</v>
      </c>
      <c r="E694" s="21" t="s">
        <v>157</v>
      </c>
      <c r="F694" s="21" t="n">
        <v>1</v>
      </c>
      <c r="G694" s="21" t="n">
        <v>0</v>
      </c>
      <c r="H694" s="21" t="s">
        <v>730</v>
      </c>
      <c r="I694" s="21" t="s">
        <v>42</v>
      </c>
    </row>
    <row r="695" customFormat="false" ht="15" hidden="false" customHeight="true" outlineLevel="0" collapsed="false">
      <c r="A695" s="21" t="n">
        <v>0</v>
      </c>
      <c r="B695" s="21" t="n">
        <v>45</v>
      </c>
      <c r="C695" s="21" t="n">
        <v>3.9</v>
      </c>
      <c r="D695" s="21" t="n">
        <v>2</v>
      </c>
      <c r="E695" s="21" t="s">
        <v>157</v>
      </c>
      <c r="F695" s="21" t="n">
        <v>0</v>
      </c>
      <c r="G695" s="21" t="n">
        <v>1</v>
      </c>
      <c r="H695" s="21" t="s">
        <v>731</v>
      </c>
      <c r="I695" s="21" t="s">
        <v>42</v>
      </c>
    </row>
    <row r="696" customFormat="false" ht="15" hidden="false" customHeight="true" outlineLevel="0" collapsed="false">
      <c r="A696" s="21" t="n">
        <v>0</v>
      </c>
      <c r="B696" s="21" t="n">
        <v>18</v>
      </c>
      <c r="C696" s="21" t="n">
        <v>3.58</v>
      </c>
      <c r="D696" s="21" t="n">
        <v>2</v>
      </c>
      <c r="E696" s="21" t="s">
        <v>157</v>
      </c>
      <c r="F696" s="21" t="n">
        <v>1</v>
      </c>
      <c r="G696" s="21" t="n">
        <v>0</v>
      </c>
      <c r="H696" s="21" t="s">
        <v>732</v>
      </c>
      <c r="I696" s="21" t="s">
        <v>42</v>
      </c>
    </row>
    <row r="697" customFormat="false" ht="15" hidden="false" customHeight="true" outlineLevel="0" collapsed="false">
      <c r="A697" s="21" t="n">
        <v>0</v>
      </c>
      <c r="B697" s="21" t="n">
        <v>17</v>
      </c>
      <c r="C697" s="21" t="n">
        <v>3.37</v>
      </c>
      <c r="D697" s="21" t="n">
        <v>3</v>
      </c>
      <c r="E697" s="21" t="s">
        <v>157</v>
      </c>
      <c r="F697" s="21" t="n">
        <v>1</v>
      </c>
      <c r="G697" s="21" t="n">
        <v>0</v>
      </c>
      <c r="H697" s="21" t="s">
        <v>300</v>
      </c>
      <c r="I697" s="21" t="s">
        <v>42</v>
      </c>
    </row>
    <row r="698" customFormat="false" ht="15" hidden="false" customHeight="true" outlineLevel="0" collapsed="false">
      <c r="A698" s="21" t="n">
        <v>0</v>
      </c>
      <c r="B698" s="21" t="n">
        <v>26</v>
      </c>
      <c r="C698" s="21" t="n">
        <v>5.69</v>
      </c>
      <c r="D698" s="21" t="n">
        <v>3</v>
      </c>
      <c r="E698" s="21" t="s">
        <v>157</v>
      </c>
      <c r="F698" s="21" t="n">
        <v>1</v>
      </c>
      <c r="G698" s="21" t="n">
        <v>0</v>
      </c>
      <c r="H698" s="21" t="s">
        <v>733</v>
      </c>
      <c r="I698" s="21" t="s">
        <v>42</v>
      </c>
    </row>
    <row r="699" customFormat="false" ht="15" hidden="false" customHeight="true" outlineLevel="0" collapsed="false">
      <c r="A699" s="21" t="n">
        <v>0</v>
      </c>
      <c r="B699" s="21" t="n">
        <v>23</v>
      </c>
      <c r="C699" s="21" t="n">
        <v>5.6</v>
      </c>
      <c r="D699" s="21" t="n">
        <v>3</v>
      </c>
      <c r="E699" s="21" t="s">
        <v>157</v>
      </c>
      <c r="F699" s="21" t="n">
        <v>1</v>
      </c>
      <c r="G699" s="21" t="n">
        <v>1</v>
      </c>
      <c r="H699" s="21" t="s">
        <v>425</v>
      </c>
      <c r="I699" s="21" t="s">
        <v>42</v>
      </c>
    </row>
    <row r="700" customFormat="false" ht="15" hidden="false" customHeight="true" outlineLevel="0" collapsed="false">
      <c r="A700" s="21" t="n">
        <v>0</v>
      </c>
      <c r="B700" s="21" t="n">
        <v>29</v>
      </c>
      <c r="C700" s="21" t="n">
        <v>0.79</v>
      </c>
      <c r="D700" s="21" t="n">
        <v>2</v>
      </c>
      <c r="E700" s="21" t="s">
        <v>157</v>
      </c>
      <c r="F700" s="21" t="n">
        <v>0</v>
      </c>
      <c r="G700" s="21" t="n">
        <v>0</v>
      </c>
      <c r="H700" s="21" t="s">
        <v>734</v>
      </c>
      <c r="I700" s="21" t="s">
        <v>42</v>
      </c>
    </row>
    <row r="701" customFormat="false" ht="15" hidden="false" customHeight="true" outlineLevel="0" collapsed="false">
      <c r="A701" s="21" t="n">
        <v>0</v>
      </c>
      <c r="B701" s="21" t="n">
        <v>29</v>
      </c>
      <c r="C701" s="21" t="n">
        <v>1.77</v>
      </c>
      <c r="D701" s="21" t="n">
        <v>2</v>
      </c>
      <c r="E701" s="21" t="s">
        <v>157</v>
      </c>
      <c r="F701" s="21" t="n">
        <v>1</v>
      </c>
      <c r="G701" s="21" t="n">
        <v>1</v>
      </c>
      <c r="H701" s="21" t="s">
        <v>735</v>
      </c>
      <c r="I701" s="21" t="s">
        <v>42</v>
      </c>
    </row>
    <row r="702" customFormat="false" ht="15" hidden="false" customHeight="true" outlineLevel="0" collapsed="false">
      <c r="A702" s="21" t="n">
        <v>0</v>
      </c>
      <c r="B702" s="21" t="n">
        <v>31</v>
      </c>
      <c r="C702" s="21" t="n">
        <v>3.99</v>
      </c>
      <c r="D702" s="21" t="n">
        <v>2</v>
      </c>
      <c r="E702" s="21" t="s">
        <v>157</v>
      </c>
      <c r="F702" s="21" t="n">
        <v>0</v>
      </c>
      <c r="G702" s="21" t="n">
        <v>0</v>
      </c>
      <c r="H702" s="21" t="s">
        <v>736</v>
      </c>
      <c r="I702" s="21" t="s">
        <v>42</v>
      </c>
    </row>
    <row r="703" customFormat="false" ht="15" hidden="false" customHeight="true" outlineLevel="0" collapsed="false">
      <c r="A703" s="21" t="n">
        <v>0</v>
      </c>
      <c r="B703" s="21" t="n">
        <v>32</v>
      </c>
      <c r="C703" s="21" t="n">
        <v>2.83</v>
      </c>
      <c r="D703" s="21" t="n">
        <v>1</v>
      </c>
      <c r="E703" s="21" t="s">
        <v>157</v>
      </c>
      <c r="F703" s="21" t="n">
        <v>0</v>
      </c>
      <c r="G703" s="21" t="n">
        <v>0</v>
      </c>
      <c r="H703" s="21" t="s">
        <v>737</v>
      </c>
      <c r="I703" s="21" t="s">
        <v>42</v>
      </c>
    </row>
    <row r="704" customFormat="false" ht="15" hidden="false" customHeight="true" outlineLevel="0" collapsed="false">
      <c r="A704" s="21" t="n">
        <v>0</v>
      </c>
      <c r="B704" s="21" t="n">
        <v>12</v>
      </c>
      <c r="C704" s="21" t="n">
        <v>12.87</v>
      </c>
      <c r="D704" s="21" t="n">
        <v>3</v>
      </c>
      <c r="E704" s="21" t="s">
        <v>58</v>
      </c>
      <c r="F704" s="21" t="n">
        <v>0</v>
      </c>
      <c r="G704" s="21" t="n">
        <v>1</v>
      </c>
      <c r="H704" s="21" t="s">
        <v>738</v>
      </c>
      <c r="I704" s="21" t="s">
        <v>41</v>
      </c>
    </row>
    <row r="705" customFormat="false" ht="15" hidden="false" customHeight="true" outlineLevel="0" collapsed="false">
      <c r="A705" s="21" t="n">
        <v>0</v>
      </c>
      <c r="B705" s="21" t="n">
        <v>46</v>
      </c>
      <c r="C705" s="21" t="n">
        <v>11.09</v>
      </c>
      <c r="D705" s="21" t="n">
        <v>4</v>
      </c>
      <c r="E705" s="21" t="s">
        <v>58</v>
      </c>
      <c r="F705" s="21" t="n">
        <v>1</v>
      </c>
      <c r="G705" s="21" t="n">
        <v>1</v>
      </c>
      <c r="H705" s="21" t="s">
        <v>739</v>
      </c>
      <c r="I705" s="21" t="s">
        <v>41</v>
      </c>
    </row>
    <row r="706" customFormat="false" ht="15" hidden="false" customHeight="true" outlineLevel="0" collapsed="false">
      <c r="A706" s="21" t="n">
        <v>0</v>
      </c>
      <c r="B706" s="21" t="n">
        <v>13</v>
      </c>
      <c r="C706" s="21" t="n">
        <v>13.23</v>
      </c>
      <c r="D706" s="21" t="n">
        <v>8</v>
      </c>
      <c r="E706" s="21" t="s">
        <v>58</v>
      </c>
      <c r="F706" s="21" t="n">
        <v>1</v>
      </c>
      <c r="G706" s="21" t="n">
        <v>1</v>
      </c>
      <c r="H706" s="21" t="s">
        <v>740</v>
      </c>
      <c r="I706" s="21" t="s">
        <v>41</v>
      </c>
    </row>
    <row r="707" customFormat="false" ht="15" hidden="false" customHeight="true" outlineLevel="0" collapsed="false">
      <c r="A707" s="21" t="n">
        <v>0</v>
      </c>
      <c r="B707" s="21" t="n">
        <v>52</v>
      </c>
      <c r="C707" s="21" t="n">
        <v>15.59</v>
      </c>
      <c r="D707" s="21" t="n">
        <v>4</v>
      </c>
      <c r="E707" s="21" t="s">
        <v>58</v>
      </c>
      <c r="F707" s="21" t="n">
        <v>0</v>
      </c>
      <c r="G707" s="21" t="n">
        <v>1</v>
      </c>
      <c r="H707" s="21" t="s">
        <v>324</v>
      </c>
      <c r="I707" s="21" t="s">
        <v>41</v>
      </c>
    </row>
    <row r="708" customFormat="false" ht="15" hidden="false" customHeight="true" outlineLevel="0" collapsed="false">
      <c r="A708" s="21" t="n">
        <v>0</v>
      </c>
      <c r="B708" s="21" t="n">
        <v>53</v>
      </c>
      <c r="C708" s="21" t="n">
        <v>8.04</v>
      </c>
      <c r="D708" s="21" t="n">
        <v>1</v>
      </c>
      <c r="E708" s="21" t="s">
        <v>58</v>
      </c>
      <c r="F708" s="21" t="n">
        <v>0</v>
      </c>
      <c r="G708" s="21" t="n">
        <v>0</v>
      </c>
      <c r="H708" s="21" t="s">
        <v>741</v>
      </c>
      <c r="I708" s="21" t="s">
        <v>41</v>
      </c>
    </row>
    <row r="709" customFormat="false" ht="15" hidden="false" customHeight="true" outlineLevel="0" collapsed="false">
      <c r="A709" s="21" t="n">
        <v>0</v>
      </c>
      <c r="B709" s="21" t="n">
        <v>44</v>
      </c>
      <c r="C709" s="21" t="n">
        <v>7.04</v>
      </c>
      <c r="D709" s="21" t="n">
        <v>7</v>
      </c>
      <c r="E709" s="21" t="s">
        <v>58</v>
      </c>
      <c r="F709" s="21" t="n">
        <v>1</v>
      </c>
      <c r="G709" s="21" t="n">
        <v>1</v>
      </c>
      <c r="H709" s="21" t="s">
        <v>412</v>
      </c>
      <c r="I709" s="21" t="s">
        <v>41</v>
      </c>
    </row>
    <row r="710" customFormat="false" ht="15" hidden="false" customHeight="true" outlineLevel="0" collapsed="false">
      <c r="A710" s="21" t="n">
        <v>0</v>
      </c>
      <c r="B710" s="21" t="n">
        <v>54</v>
      </c>
      <c r="C710" s="21" t="n">
        <v>22.65</v>
      </c>
      <c r="D710" s="21" t="n">
        <v>10</v>
      </c>
      <c r="E710" s="21" t="s">
        <v>58</v>
      </c>
      <c r="F710" s="21" t="n">
        <v>0</v>
      </c>
      <c r="G710" s="21" t="n">
        <v>1</v>
      </c>
      <c r="H710" s="21" t="s">
        <v>742</v>
      </c>
      <c r="I710" s="21" t="s">
        <v>41</v>
      </c>
    </row>
    <row r="711" customFormat="false" ht="15" hidden="false" customHeight="true" outlineLevel="0" collapsed="false">
      <c r="A711" s="21" t="n">
        <v>0</v>
      </c>
      <c r="B711" s="21" t="n">
        <v>45</v>
      </c>
      <c r="C711" s="21" t="n">
        <v>10.74</v>
      </c>
      <c r="D711" s="21" t="n">
        <v>3</v>
      </c>
      <c r="E711" s="21" t="s">
        <v>58</v>
      </c>
      <c r="F711" s="21" t="n">
        <v>0</v>
      </c>
      <c r="G711" s="21" t="n">
        <v>0</v>
      </c>
      <c r="H711" s="21" t="s">
        <v>743</v>
      </c>
      <c r="I711" s="21" t="s">
        <v>41</v>
      </c>
    </row>
    <row r="712" customFormat="false" ht="15" hidden="false" customHeight="true" outlineLevel="0" collapsed="false">
      <c r="A712" s="21" t="n">
        <v>1</v>
      </c>
      <c r="B712" s="21" t="n">
        <v>39</v>
      </c>
      <c r="C712" s="21" t="n">
        <v>10.79</v>
      </c>
      <c r="D712" s="21" t="n">
        <v>9</v>
      </c>
      <c r="E712" s="21" t="s">
        <v>58</v>
      </c>
      <c r="F712" s="21" t="n">
        <v>0</v>
      </c>
      <c r="G712" s="21" t="n">
        <v>1</v>
      </c>
      <c r="H712" s="21" t="s">
        <v>744</v>
      </c>
      <c r="I712" s="21" t="s">
        <v>41</v>
      </c>
    </row>
    <row r="713" customFormat="false" ht="15" hidden="false" customHeight="true" outlineLevel="0" collapsed="false">
      <c r="A713" s="21" t="n">
        <v>0</v>
      </c>
      <c r="B713" s="21" t="n">
        <v>26</v>
      </c>
      <c r="C713" s="21" t="n">
        <v>10.81</v>
      </c>
      <c r="D713" s="21" t="n">
        <v>5</v>
      </c>
      <c r="E713" s="21" t="s">
        <v>58</v>
      </c>
      <c r="F713" s="21" t="n">
        <v>0</v>
      </c>
      <c r="G713" s="21" t="n">
        <v>0</v>
      </c>
      <c r="H713" s="21" t="s">
        <v>745</v>
      </c>
      <c r="I713" s="21" t="s">
        <v>41</v>
      </c>
    </row>
    <row r="714" customFormat="false" ht="15" hidden="false" customHeight="true" outlineLevel="0" collapsed="false">
      <c r="A714" s="21" t="n">
        <v>0</v>
      </c>
      <c r="B714" s="21" t="n">
        <v>56</v>
      </c>
      <c r="C714" s="21" t="n">
        <v>15.17</v>
      </c>
      <c r="D714" s="21" t="n">
        <v>5</v>
      </c>
      <c r="E714" s="21" t="s">
        <v>58</v>
      </c>
      <c r="F714" s="21" t="n">
        <v>0</v>
      </c>
      <c r="G714" s="21" t="n">
        <v>1</v>
      </c>
      <c r="H714" s="21" t="s">
        <v>746</v>
      </c>
      <c r="I714" s="21" t="s">
        <v>41</v>
      </c>
    </row>
    <row r="715" customFormat="false" ht="15" hidden="false" customHeight="true" outlineLevel="0" collapsed="false">
      <c r="A715" s="21" t="n">
        <v>0</v>
      </c>
      <c r="B715" s="21" t="n">
        <v>32</v>
      </c>
      <c r="C715" s="21" t="n">
        <v>6.64</v>
      </c>
      <c r="D715" s="21" t="n">
        <v>3</v>
      </c>
      <c r="E715" s="21" t="s">
        <v>58</v>
      </c>
      <c r="F715" s="21" t="n">
        <v>0</v>
      </c>
      <c r="G715" s="21" t="n">
        <v>1</v>
      </c>
      <c r="H715" s="21" t="s">
        <v>747</v>
      </c>
      <c r="I715" s="21" t="s">
        <v>41</v>
      </c>
    </row>
    <row r="716" customFormat="false" ht="15" hidden="false" customHeight="true" outlineLevel="0" collapsed="false">
      <c r="A716" s="21" t="n">
        <v>0</v>
      </c>
      <c r="B716" s="21" t="n">
        <v>23</v>
      </c>
      <c r="C716" s="21" t="n">
        <v>7.84</v>
      </c>
      <c r="D716" s="21" t="n">
        <v>8</v>
      </c>
      <c r="E716" s="21" t="s">
        <v>58</v>
      </c>
      <c r="F716" s="21" t="n">
        <v>1</v>
      </c>
      <c r="G716" s="21" t="n">
        <v>0</v>
      </c>
      <c r="H716" s="21" t="s">
        <v>748</v>
      </c>
      <c r="I716" s="21" t="s">
        <v>41</v>
      </c>
    </row>
    <row r="717" customFormat="false" ht="15" hidden="false" customHeight="true" outlineLevel="0" collapsed="false">
      <c r="A717" s="21" t="n">
        <v>0</v>
      </c>
      <c r="B717" s="21" t="n">
        <v>6</v>
      </c>
      <c r="C717" s="21" t="n">
        <v>13.54</v>
      </c>
      <c r="D717" s="21" t="n">
        <v>4</v>
      </c>
      <c r="E717" s="21" t="s">
        <v>58</v>
      </c>
      <c r="F717" s="21" t="n">
        <v>0</v>
      </c>
      <c r="G717" s="21" t="n">
        <v>1</v>
      </c>
      <c r="H717" s="21" t="s">
        <v>749</v>
      </c>
      <c r="I717" s="21" t="s">
        <v>41</v>
      </c>
    </row>
    <row r="718" customFormat="false" ht="15" hidden="false" customHeight="true" outlineLevel="0" collapsed="false">
      <c r="A718" s="21" t="n">
        <v>0</v>
      </c>
      <c r="B718" s="21" t="n">
        <v>47</v>
      </c>
      <c r="C718" s="21" t="n">
        <v>14.38</v>
      </c>
      <c r="D718" s="21" t="n">
        <v>6</v>
      </c>
      <c r="E718" s="21" t="s">
        <v>58</v>
      </c>
      <c r="F718" s="21" t="n">
        <v>1</v>
      </c>
      <c r="G718" s="21" t="n">
        <v>1</v>
      </c>
      <c r="H718" s="21" t="s">
        <v>750</v>
      </c>
      <c r="I718" s="21" t="s">
        <v>41</v>
      </c>
    </row>
    <row r="719" customFormat="false" ht="15" hidden="false" customHeight="true" outlineLevel="0" collapsed="false">
      <c r="A719" s="21" t="n">
        <v>0</v>
      </c>
      <c r="B719" s="21" t="n">
        <v>30</v>
      </c>
      <c r="C719" s="21" t="n">
        <v>18.37</v>
      </c>
      <c r="D719" s="21" t="n">
        <v>2</v>
      </c>
      <c r="E719" s="21" t="s">
        <v>58</v>
      </c>
      <c r="F719" s="21" t="n">
        <v>1</v>
      </c>
      <c r="G719" s="21" t="n">
        <v>1</v>
      </c>
      <c r="H719" s="21" t="s">
        <v>751</v>
      </c>
      <c r="I719" s="21" t="s">
        <v>41</v>
      </c>
    </row>
    <row r="720" customFormat="false" ht="15" hidden="false" customHeight="true" outlineLevel="0" collapsed="false">
      <c r="A720" s="21" t="n">
        <v>0</v>
      </c>
      <c r="B720" s="21" t="n">
        <v>60</v>
      </c>
      <c r="C720" s="21" t="n">
        <v>12.35</v>
      </c>
      <c r="D720" s="21" t="n">
        <v>3</v>
      </c>
      <c r="E720" s="21" t="s">
        <v>58</v>
      </c>
      <c r="F720" s="21" t="n">
        <v>0</v>
      </c>
      <c r="G720" s="21" t="n">
        <v>0</v>
      </c>
      <c r="H720" s="21" t="s">
        <v>752</v>
      </c>
      <c r="I720" s="21" t="s">
        <v>41</v>
      </c>
    </row>
    <row r="721" customFormat="false" ht="15" hidden="false" customHeight="true" outlineLevel="0" collapsed="false">
      <c r="A721" s="21" t="n">
        <v>0</v>
      </c>
      <c r="B721" s="21" t="n">
        <v>70</v>
      </c>
      <c r="C721" s="21" t="n">
        <v>5.55</v>
      </c>
      <c r="D721" s="21" t="n">
        <v>9</v>
      </c>
      <c r="E721" s="21" t="s">
        <v>58</v>
      </c>
      <c r="F721" s="21" t="n">
        <v>0</v>
      </c>
      <c r="G721" s="21" t="n">
        <v>0</v>
      </c>
      <c r="H721" s="21" t="s">
        <v>753</v>
      </c>
      <c r="I721" s="21" t="s">
        <v>41</v>
      </c>
    </row>
    <row r="722" customFormat="false" ht="15" hidden="false" customHeight="true" outlineLevel="0" collapsed="false">
      <c r="A722" s="21" t="n">
        <v>0</v>
      </c>
      <c r="B722" s="21" t="n">
        <v>34</v>
      </c>
      <c r="C722" s="21" t="n">
        <v>2.77</v>
      </c>
      <c r="D722" s="21" t="n">
        <v>4</v>
      </c>
      <c r="E722" s="21" t="s">
        <v>58</v>
      </c>
      <c r="F722" s="21" t="n">
        <v>0</v>
      </c>
      <c r="G722" s="21" t="n">
        <v>1</v>
      </c>
      <c r="H722" s="21" t="s">
        <v>754</v>
      </c>
      <c r="I722" s="21" t="s">
        <v>41</v>
      </c>
    </row>
    <row r="723" customFormat="false" ht="15" hidden="false" customHeight="true" outlineLevel="0" collapsed="false">
      <c r="A723" s="21" t="n">
        <v>0</v>
      </c>
      <c r="B723" s="21" t="n">
        <v>54</v>
      </c>
      <c r="C723" s="21" t="n">
        <v>17.22</v>
      </c>
      <c r="D723" s="21" t="n">
        <v>3</v>
      </c>
      <c r="E723" s="21" t="s">
        <v>58</v>
      </c>
      <c r="F723" s="21" t="n">
        <v>0</v>
      </c>
      <c r="G723" s="21" t="n">
        <v>1</v>
      </c>
      <c r="H723" s="21" t="s">
        <v>755</v>
      </c>
      <c r="I723" s="21" t="s">
        <v>41</v>
      </c>
    </row>
    <row r="724" customFormat="false" ht="15" hidden="false" customHeight="true" outlineLevel="0" collapsed="false">
      <c r="A724" s="21" t="n">
        <v>0</v>
      </c>
      <c r="B724" s="21" t="n">
        <v>47</v>
      </c>
      <c r="C724" s="21" t="n">
        <v>8.28</v>
      </c>
      <c r="D724" s="21" t="n">
        <v>2</v>
      </c>
      <c r="E724" s="21" t="s">
        <v>58</v>
      </c>
      <c r="F724" s="21" t="n">
        <v>0</v>
      </c>
      <c r="G724" s="21" t="n">
        <v>0</v>
      </c>
      <c r="H724" s="21" t="s">
        <v>756</v>
      </c>
      <c r="I724" s="21" t="s">
        <v>41</v>
      </c>
    </row>
    <row r="725" customFormat="false" ht="15" hidden="false" customHeight="true" outlineLevel="0" collapsed="false">
      <c r="A725" s="21" t="n">
        <v>0</v>
      </c>
      <c r="B725" s="21" t="n">
        <v>35</v>
      </c>
      <c r="C725" s="21" t="n">
        <v>8.45</v>
      </c>
      <c r="D725" s="21" t="n">
        <v>4</v>
      </c>
      <c r="E725" s="21" t="s">
        <v>58</v>
      </c>
      <c r="F725" s="21" t="n">
        <v>1</v>
      </c>
      <c r="G725" s="21" t="n">
        <v>0</v>
      </c>
      <c r="H725" s="21" t="s">
        <v>757</v>
      </c>
      <c r="I725" s="21" t="s">
        <v>41</v>
      </c>
    </row>
    <row r="726" customFormat="false" ht="15" hidden="false" customHeight="true" outlineLevel="0" collapsed="false">
      <c r="A726" s="21" t="n">
        <v>0</v>
      </c>
      <c r="B726" s="21" t="n">
        <v>29</v>
      </c>
      <c r="C726" s="21" t="n">
        <v>9.78</v>
      </c>
      <c r="D726" s="21" t="n">
        <v>4</v>
      </c>
      <c r="E726" s="21" t="s">
        <v>58</v>
      </c>
      <c r="F726" s="21" t="n">
        <v>1</v>
      </c>
      <c r="G726" s="21" t="n">
        <v>1</v>
      </c>
      <c r="H726" s="21" t="s">
        <v>758</v>
      </c>
      <c r="I726" s="21" t="s">
        <v>41</v>
      </c>
    </row>
    <row r="727" customFormat="false" ht="15" hidden="false" customHeight="true" outlineLevel="0" collapsed="false">
      <c r="A727" s="21" t="n">
        <v>0</v>
      </c>
      <c r="B727" s="21" t="n">
        <v>26</v>
      </c>
      <c r="C727" s="21" t="n">
        <v>15.57</v>
      </c>
      <c r="D727" s="21" t="n">
        <v>5</v>
      </c>
      <c r="E727" s="21" t="s">
        <v>58</v>
      </c>
      <c r="F727" s="21" t="n">
        <v>1</v>
      </c>
      <c r="G727" s="21" t="n">
        <v>1</v>
      </c>
      <c r="H727" s="21" t="s">
        <v>759</v>
      </c>
      <c r="I727" s="21" t="s">
        <v>41</v>
      </c>
    </row>
    <row r="728" customFormat="false" ht="15" hidden="false" customHeight="true" outlineLevel="0" collapsed="false">
      <c r="A728" s="21" t="n">
        <v>0</v>
      </c>
      <c r="B728" s="21" t="n">
        <v>44</v>
      </c>
      <c r="C728" s="21" t="n">
        <v>8.64</v>
      </c>
      <c r="D728" s="21" t="n">
        <v>7</v>
      </c>
      <c r="E728" s="21" t="s">
        <v>58</v>
      </c>
      <c r="F728" s="21" t="n">
        <v>0</v>
      </c>
      <c r="G728" s="21" t="n">
        <v>0</v>
      </c>
      <c r="H728" s="21" t="s">
        <v>529</v>
      </c>
      <c r="I728" s="21" t="s">
        <v>41</v>
      </c>
    </row>
    <row r="729" customFormat="false" ht="15" hidden="false" customHeight="true" outlineLevel="0" collapsed="false">
      <c r="A729" s="21" t="n">
        <v>0</v>
      </c>
      <c r="B729" s="21" t="n">
        <v>58</v>
      </c>
      <c r="C729" s="21" t="n">
        <v>14.19</v>
      </c>
      <c r="D729" s="21" t="n">
        <v>4</v>
      </c>
      <c r="E729" s="21" t="s">
        <v>58</v>
      </c>
      <c r="F729" s="21" t="n">
        <v>0</v>
      </c>
      <c r="G729" s="21" t="n">
        <v>0</v>
      </c>
      <c r="H729" s="21" t="s">
        <v>598</v>
      </c>
      <c r="I729" s="21" t="s">
        <v>41</v>
      </c>
    </row>
    <row r="730" customFormat="false" ht="15" hidden="false" customHeight="true" outlineLevel="0" collapsed="false">
      <c r="A730" s="21" t="n">
        <v>0</v>
      </c>
      <c r="B730" s="21" t="n">
        <v>31</v>
      </c>
      <c r="C730" s="21" t="n">
        <v>7.22</v>
      </c>
      <c r="D730" s="21" t="n">
        <v>1</v>
      </c>
      <c r="E730" s="21" t="s">
        <v>58</v>
      </c>
      <c r="F730" s="21" t="n">
        <v>1</v>
      </c>
      <c r="G730" s="21" t="n">
        <v>1</v>
      </c>
      <c r="H730" s="21" t="s">
        <v>760</v>
      </c>
      <c r="I730" s="21" t="s">
        <v>41</v>
      </c>
    </row>
    <row r="731" customFormat="false" ht="15" hidden="false" customHeight="true" outlineLevel="0" collapsed="false">
      <c r="A731" s="21" t="n">
        <v>0</v>
      </c>
      <c r="B731" s="21" t="n">
        <v>28</v>
      </c>
      <c r="C731" s="21" t="n">
        <v>8.95</v>
      </c>
      <c r="D731" s="21" t="n">
        <v>1</v>
      </c>
      <c r="E731" s="21" t="s">
        <v>58</v>
      </c>
      <c r="F731" s="21" t="n">
        <v>0</v>
      </c>
      <c r="G731" s="21" t="n">
        <v>0</v>
      </c>
      <c r="H731" s="21" t="s">
        <v>761</v>
      </c>
      <c r="I731" s="21" t="s">
        <v>41</v>
      </c>
    </row>
    <row r="732" customFormat="false" ht="15" hidden="false" customHeight="true" outlineLevel="0" collapsed="false">
      <c r="A732" s="21" t="n">
        <v>0</v>
      </c>
      <c r="B732" s="21" t="n">
        <v>49</v>
      </c>
      <c r="C732" s="21" t="n">
        <v>13.33</v>
      </c>
      <c r="D732" s="21" t="n">
        <v>1</v>
      </c>
      <c r="E732" s="21" t="s">
        <v>58</v>
      </c>
      <c r="F732" s="21" t="n">
        <v>0</v>
      </c>
      <c r="G732" s="21" t="n">
        <v>0</v>
      </c>
      <c r="H732" s="21" t="s">
        <v>762</v>
      </c>
      <c r="I732" s="21" t="s">
        <v>41</v>
      </c>
    </row>
    <row r="733" customFormat="false" ht="15" hidden="false" customHeight="true" outlineLevel="0" collapsed="false">
      <c r="A733" s="21" t="n">
        <v>0</v>
      </c>
      <c r="B733" s="21" t="n">
        <v>40</v>
      </c>
      <c r="C733" s="21" t="n">
        <v>8.76</v>
      </c>
      <c r="D733" s="21" t="n">
        <v>10</v>
      </c>
      <c r="E733" s="21" t="s">
        <v>58</v>
      </c>
      <c r="F733" s="21" t="n">
        <v>0</v>
      </c>
      <c r="G733" s="21" t="n">
        <v>1</v>
      </c>
      <c r="H733" s="21" t="s">
        <v>763</v>
      </c>
      <c r="I733" s="21" t="s">
        <v>41</v>
      </c>
    </row>
    <row r="734" customFormat="false" ht="15" hidden="false" customHeight="true" outlineLevel="0" collapsed="false">
      <c r="A734" s="21" t="n">
        <v>0</v>
      </c>
      <c r="B734" s="21" t="n">
        <v>36</v>
      </c>
      <c r="C734" s="21" t="n">
        <v>16.04</v>
      </c>
      <c r="D734" s="21" t="n">
        <v>2</v>
      </c>
      <c r="E734" s="21" t="s">
        <v>58</v>
      </c>
      <c r="F734" s="21" t="n">
        <v>0</v>
      </c>
      <c r="G734" s="21" t="n">
        <v>1</v>
      </c>
      <c r="H734" s="21" t="s">
        <v>764</v>
      </c>
      <c r="I734" s="21" t="s">
        <v>41</v>
      </c>
    </row>
    <row r="735" customFormat="false" ht="15" hidden="false" customHeight="true" outlineLevel="0" collapsed="false">
      <c r="A735" s="21" t="n">
        <v>0</v>
      </c>
      <c r="B735" s="21" t="n">
        <v>63</v>
      </c>
      <c r="C735" s="21" t="n">
        <v>10.16</v>
      </c>
      <c r="D735" s="21" t="n">
        <v>2</v>
      </c>
      <c r="E735" s="21" t="s">
        <v>58</v>
      </c>
      <c r="F735" s="21" t="n">
        <v>1</v>
      </c>
      <c r="G735" s="21" t="n">
        <v>1</v>
      </c>
      <c r="H735" s="21" t="s">
        <v>765</v>
      </c>
      <c r="I735" s="21" t="s">
        <v>41</v>
      </c>
    </row>
    <row r="736" customFormat="false" ht="15" hidden="false" customHeight="true" outlineLevel="0" collapsed="false">
      <c r="A736" s="21" t="n">
        <v>0</v>
      </c>
      <c r="B736" s="21" t="n">
        <v>23</v>
      </c>
      <c r="C736" s="21" t="n">
        <v>13.85</v>
      </c>
      <c r="D736" s="21" t="n">
        <v>5</v>
      </c>
      <c r="E736" s="21" t="s">
        <v>58</v>
      </c>
      <c r="F736" s="21" t="n">
        <v>1</v>
      </c>
      <c r="G736" s="21" t="n">
        <v>1</v>
      </c>
      <c r="H736" s="21" t="s">
        <v>766</v>
      </c>
      <c r="I736" s="21" t="s">
        <v>41</v>
      </c>
    </row>
    <row r="737" customFormat="false" ht="15" hidden="false" customHeight="true" outlineLevel="0" collapsed="false">
      <c r="A737" s="21" t="n">
        <v>0</v>
      </c>
      <c r="B737" s="21" t="n">
        <v>22</v>
      </c>
      <c r="C737" s="21" t="n">
        <v>10.35</v>
      </c>
      <c r="D737" s="21" t="n">
        <v>10</v>
      </c>
      <c r="E737" s="21" t="s">
        <v>58</v>
      </c>
      <c r="F737" s="21" t="n">
        <v>0</v>
      </c>
      <c r="G737" s="21" t="n">
        <v>1</v>
      </c>
      <c r="H737" s="21" t="s">
        <v>767</v>
      </c>
      <c r="I737" s="21" t="s">
        <v>41</v>
      </c>
    </row>
    <row r="738" customFormat="false" ht="15" hidden="false" customHeight="true" outlineLevel="0" collapsed="false">
      <c r="A738" s="21" t="n">
        <v>0</v>
      </c>
      <c r="B738" s="21" t="n">
        <v>32</v>
      </c>
      <c r="C738" s="21" t="n">
        <v>13.09</v>
      </c>
      <c r="D738" s="21" t="n">
        <v>8</v>
      </c>
      <c r="E738" s="21" t="s">
        <v>58</v>
      </c>
      <c r="F738" s="21" t="n">
        <v>0</v>
      </c>
      <c r="G738" s="21" t="n">
        <v>1</v>
      </c>
      <c r="H738" s="21" t="s">
        <v>768</v>
      </c>
      <c r="I738" s="21" t="s">
        <v>41</v>
      </c>
    </row>
    <row r="739" customFormat="false" ht="15" hidden="false" customHeight="true" outlineLevel="0" collapsed="false">
      <c r="A739" s="21" t="n">
        <v>0</v>
      </c>
      <c r="B739" s="21" t="n">
        <v>56</v>
      </c>
      <c r="C739" s="21" t="n">
        <v>9.32</v>
      </c>
      <c r="D739" s="21" t="n">
        <v>4</v>
      </c>
      <c r="E739" s="21" t="s">
        <v>58</v>
      </c>
      <c r="F739" s="21" t="n">
        <v>0</v>
      </c>
      <c r="G739" s="21" t="n">
        <v>1</v>
      </c>
      <c r="H739" s="21" t="s">
        <v>769</v>
      </c>
      <c r="I739" s="21" t="s">
        <v>41</v>
      </c>
    </row>
    <row r="740" customFormat="false" ht="15" hidden="false" customHeight="true" outlineLevel="0" collapsed="false">
      <c r="A740" s="21" t="n">
        <v>0</v>
      </c>
      <c r="B740" s="21" t="n">
        <v>27</v>
      </c>
      <c r="C740" s="21" t="n">
        <v>9.16</v>
      </c>
      <c r="D740" s="21" t="n">
        <v>1</v>
      </c>
      <c r="E740" s="21" t="s">
        <v>58</v>
      </c>
      <c r="F740" s="21" t="n">
        <v>1</v>
      </c>
      <c r="G740" s="21" t="n">
        <v>0</v>
      </c>
      <c r="H740" s="21" t="s">
        <v>770</v>
      </c>
      <c r="I740" s="21" t="s">
        <v>41</v>
      </c>
    </row>
    <row r="741" customFormat="false" ht="15" hidden="false" customHeight="true" outlineLevel="0" collapsed="false">
      <c r="A741" s="21" t="n">
        <v>1</v>
      </c>
      <c r="B741" s="21" t="n">
        <v>38</v>
      </c>
      <c r="C741" s="21" t="n">
        <v>5.85</v>
      </c>
      <c r="D741" s="21" t="n">
        <v>7</v>
      </c>
      <c r="E741" s="21" t="s">
        <v>58</v>
      </c>
      <c r="F741" s="21" t="n">
        <v>0</v>
      </c>
      <c r="G741" s="21" t="n">
        <v>1</v>
      </c>
      <c r="H741" s="21" t="s">
        <v>771</v>
      </c>
      <c r="I741" s="21" t="s">
        <v>41</v>
      </c>
    </row>
    <row r="742" customFormat="false" ht="15" hidden="false" customHeight="true" outlineLevel="0" collapsed="false">
      <c r="A742" s="21" t="n">
        <v>0</v>
      </c>
      <c r="B742" s="21" t="n">
        <v>27</v>
      </c>
      <c r="C742" s="21" t="n">
        <v>16.63</v>
      </c>
      <c r="D742" s="21" t="n">
        <v>8</v>
      </c>
      <c r="E742" s="21" t="s">
        <v>58</v>
      </c>
      <c r="F742" s="21" t="n">
        <v>0</v>
      </c>
      <c r="G742" s="21" t="n">
        <v>1</v>
      </c>
      <c r="H742" s="21" t="s">
        <v>772</v>
      </c>
      <c r="I742" s="21" t="s">
        <v>41</v>
      </c>
    </row>
    <row r="743" customFormat="false" ht="15" hidden="false" customHeight="true" outlineLevel="0" collapsed="false">
      <c r="A743" s="21" t="n">
        <v>0</v>
      </c>
      <c r="B743" s="21" t="n">
        <v>37</v>
      </c>
      <c r="C743" s="21" t="n">
        <v>15.61</v>
      </c>
      <c r="D743" s="21" t="n">
        <v>10</v>
      </c>
      <c r="E743" s="21" t="s">
        <v>58</v>
      </c>
      <c r="F743" s="21" t="n">
        <v>1</v>
      </c>
      <c r="G743" s="21" t="n">
        <v>1</v>
      </c>
      <c r="H743" s="21" t="s">
        <v>773</v>
      </c>
      <c r="I743" s="21" t="s">
        <v>41</v>
      </c>
    </row>
    <row r="744" customFormat="false" ht="15" hidden="false" customHeight="true" outlineLevel="0" collapsed="false">
      <c r="A744" s="21" t="n">
        <v>0</v>
      </c>
      <c r="B744" s="21" t="n">
        <v>32</v>
      </c>
      <c r="C744" s="21" t="n">
        <v>25.26</v>
      </c>
      <c r="D744" s="21" t="n">
        <v>3</v>
      </c>
      <c r="E744" s="21" t="s">
        <v>58</v>
      </c>
      <c r="F744" s="21" t="n">
        <v>0</v>
      </c>
      <c r="G744" s="21" t="n">
        <v>1</v>
      </c>
      <c r="H744" s="21" t="s">
        <v>774</v>
      </c>
      <c r="I744" s="21" t="s">
        <v>41</v>
      </c>
    </row>
    <row r="745" customFormat="false" ht="15" hidden="false" customHeight="true" outlineLevel="0" collapsed="false">
      <c r="A745" s="21" t="n">
        <v>0</v>
      </c>
      <c r="B745" s="21" t="n">
        <v>52</v>
      </c>
      <c r="C745" s="21" t="n">
        <v>19.56</v>
      </c>
      <c r="D745" s="21" t="n">
        <v>5</v>
      </c>
      <c r="E745" s="21" t="s">
        <v>58</v>
      </c>
      <c r="F745" s="21" t="n">
        <v>1</v>
      </c>
      <c r="G745" s="21" t="n">
        <v>1</v>
      </c>
      <c r="H745" s="21" t="s">
        <v>775</v>
      </c>
      <c r="I745" s="21" t="s">
        <v>41</v>
      </c>
    </row>
    <row r="746" customFormat="false" ht="15" hidden="false" customHeight="true" outlineLevel="0" collapsed="false">
      <c r="A746" s="21" t="n">
        <v>0</v>
      </c>
      <c r="B746" s="21" t="n">
        <v>36</v>
      </c>
      <c r="C746" s="21" t="n">
        <v>18.43</v>
      </c>
      <c r="D746" s="21" t="n">
        <v>3</v>
      </c>
      <c r="E746" s="21" t="s">
        <v>58</v>
      </c>
      <c r="F746" s="21" t="n">
        <v>0</v>
      </c>
      <c r="G746" s="21" t="n">
        <v>1</v>
      </c>
      <c r="H746" s="21" t="s">
        <v>776</v>
      </c>
      <c r="I746" s="21" t="s">
        <v>41</v>
      </c>
    </row>
    <row r="747" customFormat="false" ht="15" hidden="false" customHeight="true" outlineLevel="0" collapsed="false">
      <c r="A747" s="21" t="n">
        <v>0</v>
      </c>
      <c r="B747" s="21" t="n">
        <v>53</v>
      </c>
      <c r="C747" s="21" t="n">
        <v>12.21</v>
      </c>
      <c r="D747" s="21" t="n">
        <v>3</v>
      </c>
      <c r="E747" s="21" t="s">
        <v>58</v>
      </c>
      <c r="F747" s="21" t="n">
        <v>0</v>
      </c>
      <c r="G747" s="21" t="n">
        <v>1</v>
      </c>
      <c r="H747" s="21" t="s">
        <v>777</v>
      </c>
      <c r="I747" s="21" t="s">
        <v>41</v>
      </c>
    </row>
    <row r="748" customFormat="false" ht="15" hidden="false" customHeight="true" outlineLevel="0" collapsed="false">
      <c r="A748" s="21" t="n">
        <v>0</v>
      </c>
      <c r="B748" s="21" t="n">
        <v>37</v>
      </c>
      <c r="C748" s="21" t="n">
        <v>14.02</v>
      </c>
      <c r="D748" s="21" t="n">
        <v>4</v>
      </c>
      <c r="E748" s="21" t="s">
        <v>58</v>
      </c>
      <c r="F748" s="21" t="n">
        <v>1</v>
      </c>
      <c r="G748" s="21" t="n">
        <v>1</v>
      </c>
      <c r="H748" s="21" t="s">
        <v>778</v>
      </c>
      <c r="I748" s="21" t="s">
        <v>41</v>
      </c>
    </row>
    <row r="749" customFormat="false" ht="15" hidden="false" customHeight="true" outlineLevel="0" collapsed="false">
      <c r="A749" s="21" t="n">
        <v>0</v>
      </c>
      <c r="B749" s="21" t="n">
        <v>23</v>
      </c>
      <c r="C749" s="21" t="n">
        <v>0.4</v>
      </c>
      <c r="D749" s="21" t="n">
        <v>2</v>
      </c>
      <c r="E749" s="21" t="s">
        <v>58</v>
      </c>
      <c r="F749" s="21" t="n">
        <v>0</v>
      </c>
      <c r="G749" s="21" t="n">
        <v>0</v>
      </c>
      <c r="H749" s="21" t="s">
        <v>779</v>
      </c>
      <c r="I749" s="21" t="s">
        <v>41</v>
      </c>
    </row>
    <row r="750" customFormat="false" ht="15" hidden="false" customHeight="true" outlineLevel="0" collapsed="false">
      <c r="A750" s="21" t="n">
        <v>0</v>
      </c>
      <c r="B750" s="21" t="n">
        <v>49</v>
      </c>
      <c r="C750" s="21" t="n">
        <v>0.59</v>
      </c>
      <c r="D750" s="21" t="n">
        <v>9</v>
      </c>
      <c r="E750" s="21" t="s">
        <v>58</v>
      </c>
      <c r="F750" s="21" t="n">
        <v>0</v>
      </c>
      <c r="G750" s="21" t="n">
        <v>1</v>
      </c>
      <c r="H750" s="21" t="s">
        <v>780</v>
      </c>
      <c r="I750" s="21" t="s">
        <v>41</v>
      </c>
    </row>
    <row r="751" customFormat="false" ht="15" hidden="false" customHeight="true" outlineLevel="0" collapsed="false">
      <c r="A751" s="21" t="n">
        <v>0</v>
      </c>
      <c r="B751" s="21" t="n">
        <v>58</v>
      </c>
      <c r="C751" s="21" t="n">
        <v>5.81</v>
      </c>
      <c r="D751" s="21" t="n">
        <v>7</v>
      </c>
      <c r="E751" s="21" t="s">
        <v>58</v>
      </c>
      <c r="F751" s="21" t="n">
        <v>0</v>
      </c>
      <c r="G751" s="21" t="n">
        <v>1</v>
      </c>
      <c r="H751" s="21" t="s">
        <v>781</v>
      </c>
      <c r="I751" s="21" t="s">
        <v>41</v>
      </c>
    </row>
    <row r="752" customFormat="false" ht="15" hidden="false" customHeight="true" outlineLevel="0" collapsed="false">
      <c r="A752" s="21" t="n">
        <v>0</v>
      </c>
      <c r="B752" s="21" t="n">
        <v>24</v>
      </c>
      <c r="C752" s="21" t="n">
        <v>12.49</v>
      </c>
      <c r="D752" s="21" t="n">
        <v>6</v>
      </c>
      <c r="E752" s="21" t="s">
        <v>58</v>
      </c>
      <c r="F752" s="21" t="n">
        <v>0</v>
      </c>
      <c r="G752" s="21" t="n">
        <v>0</v>
      </c>
      <c r="H752" s="21" t="s">
        <v>782</v>
      </c>
      <c r="I752" s="21" t="s">
        <v>41</v>
      </c>
    </row>
    <row r="753" customFormat="false" ht="15" hidden="false" customHeight="true" outlineLevel="0" collapsed="false">
      <c r="A753" s="21" t="n">
        <v>0</v>
      </c>
      <c r="B753" s="21" t="n">
        <v>44</v>
      </c>
      <c r="C753" s="21" t="n">
        <v>14.97</v>
      </c>
      <c r="D753" s="21" t="n">
        <v>5</v>
      </c>
      <c r="E753" s="21" t="s">
        <v>58</v>
      </c>
      <c r="F753" s="21" t="n">
        <v>1</v>
      </c>
      <c r="G753" s="21" t="n">
        <v>1</v>
      </c>
      <c r="H753" s="21" t="s">
        <v>783</v>
      </c>
      <c r="I753" s="21" t="s">
        <v>41</v>
      </c>
    </row>
    <row r="754" customFormat="false" ht="15" hidden="false" customHeight="true" outlineLevel="0" collapsed="false">
      <c r="A754" s="21" t="n">
        <v>0</v>
      </c>
      <c r="B754" s="21" t="n">
        <v>51</v>
      </c>
      <c r="C754" s="21" t="n">
        <v>4.57</v>
      </c>
      <c r="D754" s="21" t="n">
        <v>5</v>
      </c>
      <c r="E754" s="21" t="s">
        <v>58</v>
      </c>
      <c r="F754" s="21" t="n">
        <v>0</v>
      </c>
      <c r="G754" s="21" t="n">
        <v>1</v>
      </c>
      <c r="H754" s="21" t="s">
        <v>784</v>
      </c>
      <c r="I754" s="21" t="s">
        <v>41</v>
      </c>
    </row>
    <row r="755" customFormat="false" ht="15" hidden="false" customHeight="true" outlineLevel="0" collapsed="false">
      <c r="A755" s="21" t="n">
        <v>0</v>
      </c>
      <c r="B755" s="21" t="n">
        <v>40</v>
      </c>
      <c r="C755" s="21" t="n">
        <v>10.48</v>
      </c>
      <c r="D755" s="21" t="n">
        <v>5</v>
      </c>
      <c r="E755" s="21" t="s">
        <v>58</v>
      </c>
      <c r="F755" s="21" t="n">
        <v>0</v>
      </c>
      <c r="G755" s="21" t="n">
        <v>1</v>
      </c>
      <c r="H755" s="21" t="s">
        <v>785</v>
      </c>
      <c r="I755" s="21" t="s">
        <v>41</v>
      </c>
    </row>
    <row r="756" customFormat="false" ht="15" hidden="false" customHeight="true" outlineLevel="0" collapsed="false">
      <c r="A756" s="21" t="n">
        <v>0</v>
      </c>
      <c r="B756" s="21" t="n">
        <v>44</v>
      </c>
      <c r="C756" s="21" t="n">
        <v>10.55</v>
      </c>
      <c r="D756" s="21" t="n">
        <v>2</v>
      </c>
      <c r="E756" s="21" t="s">
        <v>58</v>
      </c>
      <c r="F756" s="21" t="n">
        <v>0</v>
      </c>
      <c r="G756" s="21" t="n">
        <v>1</v>
      </c>
      <c r="H756" s="21" t="s">
        <v>786</v>
      </c>
      <c r="I756" s="21" t="s">
        <v>41</v>
      </c>
    </row>
    <row r="757" customFormat="false" ht="15" hidden="false" customHeight="true" outlineLevel="0" collapsed="false">
      <c r="A757" s="21" t="n">
        <v>0</v>
      </c>
      <c r="B757" s="21" t="n">
        <v>37</v>
      </c>
      <c r="C757" s="21" t="n">
        <v>3.83</v>
      </c>
      <c r="D757" s="21" t="n">
        <v>5</v>
      </c>
      <c r="E757" s="21" t="s">
        <v>58</v>
      </c>
      <c r="F757" s="21" t="n">
        <v>0</v>
      </c>
      <c r="G757" s="21" t="n">
        <v>1</v>
      </c>
      <c r="H757" s="21" t="s">
        <v>787</v>
      </c>
      <c r="I757" s="21" t="s">
        <v>41</v>
      </c>
    </row>
    <row r="758" customFormat="false" ht="15" hidden="false" customHeight="true" outlineLevel="0" collapsed="false">
      <c r="A758" s="21" t="n">
        <v>0</v>
      </c>
      <c r="B758" s="21" t="n">
        <v>32</v>
      </c>
      <c r="C758" s="21" t="n">
        <v>16.91</v>
      </c>
      <c r="D758" s="21" t="n">
        <v>7</v>
      </c>
      <c r="E758" s="21" t="s">
        <v>58</v>
      </c>
      <c r="F758" s="21" t="n">
        <v>1</v>
      </c>
      <c r="G758" s="21" t="n">
        <v>1</v>
      </c>
      <c r="H758" s="21" t="s">
        <v>788</v>
      </c>
      <c r="I758" s="21" t="s">
        <v>41</v>
      </c>
    </row>
    <row r="759" customFormat="false" ht="15" hidden="false" customHeight="true" outlineLevel="0" collapsed="false">
      <c r="A759" s="21" t="n">
        <v>0</v>
      </c>
      <c r="B759" s="21" t="n">
        <v>50</v>
      </c>
      <c r="C759" s="21" t="n">
        <v>15.2</v>
      </c>
      <c r="D759" s="21" t="n">
        <v>1</v>
      </c>
      <c r="E759" s="21" t="s">
        <v>58</v>
      </c>
      <c r="F759" s="21" t="n">
        <v>0</v>
      </c>
      <c r="G759" s="21" t="n">
        <v>1</v>
      </c>
      <c r="H759" s="21" t="s">
        <v>789</v>
      </c>
      <c r="I759" s="21" t="s">
        <v>41</v>
      </c>
    </row>
    <row r="760" customFormat="false" ht="15" hidden="false" customHeight="true" outlineLevel="0" collapsed="false">
      <c r="A760" s="21" t="n">
        <v>0</v>
      </c>
      <c r="B760" s="21" t="n">
        <v>36</v>
      </c>
      <c r="C760" s="21" t="n">
        <v>15.93</v>
      </c>
      <c r="D760" s="21" t="n">
        <v>1</v>
      </c>
      <c r="E760" s="21" t="s">
        <v>58</v>
      </c>
      <c r="F760" s="21" t="n">
        <v>1</v>
      </c>
      <c r="G760" s="21" t="n">
        <v>1</v>
      </c>
      <c r="H760" s="21" t="s">
        <v>790</v>
      </c>
      <c r="I760" s="21" t="s">
        <v>41</v>
      </c>
    </row>
    <row r="761" customFormat="false" ht="15" hidden="false" customHeight="true" outlineLevel="0" collapsed="false">
      <c r="A761" s="21" t="n">
        <v>0</v>
      </c>
      <c r="B761" s="21" t="n">
        <v>61</v>
      </c>
      <c r="C761" s="21" t="n">
        <v>8.33</v>
      </c>
      <c r="D761" s="21" t="n">
        <v>5</v>
      </c>
      <c r="E761" s="21" t="s">
        <v>58</v>
      </c>
      <c r="F761" s="21" t="n">
        <v>1</v>
      </c>
      <c r="G761" s="21" t="n">
        <v>1</v>
      </c>
      <c r="H761" s="21" t="s">
        <v>791</v>
      </c>
      <c r="I761" s="21" t="s">
        <v>41</v>
      </c>
    </row>
    <row r="762" customFormat="false" ht="15" hidden="false" customHeight="true" outlineLevel="0" collapsed="false">
      <c r="A762" s="21" t="n">
        <v>0</v>
      </c>
      <c r="B762" s="21" t="n">
        <v>49</v>
      </c>
      <c r="C762" s="21" t="n">
        <v>5.39</v>
      </c>
      <c r="D762" s="21" t="n">
        <v>8</v>
      </c>
      <c r="E762" s="21" t="s">
        <v>58</v>
      </c>
      <c r="F762" s="21" t="n">
        <v>0</v>
      </c>
      <c r="G762" s="21" t="n">
        <v>0</v>
      </c>
      <c r="H762" s="21" t="s">
        <v>792</v>
      </c>
      <c r="I762" s="21" t="s">
        <v>41</v>
      </c>
    </row>
    <row r="763" customFormat="false" ht="15" hidden="false" customHeight="true" outlineLevel="0" collapsed="false">
      <c r="A763" s="21" t="n">
        <v>0</v>
      </c>
      <c r="B763" s="21" t="n">
        <v>49</v>
      </c>
      <c r="C763" s="21" t="n">
        <v>6.28</v>
      </c>
      <c r="D763" s="21" t="n">
        <v>1</v>
      </c>
      <c r="E763" s="21" t="s">
        <v>58</v>
      </c>
      <c r="F763" s="21" t="n">
        <v>0</v>
      </c>
      <c r="G763" s="21" t="n">
        <v>1</v>
      </c>
      <c r="H763" s="21" t="s">
        <v>793</v>
      </c>
      <c r="I763" s="21" t="s">
        <v>41</v>
      </c>
    </row>
    <row r="764" customFormat="false" ht="15" hidden="false" customHeight="true" outlineLevel="0" collapsed="false">
      <c r="A764" s="21" t="n">
        <v>0</v>
      </c>
      <c r="B764" s="21" t="n">
        <v>51</v>
      </c>
      <c r="C764" s="21" t="n">
        <v>12.49</v>
      </c>
      <c r="D764" s="21" t="n">
        <v>7</v>
      </c>
      <c r="E764" s="21" t="s">
        <v>58</v>
      </c>
      <c r="F764" s="21" t="n">
        <v>1</v>
      </c>
      <c r="G764" s="21" t="n">
        <v>1</v>
      </c>
      <c r="H764" s="21" t="s">
        <v>794</v>
      </c>
      <c r="I764" s="21" t="s">
        <v>41</v>
      </c>
    </row>
    <row r="765" customFormat="false" ht="15" hidden="false" customHeight="true" outlineLevel="0" collapsed="false">
      <c r="A765" s="21" t="n">
        <v>0</v>
      </c>
      <c r="B765" s="21" t="n">
        <v>30</v>
      </c>
      <c r="C765" s="21" t="n">
        <v>4.12</v>
      </c>
      <c r="D765" s="21" t="n">
        <v>4</v>
      </c>
      <c r="E765" s="21" t="s">
        <v>58</v>
      </c>
      <c r="F765" s="21" t="n">
        <v>0</v>
      </c>
      <c r="G765" s="21" t="n">
        <v>1</v>
      </c>
      <c r="H765" s="21" t="s">
        <v>795</v>
      </c>
      <c r="I765" s="21" t="s">
        <v>41</v>
      </c>
    </row>
    <row r="766" customFormat="false" ht="15" hidden="false" customHeight="true" outlineLevel="0" collapsed="false">
      <c r="A766" s="21" t="n">
        <v>0</v>
      </c>
      <c r="B766" s="21" t="n">
        <v>35</v>
      </c>
      <c r="C766" s="21" t="n">
        <v>14.14</v>
      </c>
      <c r="D766" s="21" t="n">
        <v>2</v>
      </c>
      <c r="E766" s="21" t="s">
        <v>58</v>
      </c>
      <c r="F766" s="21" t="n">
        <v>0</v>
      </c>
      <c r="G766" s="21" t="n">
        <v>1</v>
      </c>
      <c r="H766" s="21" t="s">
        <v>796</v>
      </c>
      <c r="I766" s="21" t="s">
        <v>41</v>
      </c>
    </row>
    <row r="767" customFormat="false" ht="15" hidden="false" customHeight="true" outlineLevel="0" collapsed="false">
      <c r="A767" s="21" t="n">
        <v>0</v>
      </c>
      <c r="B767" s="21" t="n">
        <v>39</v>
      </c>
      <c r="C767" s="21" t="n">
        <v>18.67</v>
      </c>
      <c r="D767" s="21" t="n">
        <v>10</v>
      </c>
      <c r="E767" s="21" t="s">
        <v>58</v>
      </c>
      <c r="F767" s="21" t="n">
        <v>1</v>
      </c>
      <c r="G767" s="21" t="n">
        <v>1</v>
      </c>
      <c r="H767" s="21" t="s">
        <v>797</v>
      </c>
      <c r="I767" s="21" t="s">
        <v>41</v>
      </c>
    </row>
    <row r="768" customFormat="false" ht="15" hidden="false" customHeight="true" outlineLevel="0" collapsed="false">
      <c r="A768" s="21" t="n">
        <v>0</v>
      </c>
      <c r="B768" s="21" t="n">
        <v>34</v>
      </c>
      <c r="C768" s="21" t="n">
        <v>10.38</v>
      </c>
      <c r="D768" s="21" t="n">
        <v>8</v>
      </c>
      <c r="E768" s="21" t="s">
        <v>58</v>
      </c>
      <c r="F768" s="21" t="n">
        <v>0</v>
      </c>
      <c r="G768" s="21" t="n">
        <v>1</v>
      </c>
      <c r="H768" s="21" t="s">
        <v>798</v>
      </c>
      <c r="I768" s="21" t="s">
        <v>41</v>
      </c>
    </row>
    <row r="769" customFormat="false" ht="15" hidden="false" customHeight="true" outlineLevel="0" collapsed="false">
      <c r="A769" s="21" t="n">
        <v>0</v>
      </c>
      <c r="B769" s="21" t="n">
        <v>32</v>
      </c>
      <c r="C769" s="21" t="n">
        <v>14.62</v>
      </c>
      <c r="D769" s="21" t="n">
        <v>5</v>
      </c>
      <c r="E769" s="21" t="s">
        <v>116</v>
      </c>
      <c r="F769" s="21" t="n">
        <v>0</v>
      </c>
      <c r="G769" s="21" t="n">
        <v>1</v>
      </c>
      <c r="H769" s="21" t="s">
        <v>799</v>
      </c>
      <c r="I769" s="21" t="s">
        <v>41</v>
      </c>
    </row>
    <row r="770" customFormat="false" ht="15" hidden="false" customHeight="true" outlineLevel="0" collapsed="false">
      <c r="A770" s="21" t="n">
        <v>0</v>
      </c>
      <c r="B770" s="21" t="n">
        <v>48</v>
      </c>
      <c r="C770" s="21" t="n">
        <v>20.61</v>
      </c>
      <c r="D770" s="21" t="n">
        <v>6</v>
      </c>
      <c r="E770" s="21" t="s">
        <v>116</v>
      </c>
      <c r="F770" s="21" t="n">
        <v>1</v>
      </c>
      <c r="G770" s="21" t="n">
        <v>1</v>
      </c>
      <c r="H770" s="21" t="s">
        <v>375</v>
      </c>
      <c r="I770" s="21" t="s">
        <v>41</v>
      </c>
    </row>
    <row r="771" customFormat="false" ht="15" hidden="false" customHeight="true" outlineLevel="0" collapsed="false">
      <c r="A771" s="21" t="n">
        <v>0</v>
      </c>
      <c r="B771" s="21" t="n">
        <v>33</v>
      </c>
      <c r="C771" s="21" t="n">
        <v>14.49</v>
      </c>
      <c r="D771" s="21" t="n">
        <v>5</v>
      </c>
      <c r="E771" s="21" t="s">
        <v>116</v>
      </c>
      <c r="F771" s="21" t="n">
        <v>1</v>
      </c>
      <c r="G771" s="21" t="n">
        <v>0</v>
      </c>
      <c r="H771" s="21" t="s">
        <v>800</v>
      </c>
      <c r="I771" s="21" t="s">
        <v>41</v>
      </c>
    </row>
    <row r="772" customFormat="false" ht="15" hidden="false" customHeight="true" outlineLevel="0" collapsed="false">
      <c r="A772" s="21" t="n">
        <v>0</v>
      </c>
      <c r="B772" s="21" t="n">
        <v>35</v>
      </c>
      <c r="C772" s="21" t="n">
        <v>14.94</v>
      </c>
      <c r="D772" s="21" t="n">
        <v>7</v>
      </c>
      <c r="E772" s="21" t="s">
        <v>116</v>
      </c>
      <c r="F772" s="21" t="n">
        <v>1</v>
      </c>
      <c r="G772" s="21" t="n">
        <v>1</v>
      </c>
      <c r="H772" s="21" t="s">
        <v>801</v>
      </c>
      <c r="I772" s="21" t="s">
        <v>41</v>
      </c>
    </row>
    <row r="773" customFormat="false" ht="15" hidden="false" customHeight="true" outlineLevel="0" collapsed="false">
      <c r="A773" s="21" t="n">
        <v>0</v>
      </c>
      <c r="B773" s="21" t="n">
        <v>54</v>
      </c>
      <c r="C773" s="21" t="n">
        <v>13.84</v>
      </c>
      <c r="D773" s="21" t="n">
        <v>2</v>
      </c>
      <c r="E773" s="21" t="s">
        <v>116</v>
      </c>
      <c r="F773" s="21" t="n">
        <v>0</v>
      </c>
      <c r="G773" s="21" t="n">
        <v>1</v>
      </c>
      <c r="H773" s="21" t="s">
        <v>802</v>
      </c>
      <c r="I773" s="21" t="s">
        <v>41</v>
      </c>
    </row>
    <row r="774" customFormat="false" ht="15" hidden="false" customHeight="true" outlineLevel="0" collapsed="false">
      <c r="A774" s="21" t="n">
        <v>0</v>
      </c>
      <c r="B774" s="21" t="n">
        <v>60</v>
      </c>
      <c r="C774" s="21" t="n">
        <v>18.08</v>
      </c>
      <c r="D774" s="21" t="n">
        <v>6</v>
      </c>
      <c r="E774" s="21" t="s">
        <v>116</v>
      </c>
      <c r="F774" s="21" t="n">
        <v>0</v>
      </c>
      <c r="G774" s="21" t="n">
        <v>1</v>
      </c>
      <c r="H774" s="21" t="s">
        <v>803</v>
      </c>
      <c r="I774" s="21" t="s">
        <v>41</v>
      </c>
    </row>
    <row r="775" customFormat="false" ht="15" hidden="false" customHeight="true" outlineLevel="0" collapsed="false">
      <c r="A775" s="21" t="n">
        <v>0</v>
      </c>
      <c r="B775" s="21" t="n">
        <v>44</v>
      </c>
      <c r="C775" s="21" t="n">
        <v>8.03</v>
      </c>
      <c r="D775" s="21" t="n">
        <v>6</v>
      </c>
      <c r="E775" s="21" t="s">
        <v>116</v>
      </c>
      <c r="F775" s="21" t="n">
        <v>0</v>
      </c>
      <c r="G775" s="21" t="n">
        <v>1</v>
      </c>
      <c r="H775" s="21" t="s">
        <v>804</v>
      </c>
      <c r="I775" s="21" t="s">
        <v>41</v>
      </c>
    </row>
    <row r="776" customFormat="false" ht="15" hidden="false" customHeight="true" outlineLevel="0" collapsed="false">
      <c r="A776" s="21" t="n">
        <v>0</v>
      </c>
      <c r="B776" s="21" t="n">
        <v>54</v>
      </c>
      <c r="C776" s="21" t="n">
        <v>10.81</v>
      </c>
      <c r="D776" s="21" t="n">
        <v>5</v>
      </c>
      <c r="E776" s="21" t="s">
        <v>116</v>
      </c>
      <c r="F776" s="21" t="n">
        <v>1</v>
      </c>
      <c r="G776" s="21" t="n">
        <v>1</v>
      </c>
      <c r="H776" s="21" t="s">
        <v>593</v>
      </c>
      <c r="I776" s="21" t="s">
        <v>41</v>
      </c>
    </row>
    <row r="777" customFormat="false" ht="15" hidden="false" customHeight="true" outlineLevel="0" collapsed="false">
      <c r="A777" s="21" t="n">
        <v>0</v>
      </c>
      <c r="B777" s="21" t="n">
        <v>43</v>
      </c>
      <c r="C777" s="21" t="n">
        <v>16.79</v>
      </c>
      <c r="D777" s="21" t="n">
        <v>4</v>
      </c>
      <c r="E777" s="21" t="s">
        <v>116</v>
      </c>
      <c r="F777" s="21" t="n">
        <v>1</v>
      </c>
      <c r="G777" s="21" t="n">
        <v>1</v>
      </c>
      <c r="H777" s="21" t="s">
        <v>805</v>
      </c>
      <c r="I777" s="21" t="s">
        <v>41</v>
      </c>
    </row>
    <row r="778" customFormat="false" ht="15" hidden="false" customHeight="true" outlineLevel="0" collapsed="false">
      <c r="A778" s="21" t="n">
        <v>0</v>
      </c>
      <c r="B778" s="21" t="n">
        <v>27</v>
      </c>
      <c r="C778" s="21" t="n">
        <v>14.27</v>
      </c>
      <c r="D778" s="21" t="n">
        <v>3</v>
      </c>
      <c r="E778" s="21" t="s">
        <v>116</v>
      </c>
      <c r="F778" s="21" t="n">
        <v>1</v>
      </c>
      <c r="G778" s="21" t="n">
        <v>1</v>
      </c>
      <c r="H778" s="21" t="s">
        <v>806</v>
      </c>
      <c r="I778" s="21" t="s">
        <v>41</v>
      </c>
    </row>
    <row r="779" customFormat="false" ht="15" hidden="false" customHeight="true" outlineLevel="0" collapsed="false">
      <c r="A779" s="21" t="n">
        <v>0</v>
      </c>
      <c r="B779" s="21" t="n">
        <v>49</v>
      </c>
      <c r="C779" s="21" t="n">
        <v>16.49</v>
      </c>
      <c r="D779" s="21" t="n">
        <v>6</v>
      </c>
      <c r="E779" s="21" t="s">
        <v>116</v>
      </c>
      <c r="F779" s="21" t="n">
        <v>0</v>
      </c>
      <c r="G779" s="21" t="n">
        <v>0</v>
      </c>
      <c r="H779" s="21" t="s">
        <v>807</v>
      </c>
      <c r="I779" s="21" t="s">
        <v>41</v>
      </c>
    </row>
    <row r="780" customFormat="false" ht="15" hidden="false" customHeight="true" outlineLevel="0" collapsed="false">
      <c r="A780" s="21" t="n">
        <v>1</v>
      </c>
      <c r="B780" s="21" t="n">
        <v>47</v>
      </c>
      <c r="C780" s="21" t="n">
        <v>9.87</v>
      </c>
      <c r="D780" s="21" t="n">
        <v>2</v>
      </c>
      <c r="E780" s="21" t="s">
        <v>116</v>
      </c>
      <c r="F780" s="21" t="n">
        <v>0</v>
      </c>
      <c r="G780" s="21" t="n">
        <v>1</v>
      </c>
      <c r="H780" s="21" t="s">
        <v>808</v>
      </c>
      <c r="I780" s="21" t="s">
        <v>41</v>
      </c>
    </row>
    <row r="781" customFormat="false" ht="15" hidden="false" customHeight="true" outlineLevel="0" collapsed="false">
      <c r="A781" s="21" t="n">
        <v>0</v>
      </c>
      <c r="B781" s="21" t="n">
        <v>47</v>
      </c>
      <c r="C781" s="21" t="n">
        <v>15.86</v>
      </c>
      <c r="D781" s="21" t="n">
        <v>7</v>
      </c>
      <c r="E781" s="21" t="s">
        <v>116</v>
      </c>
      <c r="F781" s="21" t="n">
        <v>0</v>
      </c>
      <c r="G781" s="21" t="n">
        <v>0</v>
      </c>
      <c r="H781" s="21" t="s">
        <v>809</v>
      </c>
      <c r="I781" s="21" t="s">
        <v>41</v>
      </c>
    </row>
    <row r="782" customFormat="false" ht="15" hidden="false" customHeight="true" outlineLevel="0" collapsed="false">
      <c r="A782" s="21" t="n">
        <v>0</v>
      </c>
      <c r="B782" s="21" t="n">
        <v>25</v>
      </c>
      <c r="C782" s="21" t="n">
        <v>13.69</v>
      </c>
      <c r="D782" s="21" t="n">
        <v>6</v>
      </c>
      <c r="E782" s="21" t="s">
        <v>116</v>
      </c>
      <c r="F782" s="21" t="n">
        <v>0</v>
      </c>
      <c r="G782" s="21" t="n">
        <v>1</v>
      </c>
      <c r="H782" s="21" t="s">
        <v>171</v>
      </c>
      <c r="I782" s="21" t="s">
        <v>41</v>
      </c>
    </row>
    <row r="783" customFormat="false" ht="15" hidden="false" customHeight="true" outlineLevel="0" collapsed="false">
      <c r="A783" s="21" t="n">
        <v>0</v>
      </c>
      <c r="B783" s="21" t="n">
        <v>26</v>
      </c>
      <c r="C783" s="21" t="n">
        <v>12.8</v>
      </c>
      <c r="D783" s="21" t="n">
        <v>1</v>
      </c>
      <c r="E783" s="21" t="s">
        <v>116</v>
      </c>
      <c r="F783" s="21" t="n">
        <v>0</v>
      </c>
      <c r="G783" s="21" t="n">
        <v>0</v>
      </c>
      <c r="H783" s="21" t="s">
        <v>810</v>
      </c>
      <c r="I783" s="21" t="s">
        <v>41</v>
      </c>
    </row>
    <row r="784" customFormat="false" ht="15" hidden="false" customHeight="true" outlineLevel="0" collapsed="false">
      <c r="A784" s="21" t="n">
        <v>0</v>
      </c>
      <c r="B784" s="21" t="n">
        <v>38</v>
      </c>
      <c r="C784" s="21" t="n">
        <v>12.37</v>
      </c>
      <c r="D784" s="21" t="n">
        <v>6</v>
      </c>
      <c r="E784" s="21" t="s">
        <v>116</v>
      </c>
      <c r="F784" s="21" t="n">
        <v>1</v>
      </c>
      <c r="G784" s="21" t="n">
        <v>1</v>
      </c>
      <c r="H784" s="21" t="s">
        <v>811</v>
      </c>
      <c r="I784" s="21" t="s">
        <v>41</v>
      </c>
    </row>
    <row r="785" customFormat="false" ht="15" hidden="false" customHeight="true" outlineLevel="0" collapsed="false">
      <c r="A785" s="21" t="n">
        <v>0</v>
      </c>
      <c r="B785" s="21" t="n">
        <v>43</v>
      </c>
      <c r="C785" s="21" t="n">
        <v>10.81</v>
      </c>
      <c r="D785" s="21" t="n">
        <v>4</v>
      </c>
      <c r="E785" s="21" t="s">
        <v>116</v>
      </c>
      <c r="F785" s="21" t="n">
        <v>1</v>
      </c>
      <c r="G785" s="21" t="n">
        <v>1</v>
      </c>
      <c r="H785" s="21" t="s">
        <v>812</v>
      </c>
      <c r="I785" s="21" t="s">
        <v>41</v>
      </c>
    </row>
    <row r="786" customFormat="false" ht="15" hidden="false" customHeight="true" outlineLevel="0" collapsed="false">
      <c r="A786" s="21" t="n">
        <v>0</v>
      </c>
      <c r="B786" s="21" t="n">
        <v>54</v>
      </c>
      <c r="C786" s="21" t="n">
        <v>5.82</v>
      </c>
      <c r="D786" s="21" t="n">
        <v>3</v>
      </c>
      <c r="E786" s="21" t="s">
        <v>116</v>
      </c>
      <c r="F786" s="21" t="n">
        <v>0</v>
      </c>
      <c r="G786" s="21" t="n">
        <v>1</v>
      </c>
      <c r="H786" s="21" t="s">
        <v>813</v>
      </c>
      <c r="I786" s="21" t="s">
        <v>41</v>
      </c>
    </row>
    <row r="787" customFormat="false" ht="15" hidden="false" customHeight="true" outlineLevel="0" collapsed="false">
      <c r="A787" s="21" t="n">
        <v>1</v>
      </c>
      <c r="B787" s="21" t="n">
        <v>32</v>
      </c>
      <c r="C787" s="21" t="n">
        <v>7.92</v>
      </c>
      <c r="D787" s="21" t="n">
        <v>10</v>
      </c>
      <c r="E787" s="21" t="s">
        <v>116</v>
      </c>
      <c r="F787" s="21" t="n">
        <v>0</v>
      </c>
      <c r="G787" s="21" t="n">
        <v>0</v>
      </c>
      <c r="H787" s="21" t="s">
        <v>814</v>
      </c>
      <c r="I787" s="21" t="s">
        <v>41</v>
      </c>
    </row>
    <row r="788" customFormat="false" ht="15" hidden="false" customHeight="true" outlineLevel="0" collapsed="false">
      <c r="A788" s="21" t="n">
        <v>1</v>
      </c>
      <c r="B788" s="21" t="n">
        <v>37</v>
      </c>
      <c r="C788" s="21" t="n">
        <v>18.89</v>
      </c>
      <c r="D788" s="21" t="n">
        <v>5</v>
      </c>
      <c r="E788" s="21" t="s">
        <v>116</v>
      </c>
      <c r="F788" s="21" t="n">
        <v>0</v>
      </c>
      <c r="G788" s="21" t="n">
        <v>0</v>
      </c>
      <c r="H788" s="21" t="s">
        <v>815</v>
      </c>
      <c r="I788" s="21" t="s">
        <v>41</v>
      </c>
    </row>
    <row r="789" customFormat="false" ht="15" hidden="false" customHeight="true" outlineLevel="0" collapsed="false">
      <c r="A789" s="21" t="n">
        <v>0</v>
      </c>
      <c r="B789" s="21" t="n">
        <v>32</v>
      </c>
      <c r="C789" s="21" t="n">
        <v>2.97</v>
      </c>
      <c r="D789" s="21" t="n">
        <v>8</v>
      </c>
      <c r="E789" s="21" t="s">
        <v>116</v>
      </c>
      <c r="F789" s="21" t="n">
        <v>0</v>
      </c>
      <c r="G789" s="21" t="n">
        <v>1</v>
      </c>
      <c r="H789" s="21" t="s">
        <v>816</v>
      </c>
      <c r="I789" s="21" t="s">
        <v>41</v>
      </c>
    </row>
    <row r="790" customFormat="false" ht="15" hidden="false" customHeight="true" outlineLevel="0" collapsed="false">
      <c r="A790" s="21" t="n">
        <v>0</v>
      </c>
      <c r="B790" s="21" t="n">
        <v>29</v>
      </c>
      <c r="C790" s="21" t="n">
        <v>6.42</v>
      </c>
      <c r="D790" s="21" t="n">
        <v>7</v>
      </c>
      <c r="E790" s="21" t="s">
        <v>116</v>
      </c>
      <c r="F790" s="21" t="n">
        <v>0</v>
      </c>
      <c r="G790" s="21" t="n">
        <v>1</v>
      </c>
      <c r="H790" s="21" t="s">
        <v>817</v>
      </c>
      <c r="I790" s="21" t="s">
        <v>41</v>
      </c>
    </row>
    <row r="791" customFormat="false" ht="15" hidden="false" customHeight="true" outlineLevel="0" collapsed="false">
      <c r="A791" s="21" t="n">
        <v>0</v>
      </c>
      <c r="B791" s="21" t="n">
        <v>59</v>
      </c>
      <c r="C791" s="21" t="n">
        <v>13.42</v>
      </c>
      <c r="D791" s="21" t="n">
        <v>2</v>
      </c>
      <c r="E791" s="21" t="s">
        <v>116</v>
      </c>
      <c r="F791" s="21" t="n">
        <v>1</v>
      </c>
      <c r="G791" s="21" t="n">
        <v>0</v>
      </c>
      <c r="H791" s="21" t="s">
        <v>818</v>
      </c>
      <c r="I791" s="21" t="s">
        <v>41</v>
      </c>
    </row>
    <row r="792" customFormat="false" ht="15" hidden="false" customHeight="true" outlineLevel="0" collapsed="false">
      <c r="A792" s="21" t="n">
        <v>0</v>
      </c>
      <c r="B792" s="21" t="n">
        <v>48</v>
      </c>
      <c r="C792" s="21" t="n">
        <v>15.47</v>
      </c>
      <c r="D792" s="21" t="n">
        <v>3</v>
      </c>
      <c r="E792" s="21" t="s">
        <v>116</v>
      </c>
      <c r="F792" s="21" t="n">
        <v>1</v>
      </c>
      <c r="G792" s="21" t="n">
        <v>1</v>
      </c>
      <c r="H792" s="21" t="s">
        <v>819</v>
      </c>
      <c r="I792" s="21" t="s">
        <v>41</v>
      </c>
    </row>
    <row r="793" customFormat="false" ht="15" hidden="false" customHeight="true" outlineLevel="0" collapsed="false">
      <c r="A793" s="21" t="n">
        <v>0</v>
      </c>
      <c r="B793" s="21" t="n">
        <v>37</v>
      </c>
      <c r="C793" s="21" t="n">
        <v>4.92</v>
      </c>
      <c r="D793" s="21" t="n">
        <v>10</v>
      </c>
      <c r="E793" s="21" t="s">
        <v>116</v>
      </c>
      <c r="F793" s="21" t="n">
        <v>1</v>
      </c>
      <c r="G793" s="21" t="n">
        <v>1</v>
      </c>
      <c r="H793" s="21" t="s">
        <v>820</v>
      </c>
      <c r="I793" s="21" t="s">
        <v>41</v>
      </c>
    </row>
    <row r="794" customFormat="false" ht="15" hidden="false" customHeight="true" outlineLevel="0" collapsed="false">
      <c r="A794" s="21" t="n">
        <v>0</v>
      </c>
      <c r="B794" s="21" t="n">
        <v>54</v>
      </c>
      <c r="C794" s="21" t="n">
        <v>14.85</v>
      </c>
      <c r="D794" s="21" t="n">
        <v>2</v>
      </c>
      <c r="E794" s="21" t="s">
        <v>116</v>
      </c>
      <c r="F794" s="21" t="n">
        <v>0</v>
      </c>
      <c r="G794" s="21" t="n">
        <v>0</v>
      </c>
      <c r="H794" s="21" t="s">
        <v>821</v>
      </c>
      <c r="I794" s="21" t="s">
        <v>41</v>
      </c>
    </row>
    <row r="795" customFormat="false" ht="15" hidden="false" customHeight="true" outlineLevel="0" collapsed="false">
      <c r="A795" s="21" t="n">
        <v>0</v>
      </c>
      <c r="B795" s="21" t="n">
        <v>31</v>
      </c>
      <c r="C795" s="21" t="n">
        <v>16.25</v>
      </c>
      <c r="D795" s="21" t="n">
        <v>2</v>
      </c>
      <c r="E795" s="21" t="s">
        <v>116</v>
      </c>
      <c r="F795" s="21" t="n">
        <v>0</v>
      </c>
      <c r="G795" s="21" t="n">
        <v>0</v>
      </c>
      <c r="H795" s="21" t="s">
        <v>822</v>
      </c>
      <c r="I795" s="21" t="s">
        <v>41</v>
      </c>
    </row>
    <row r="796" customFormat="false" ht="15" hidden="false" customHeight="true" outlineLevel="0" collapsed="false">
      <c r="A796" s="21" t="n">
        <v>1</v>
      </c>
      <c r="B796" s="21" t="n">
        <v>56</v>
      </c>
      <c r="C796" s="21" t="n">
        <v>10.38</v>
      </c>
      <c r="D796" s="21" t="n">
        <v>7</v>
      </c>
      <c r="E796" s="21" t="s">
        <v>116</v>
      </c>
      <c r="F796" s="21" t="n">
        <v>1</v>
      </c>
      <c r="G796" s="21" t="n">
        <v>0</v>
      </c>
      <c r="H796" s="21" t="s">
        <v>172</v>
      </c>
      <c r="I796" s="21" t="s">
        <v>41</v>
      </c>
    </row>
    <row r="797" customFormat="false" ht="15" hidden="false" customHeight="true" outlineLevel="0" collapsed="false">
      <c r="A797" s="21" t="n">
        <v>0</v>
      </c>
      <c r="B797" s="21" t="n">
        <v>68</v>
      </c>
      <c r="C797" s="21" t="n">
        <v>14.89</v>
      </c>
      <c r="D797" s="21" t="n">
        <v>6</v>
      </c>
      <c r="E797" s="21" t="s">
        <v>116</v>
      </c>
      <c r="F797" s="21" t="n">
        <v>0</v>
      </c>
      <c r="G797" s="21" t="n">
        <v>1</v>
      </c>
      <c r="H797" s="21" t="s">
        <v>823</v>
      </c>
      <c r="I797" s="21" t="s">
        <v>41</v>
      </c>
    </row>
    <row r="798" customFormat="false" ht="15" hidden="false" customHeight="true" outlineLevel="0" collapsed="false">
      <c r="A798" s="21" t="n">
        <v>0</v>
      </c>
      <c r="B798" s="21" t="n">
        <v>37</v>
      </c>
      <c r="C798" s="21" t="n">
        <v>9.95</v>
      </c>
      <c r="D798" s="21" t="n">
        <v>8</v>
      </c>
      <c r="E798" s="21" t="s">
        <v>116</v>
      </c>
      <c r="F798" s="21" t="n">
        <v>0</v>
      </c>
      <c r="G798" s="21" t="n">
        <v>0</v>
      </c>
      <c r="H798" s="21" t="s">
        <v>824</v>
      </c>
      <c r="I798" s="21" t="s">
        <v>41</v>
      </c>
    </row>
    <row r="799" customFormat="false" ht="15" hidden="false" customHeight="true" outlineLevel="0" collapsed="false">
      <c r="A799" s="21" t="n">
        <v>0</v>
      </c>
      <c r="B799" s="21" t="n">
        <v>24</v>
      </c>
      <c r="C799" s="21" t="n">
        <v>14.34</v>
      </c>
      <c r="D799" s="21" t="n">
        <v>6</v>
      </c>
      <c r="E799" s="21" t="s">
        <v>116</v>
      </c>
      <c r="F799" s="21" t="n">
        <v>0</v>
      </c>
      <c r="G799" s="21" t="n">
        <v>0</v>
      </c>
      <c r="H799" s="21" t="s">
        <v>825</v>
      </c>
      <c r="I799" s="21" t="s">
        <v>41</v>
      </c>
    </row>
    <row r="800" customFormat="false" ht="15" hidden="false" customHeight="true" outlineLevel="0" collapsed="false">
      <c r="A800" s="21" t="n">
        <v>0</v>
      </c>
      <c r="B800" s="21" t="n">
        <v>42</v>
      </c>
      <c r="C800" s="21" t="n">
        <v>7.04</v>
      </c>
      <c r="D800" s="21" t="n">
        <v>12</v>
      </c>
      <c r="E800" s="21" t="s">
        <v>116</v>
      </c>
      <c r="F800" s="21" t="n">
        <v>0</v>
      </c>
      <c r="G800" s="21" t="n">
        <v>1</v>
      </c>
      <c r="H800" s="21" t="s">
        <v>826</v>
      </c>
      <c r="I800" s="21" t="s">
        <v>41</v>
      </c>
    </row>
    <row r="801" customFormat="false" ht="15" hidden="false" customHeight="true" outlineLevel="0" collapsed="false">
      <c r="A801" s="21" t="n">
        <v>0</v>
      </c>
      <c r="B801" s="21" t="n">
        <v>58</v>
      </c>
      <c r="C801" s="21" t="n">
        <v>10.59</v>
      </c>
      <c r="D801" s="21" t="n">
        <v>8</v>
      </c>
      <c r="E801" s="21" t="s">
        <v>116</v>
      </c>
      <c r="F801" s="21" t="n">
        <v>1</v>
      </c>
      <c r="G801" s="21" t="n">
        <v>0</v>
      </c>
      <c r="H801" s="21" t="s">
        <v>827</v>
      </c>
      <c r="I801" s="21" t="s">
        <v>41</v>
      </c>
    </row>
    <row r="802" customFormat="false" ht="15" hidden="false" customHeight="true" outlineLevel="0" collapsed="false">
      <c r="A802" s="21" t="n">
        <v>0</v>
      </c>
      <c r="B802" s="21" t="n">
        <v>62</v>
      </c>
      <c r="C802" s="21" t="n">
        <v>18.83</v>
      </c>
      <c r="D802" s="21" t="n">
        <v>1</v>
      </c>
      <c r="E802" s="21" t="s">
        <v>116</v>
      </c>
      <c r="F802" s="21" t="n">
        <v>1</v>
      </c>
      <c r="G802" s="21" t="n">
        <v>0</v>
      </c>
      <c r="H802" s="21" t="s">
        <v>828</v>
      </c>
      <c r="I802" s="21" t="s">
        <v>41</v>
      </c>
    </row>
    <row r="803" customFormat="false" ht="15" hidden="false" customHeight="true" outlineLevel="0" collapsed="false">
      <c r="A803" s="21" t="n">
        <v>0</v>
      </c>
      <c r="B803" s="21" t="n">
        <v>27</v>
      </c>
      <c r="C803" s="21" t="n">
        <v>15.18</v>
      </c>
      <c r="D803" s="21" t="n">
        <v>3</v>
      </c>
      <c r="E803" s="21" t="s">
        <v>116</v>
      </c>
      <c r="F803" s="21" t="n">
        <v>0</v>
      </c>
      <c r="G803" s="21" t="n">
        <v>0</v>
      </c>
      <c r="H803" s="21" t="s">
        <v>829</v>
      </c>
      <c r="I803" s="21" t="s">
        <v>41</v>
      </c>
    </row>
  </sheetData>
  <mergeCells count="1">
    <mergeCell ref="A1:I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8"/>
    <col collapsed="false" customWidth="true" hidden="false" outlineLevel="0" max="4" min="4" style="1" width="22"/>
    <col collapsed="false" customWidth="true" hidden="false" outlineLevel="0" max="5" min="5" style="1" width="28"/>
    <col collapsed="false" customWidth="true" hidden="false" outlineLevel="0" max="6" min="6" style="1" width="11"/>
    <col collapsed="false" customWidth="true" hidden="false" outlineLevel="0" max="7" min="7" style="1" width="28"/>
    <col collapsed="false" customWidth="true" hidden="false" outlineLevel="0" max="8" min="8" style="1" width="10"/>
    <col collapsed="false" customWidth="true" hidden="false" outlineLevel="0" max="9" min="9" style="1" width="28"/>
    <col collapsed="false" customWidth="true" hidden="false" outlineLevel="0" max="10" min="10" style="1" width="10"/>
    <col collapsed="false" customWidth="true" hidden="false" outlineLevel="0" max="12" min="11" style="1" width="28"/>
  </cols>
  <sheetData>
    <row r="1" customFormat="false" ht="19.5" hidden="false" customHeight="true" outlineLevel="0" collapsed="false">
      <c r="A1" s="22" t="s">
        <v>830</v>
      </c>
      <c r="B1" s="22"/>
      <c r="C1" s="22"/>
      <c r="D1" s="22"/>
      <c r="E1" s="22"/>
      <c r="F1" s="22"/>
      <c r="G1" s="22"/>
      <c r="H1" s="22"/>
      <c r="I1" s="22"/>
      <c r="J1" s="22"/>
      <c r="K1" s="22"/>
      <c r="L1" s="22"/>
    </row>
    <row r="2" customFormat="false" ht="15" hidden="false" customHeight="true" outlineLevel="0" collapsed="false">
      <c r="A2" s="23" t="s">
        <v>831</v>
      </c>
      <c r="B2" s="23"/>
      <c r="C2" s="23"/>
      <c r="D2" s="23"/>
      <c r="E2" s="23"/>
      <c r="F2" s="23"/>
      <c r="G2" s="23"/>
      <c r="H2" s="23"/>
      <c r="I2" s="23"/>
      <c r="J2" s="23"/>
      <c r="K2" s="23"/>
      <c r="L2" s="23"/>
    </row>
    <row r="4" customFormat="false" ht="15" hidden="false" customHeight="true" outlineLevel="0" collapsed="false">
      <c r="A4" s="7" t="s">
        <v>28</v>
      </c>
      <c r="B4" s="7" t="s">
        <v>29</v>
      </c>
      <c r="C4" s="7" t="s">
        <v>832</v>
      </c>
      <c r="D4" s="7" t="s">
        <v>833</v>
      </c>
      <c r="E4" s="7" t="s">
        <v>834</v>
      </c>
      <c r="F4" s="7" t="s">
        <v>835</v>
      </c>
      <c r="G4" s="7" t="s">
        <v>32</v>
      </c>
      <c r="H4" s="7" t="s">
        <v>836</v>
      </c>
      <c r="I4" s="7" t="s">
        <v>837</v>
      </c>
      <c r="J4" s="7" t="s">
        <v>838</v>
      </c>
      <c r="K4" s="7" t="s">
        <v>34</v>
      </c>
      <c r="L4" s="7" t="s">
        <v>35</v>
      </c>
    </row>
    <row r="5" customFormat="false" ht="15" hidden="false" customHeight="true" outlineLevel="0" collapsed="false">
      <c r="A5" s="12" t="s">
        <v>39</v>
      </c>
      <c r="B5" s="12" t="n">
        <f aca="false">COUNTIF(Data!$I$4:$I$803,A5)</f>
        <v>100</v>
      </c>
      <c r="C5" s="12" t="n">
        <f aca="false">SUMIF(Data!$I$4:$I$803,A5,Data!$A$4:$A$803)</f>
        <v>10</v>
      </c>
      <c r="D5" s="14" t="n">
        <f aca="false">IF(B5=0,0,C5/B5)</f>
        <v>0.1</v>
      </c>
      <c r="E5" s="24" t="n">
        <f aca="false">AVERAGEIF(Data!$I$4:$I$803,A5,Data!$B$4:$B$803)</f>
        <v>5.2</v>
      </c>
      <c r="F5" s="25" t="n">
        <v>4.89</v>
      </c>
      <c r="G5" s="24" t="n">
        <f aca="false">AVERAGEIF(Data!$I$4:$I$803,A5,Data!$D$4:$D$803)</f>
        <v>3.11</v>
      </c>
      <c r="H5" s="25" t="n">
        <v>1.56</v>
      </c>
      <c r="I5" s="24" t="n">
        <f aca="false">AVERAGEIF(Data!$I$4:$I$803,A5,Data!$C$4:$C$803)</f>
        <v>3.0738</v>
      </c>
      <c r="J5" s="25" t="n">
        <v>1.81</v>
      </c>
      <c r="K5" s="14" t="n">
        <f aca="false">AVERAGEIF(Data!$I$4:$I$803,A5,Data!$F$4:$F$803)</f>
        <v>0.32</v>
      </c>
      <c r="L5" s="14" t="n">
        <f aca="false">AVERAGEIF(Data!$I$4:$I$803,A5,Data!$G$4:$G$803)</f>
        <v>0.32</v>
      </c>
    </row>
    <row r="6" customFormat="false" ht="15" hidden="false" customHeight="true" outlineLevel="0" collapsed="false">
      <c r="A6" s="12" t="s">
        <v>43</v>
      </c>
      <c r="B6" s="12" t="n">
        <f aca="false">COUNTIF(Data!$I$4:$I$803,A6)</f>
        <v>100</v>
      </c>
      <c r="C6" s="12" t="n">
        <f aca="false">SUMIF(Data!$I$4:$I$803,A6,Data!$A$4:$A$803)</f>
        <v>3</v>
      </c>
      <c r="D6" s="14" t="n">
        <f aca="false">IF(B6=0,0,C6/B6)</f>
        <v>0.03</v>
      </c>
      <c r="E6" s="24" t="n">
        <f aca="false">AVERAGEIF(Data!$I$4:$I$803,A6,Data!$B$4:$B$803)</f>
        <v>74.26</v>
      </c>
      <c r="F6" s="25" t="n">
        <v>10.99</v>
      </c>
      <c r="G6" s="24" t="n">
        <f aca="false">AVERAGEIF(Data!$I$4:$I$803,A6,Data!$D$4:$D$803)</f>
        <v>4.16</v>
      </c>
      <c r="H6" s="25" t="n">
        <v>2.87</v>
      </c>
      <c r="I6" s="24" t="n">
        <f aca="false">AVERAGEIF(Data!$I$4:$I$803,A6,Data!$C$4:$C$803)</f>
        <v>18.001</v>
      </c>
      <c r="J6" s="25" t="n">
        <v>4.22</v>
      </c>
      <c r="K6" s="14" t="n">
        <f aca="false">AVERAGEIF(Data!$I$4:$I$803,A6,Data!$F$4:$F$803)</f>
        <v>0.36</v>
      </c>
      <c r="L6" s="14" t="n">
        <f aca="false">AVERAGEIF(Data!$I$4:$I$803,A6,Data!$G$4:$G$803)</f>
        <v>0.72</v>
      </c>
    </row>
    <row r="7" customFormat="false" ht="15" hidden="false" customHeight="true" outlineLevel="0" collapsed="false">
      <c r="A7" s="12" t="s">
        <v>38</v>
      </c>
      <c r="B7" s="12" t="n">
        <f aca="false">COUNTIF(Data!$I$4:$I$803,A7)</f>
        <v>100</v>
      </c>
      <c r="C7" s="12" t="n">
        <f aca="false">SUMIF(Data!$I$4:$I$803,A7,Data!$A$4:$A$803)</f>
        <v>13</v>
      </c>
      <c r="D7" s="14" t="n">
        <f aca="false">IF(B7=0,0,C7/B7)</f>
        <v>0.13</v>
      </c>
      <c r="E7" s="24" t="n">
        <f aca="false">AVERAGEIF(Data!$I$4:$I$803,A7,Data!$B$4:$B$803)</f>
        <v>44.16</v>
      </c>
      <c r="F7" s="25" t="n">
        <v>9.42</v>
      </c>
      <c r="G7" s="24" t="n">
        <f aca="false">AVERAGEIF(Data!$I$4:$I$803,A7,Data!$D$4:$D$803)</f>
        <v>4.09</v>
      </c>
      <c r="H7" s="25" t="n">
        <v>1.48</v>
      </c>
      <c r="I7" s="24" t="n">
        <f aca="false">AVERAGEIF(Data!$I$4:$I$803,A7,Data!$C$4:$C$803)</f>
        <v>9.26</v>
      </c>
      <c r="J7" s="25" t="n">
        <v>3</v>
      </c>
      <c r="K7" s="14" t="n">
        <f aca="false">AVERAGEIF(Data!$I$4:$I$803,A7,Data!$F$4:$F$803)</f>
        <v>0.33</v>
      </c>
      <c r="L7" s="14" t="n">
        <f aca="false">AVERAGEIF(Data!$I$4:$I$803,A7,Data!$G$4:$G$803)</f>
        <v>0.31</v>
      </c>
    </row>
    <row r="8" customFormat="false" ht="15" hidden="false" customHeight="true" outlineLevel="0" collapsed="false">
      <c r="A8" s="12" t="s">
        <v>37</v>
      </c>
      <c r="B8" s="12" t="n">
        <f aca="false">COUNTIF(Data!$I$4:$I$803,A8)</f>
        <v>100</v>
      </c>
      <c r="C8" s="12" t="n">
        <f aca="false">SUMIF(Data!$I$4:$I$803,A8,Data!$A$4:$A$803)</f>
        <v>14</v>
      </c>
      <c r="D8" s="14" t="n">
        <f aca="false">IF(B8=0,0,C8/B8)</f>
        <v>0.14</v>
      </c>
      <c r="E8" s="24" t="n">
        <f aca="false">AVERAGEIF(Data!$I$4:$I$803,A8,Data!$B$4:$B$803)</f>
        <v>60.35</v>
      </c>
      <c r="F8" s="25" t="n">
        <v>4.97</v>
      </c>
      <c r="G8" s="24" t="n">
        <f aca="false">AVERAGEIF(Data!$I$4:$I$803,A8,Data!$D$4:$D$803)</f>
        <v>4.3</v>
      </c>
      <c r="H8" s="25" t="n">
        <v>2.55</v>
      </c>
      <c r="I8" s="24" t="n">
        <f aca="false">AVERAGEIF(Data!$I$4:$I$803,A8,Data!$C$4:$C$803)</f>
        <v>9.0941</v>
      </c>
      <c r="J8" s="25" t="n">
        <v>2.56</v>
      </c>
      <c r="K8" s="14" t="n">
        <f aca="false">AVERAGEIF(Data!$I$4:$I$803,A8,Data!$F$4:$F$803)</f>
        <v>0.54</v>
      </c>
      <c r="L8" s="14" t="n">
        <f aca="false">AVERAGEIF(Data!$I$4:$I$803,A8,Data!$G$4:$G$803)</f>
        <v>0.12</v>
      </c>
    </row>
    <row r="9" customFormat="false" ht="15" hidden="false" customHeight="true" outlineLevel="0" collapsed="false">
      <c r="A9" s="12" t="s">
        <v>36</v>
      </c>
      <c r="B9" s="12" t="n">
        <f aca="false">COUNTIF(Data!$I$4:$I$803,A9)</f>
        <v>100</v>
      </c>
      <c r="C9" s="12" t="n">
        <f aca="false">SUMIF(Data!$I$4:$I$803,A9,Data!$A$4:$A$803)</f>
        <v>16</v>
      </c>
      <c r="D9" s="14" t="n">
        <f aca="false">IF(B9=0,0,C9/B9)</f>
        <v>0.16</v>
      </c>
      <c r="E9" s="24" t="n">
        <f aca="false">AVERAGEIF(Data!$I$4:$I$803,A9,Data!$B$4:$B$803)</f>
        <v>55.16</v>
      </c>
      <c r="F9" s="25" t="n">
        <v>8.92</v>
      </c>
      <c r="G9" s="24" t="n">
        <f aca="false">AVERAGEIF(Data!$I$4:$I$803,A9,Data!$D$4:$D$803)</f>
        <v>7.01</v>
      </c>
      <c r="H9" s="25" t="n">
        <v>3.11</v>
      </c>
      <c r="I9" s="24" t="n">
        <f aca="false">AVERAGEIF(Data!$I$4:$I$803,A9,Data!$C$4:$C$803)</f>
        <v>4.2361</v>
      </c>
      <c r="J9" s="25" t="n">
        <v>2.08</v>
      </c>
      <c r="K9" s="14" t="n">
        <f aca="false">AVERAGEIF(Data!$I$4:$I$803,A9,Data!$F$4:$F$803)</f>
        <v>0.24</v>
      </c>
      <c r="L9" s="14" t="n">
        <f aca="false">AVERAGEIF(Data!$I$4:$I$803,A9,Data!$G$4:$G$803)</f>
        <v>0.14</v>
      </c>
    </row>
    <row r="10" customFormat="false" ht="15" hidden="false" customHeight="true" outlineLevel="0" collapsed="false">
      <c r="A10" s="12" t="s">
        <v>40</v>
      </c>
      <c r="B10" s="12" t="n">
        <f aca="false">COUNTIF(Data!$I$4:$I$803,A10)</f>
        <v>100</v>
      </c>
      <c r="C10" s="12" t="n">
        <f aca="false">SUMIF(Data!$I$4:$I$803,A10,Data!$A$4:$A$803)</f>
        <v>7</v>
      </c>
      <c r="D10" s="14" t="n">
        <f aca="false">IF(B10=0,0,C10/B10)</f>
        <v>0.07</v>
      </c>
      <c r="E10" s="24" t="n">
        <f aca="false">AVERAGEIF(Data!$I$4:$I$803,A10,Data!$B$4:$B$803)</f>
        <v>11.85</v>
      </c>
      <c r="F10" s="25" t="n">
        <v>3.19</v>
      </c>
      <c r="G10" s="24" t="n">
        <f aca="false">AVERAGEIF(Data!$I$4:$I$803,A10,Data!$D$4:$D$803)</f>
        <v>3.01</v>
      </c>
      <c r="H10" s="25" t="n">
        <v>1.04</v>
      </c>
      <c r="I10" s="24" t="n">
        <f aca="false">AVERAGEIF(Data!$I$4:$I$803,A10,Data!$C$4:$C$803)</f>
        <v>2.1257</v>
      </c>
      <c r="J10" s="25" t="n">
        <v>0.92</v>
      </c>
      <c r="K10" s="14" t="n">
        <f aca="false">AVERAGEIF(Data!$I$4:$I$803,A10,Data!$F$4:$F$803)</f>
        <v>0.81</v>
      </c>
      <c r="L10" s="14" t="n">
        <f aca="false">AVERAGEIF(Data!$I$4:$I$803,A10,Data!$G$4:$G$803)</f>
        <v>0.41</v>
      </c>
    </row>
    <row r="11" customFormat="false" ht="15" hidden="false" customHeight="true" outlineLevel="0" collapsed="false">
      <c r="A11" s="12" t="s">
        <v>42</v>
      </c>
      <c r="B11" s="12" t="n">
        <f aca="false">COUNTIF(Data!$I$4:$I$803,A11)</f>
        <v>100</v>
      </c>
      <c r="C11" s="12" t="n">
        <f aca="false">SUMIF(Data!$I$4:$I$803,A11,Data!$A$4:$A$803)</f>
        <v>4</v>
      </c>
      <c r="D11" s="14" t="n">
        <f aca="false">IF(B11=0,0,C11/B11)</f>
        <v>0.04</v>
      </c>
      <c r="E11" s="24" t="n">
        <f aca="false">AVERAGEIF(Data!$I$4:$I$803,A11,Data!$B$4:$B$803)</f>
        <v>30.92</v>
      </c>
      <c r="F11" s="25" t="n">
        <v>8.65</v>
      </c>
      <c r="G11" s="24" t="n">
        <f aca="false">AVERAGEIF(Data!$I$4:$I$803,A11,Data!$D$4:$D$803)</f>
        <v>2.11</v>
      </c>
      <c r="H11" s="25" t="n">
        <v>0.92</v>
      </c>
      <c r="I11" s="24" t="n">
        <f aca="false">AVERAGEIF(Data!$I$4:$I$803,A11,Data!$C$4:$C$803)</f>
        <v>3.6041</v>
      </c>
      <c r="J11" s="25" t="n">
        <v>1.75</v>
      </c>
      <c r="K11" s="14" t="n">
        <f aca="false">AVERAGEIF(Data!$I$4:$I$803,A11,Data!$F$4:$F$803)</f>
        <v>0.32</v>
      </c>
      <c r="L11" s="14" t="n">
        <f aca="false">AVERAGEIF(Data!$I$4:$I$803,A11,Data!$G$4:$G$803)</f>
        <v>0.3</v>
      </c>
    </row>
    <row r="12" customFormat="false" ht="15" hidden="false" customHeight="true" outlineLevel="0" collapsed="false">
      <c r="A12" s="12" t="s">
        <v>41</v>
      </c>
      <c r="B12" s="12" t="n">
        <f aca="false">COUNTIF(Data!$I$4:$I$803,A12)</f>
        <v>100</v>
      </c>
      <c r="C12" s="12" t="n">
        <f aca="false">SUMIF(Data!$I$4:$I$803,A12,Data!$A$4:$A$803)</f>
        <v>6</v>
      </c>
      <c r="D12" s="14" t="n">
        <f aca="false">IF(B12=0,0,C12/B12)</f>
        <v>0.06</v>
      </c>
      <c r="E12" s="24" t="n">
        <f aca="false">AVERAGEIF(Data!$I$4:$I$803,A12,Data!$B$4:$B$803)</f>
        <v>40.82</v>
      </c>
      <c r="F12" s="25" t="n">
        <v>12.86</v>
      </c>
      <c r="G12" s="24" t="n">
        <f aca="false">AVERAGEIF(Data!$I$4:$I$803,A12,Data!$D$4:$D$803)</f>
        <v>4.99</v>
      </c>
      <c r="H12" s="25" t="n">
        <v>2.72</v>
      </c>
      <c r="I12" s="24" t="n">
        <f aca="false">AVERAGEIF(Data!$I$4:$I$803,A12,Data!$C$4:$C$803)</f>
        <v>11.8742</v>
      </c>
      <c r="J12" s="25" t="n">
        <v>4.77</v>
      </c>
      <c r="K12" s="14" t="n">
        <f aca="false">AVERAGEIF(Data!$I$4:$I$803,A12,Data!$F$4:$F$803)</f>
        <v>0.36</v>
      </c>
      <c r="L12" s="14" t="n">
        <f aca="false">AVERAGEIF(Data!$I$4:$I$803,A12,Data!$G$4:$G$803)</f>
        <v>0.69</v>
      </c>
    </row>
    <row r="13" customFormat="false" ht="15" hidden="false" customHeight="true" outlineLevel="0" collapsed="false">
      <c r="A13" s="26" t="s">
        <v>839</v>
      </c>
      <c r="B13" s="27" t="n">
        <f aca="false">SUM(B5:B12)</f>
        <v>800</v>
      </c>
      <c r="C13" s="27" t="n">
        <f aca="false">SUM(C5:C12)</f>
        <v>73</v>
      </c>
      <c r="D13" s="28" t="n">
        <f aca="false">C13/B13</f>
        <v>0.09125</v>
      </c>
      <c r="E13" s="29" t="n">
        <f aca="false">AVERAGE(Data!B4:B803)</f>
        <v>40.34</v>
      </c>
      <c r="F13" s="30"/>
      <c r="G13" s="30"/>
      <c r="H13" s="30"/>
      <c r="I13" s="30"/>
      <c r="J13" s="30"/>
      <c r="K13" s="30"/>
      <c r="L13" s="30"/>
    </row>
    <row r="15" customFormat="false" ht="15" hidden="false" customHeight="true" outlineLevel="0" collapsed="false">
      <c r="A15" s="20" t="s">
        <v>840</v>
      </c>
      <c r="B15" s="20"/>
      <c r="C15" s="20"/>
      <c r="D15" s="20"/>
      <c r="E15" s="20"/>
      <c r="F15" s="20"/>
      <c r="G15" s="20"/>
      <c r="H15" s="20"/>
      <c r="I15" s="20"/>
      <c r="J15" s="20"/>
      <c r="K15" s="20"/>
      <c r="L15" s="20"/>
    </row>
    <row r="17" customFormat="false" ht="15" hidden="false" customHeight="true" outlineLevel="0" collapsed="false">
      <c r="A17" s="31" t="s">
        <v>841</v>
      </c>
    </row>
    <row r="18" customFormat="false" ht="15" hidden="false" customHeight="true" outlineLevel="0" collapsed="false">
      <c r="A18" s="1" t="s">
        <v>842</v>
      </c>
      <c r="B18" s="7" t="s">
        <v>28</v>
      </c>
      <c r="C18" s="7" t="s">
        <v>833</v>
      </c>
      <c r="D18" s="7" t="s">
        <v>843</v>
      </c>
      <c r="E18" s="7" t="s">
        <v>844</v>
      </c>
    </row>
    <row r="19" customFormat="false" ht="15" hidden="false" customHeight="true" outlineLevel="0" collapsed="false">
      <c r="B19" s="32" t="s">
        <v>39</v>
      </c>
      <c r="C19" s="33" t="n">
        <f aca="false">VLOOKUP(B19,A5:D12,4,FALSE())</f>
        <v>0.1</v>
      </c>
      <c r="D19" s="33" t="n">
        <f aca="false">C19-0.08</f>
        <v>0.02</v>
      </c>
      <c r="E19" s="32" t="str">
        <f aca="false">IF(D19&gt;0,"Above","Below or equal")</f>
        <v>Above</v>
      </c>
    </row>
    <row r="20" customFormat="false" ht="15" hidden="false" customHeight="true" outlineLevel="0" collapsed="false">
      <c r="B20" s="32" t="s">
        <v>43</v>
      </c>
      <c r="C20" s="33" t="n">
        <f aca="false">VLOOKUP(B20,A5:D12,4,FALSE())</f>
        <v>0.03</v>
      </c>
      <c r="D20" s="33" t="n">
        <f aca="false">C20-0.08</f>
        <v>-0.05</v>
      </c>
      <c r="E20" s="32" t="str">
        <f aca="false">IF(D20&gt;0,"Above","Below or equal")</f>
        <v>Below or equal</v>
      </c>
    </row>
    <row r="21" customFormat="false" ht="15" hidden="false" customHeight="true" outlineLevel="0" collapsed="false">
      <c r="B21" s="32" t="s">
        <v>38</v>
      </c>
      <c r="C21" s="33" t="n">
        <f aca="false">VLOOKUP(B21,A5:D12,4,FALSE())</f>
        <v>0.13</v>
      </c>
      <c r="D21" s="33" t="n">
        <f aca="false">C21-0.08</f>
        <v>0.05</v>
      </c>
      <c r="E21" s="32" t="str">
        <f aca="false">IF(D21&gt;0,"Above","Below or equal")</f>
        <v>Above</v>
      </c>
    </row>
    <row r="22" customFormat="false" ht="15" hidden="false" customHeight="true" outlineLevel="0" collapsed="false">
      <c r="B22" s="32" t="s">
        <v>37</v>
      </c>
      <c r="C22" s="33" t="n">
        <f aca="false">VLOOKUP(B22,A5:D12,4,FALSE())</f>
        <v>0.14</v>
      </c>
      <c r="D22" s="33" t="n">
        <f aca="false">C22-0.08</f>
        <v>0.06</v>
      </c>
      <c r="E22" s="32" t="str">
        <f aca="false">IF(D22&gt;0,"Above","Below or equal")</f>
        <v>Above</v>
      </c>
    </row>
    <row r="23" customFormat="false" ht="15" hidden="false" customHeight="true" outlineLevel="0" collapsed="false">
      <c r="B23" s="32" t="s">
        <v>36</v>
      </c>
      <c r="C23" s="33" t="n">
        <f aca="false">VLOOKUP(B23,A5:D12,4,FALSE())</f>
        <v>0.16</v>
      </c>
      <c r="D23" s="33" t="n">
        <f aca="false">C23-0.08</f>
        <v>0.08</v>
      </c>
      <c r="E23" s="32" t="str">
        <f aca="false">IF(D23&gt;0,"Above","Below or equal")</f>
        <v>Above</v>
      </c>
    </row>
    <row r="24" customFormat="false" ht="15" hidden="false" customHeight="true" outlineLevel="0" collapsed="false">
      <c r="B24" s="32" t="s">
        <v>40</v>
      </c>
      <c r="C24" s="33" t="n">
        <f aca="false">VLOOKUP(B24,A5:D12,4,FALSE())</f>
        <v>0.07</v>
      </c>
      <c r="D24" s="33" t="n">
        <f aca="false">C24-0.08</f>
        <v>-0.01</v>
      </c>
      <c r="E24" s="32" t="str">
        <f aca="false">IF(D24&gt;0,"Above","Below or equal")</f>
        <v>Below or equal</v>
      </c>
    </row>
    <row r="25" customFormat="false" ht="15" hidden="false" customHeight="true" outlineLevel="0" collapsed="false">
      <c r="B25" s="32" t="s">
        <v>42</v>
      </c>
      <c r="C25" s="33" t="n">
        <f aca="false">VLOOKUP(B25,A5:D12,4,FALSE())</f>
        <v>0.04</v>
      </c>
      <c r="D25" s="33" t="n">
        <f aca="false">C25-0.08</f>
        <v>-0.04</v>
      </c>
      <c r="E25" s="32" t="str">
        <f aca="false">IF(D25&gt;0,"Above","Below or equal")</f>
        <v>Below or equal</v>
      </c>
    </row>
    <row r="26" customFormat="false" ht="15" hidden="false" customHeight="true" outlineLevel="0" collapsed="false">
      <c r="B26" s="32" t="s">
        <v>41</v>
      </c>
      <c r="C26" s="33" t="n">
        <f aca="false">VLOOKUP(B26,A5:D12,4,FALSE())</f>
        <v>0.06</v>
      </c>
      <c r="D26" s="33" t="n">
        <f aca="false">C26-0.08</f>
        <v>-0.02</v>
      </c>
      <c r="E26" s="32" t="str">
        <f aca="false">IF(D26&gt;0,"Above","Below or equal")</f>
        <v>Below or equal</v>
      </c>
    </row>
  </sheetData>
  <mergeCells count="3">
    <mergeCell ref="A1:L1"/>
    <mergeCell ref="A2:L2"/>
    <mergeCell ref="A15:L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12"/>
    <col collapsed="false" customWidth="true" hidden="false" outlineLevel="0" max="4" min="4" style="1" width="10"/>
    <col collapsed="false" customWidth="true" hidden="false" outlineLevel="0" max="5" min="5" style="1" width="11"/>
    <col collapsed="false" customWidth="true" hidden="false" outlineLevel="0" max="6" min="6" style="1" width="22"/>
    <col collapsed="false" customWidth="true" hidden="false" outlineLevel="0" max="7" min="7" style="1" width="10"/>
    <col collapsed="false" customWidth="true" hidden="false" outlineLevel="0" max="8" min="8" style="1" width="12"/>
    <col collapsed="false" customWidth="true" hidden="false" outlineLevel="0" max="9" min="9" style="1" width="13"/>
  </cols>
  <sheetData>
    <row r="1" customFormat="false" ht="19.5" hidden="false" customHeight="true" outlineLevel="0" collapsed="false">
      <c r="A1" s="22" t="s">
        <v>845</v>
      </c>
      <c r="B1" s="22"/>
      <c r="C1" s="22"/>
      <c r="D1" s="22"/>
      <c r="E1" s="22"/>
      <c r="F1" s="22"/>
    </row>
    <row r="2" customFormat="false" ht="15" hidden="false" customHeight="true" outlineLevel="0" collapsed="false">
      <c r="A2" s="34" t="s">
        <v>846</v>
      </c>
      <c r="B2" s="34"/>
      <c r="C2" s="34"/>
      <c r="D2" s="34"/>
      <c r="E2" s="34"/>
      <c r="F2" s="34"/>
    </row>
    <row r="4" customFormat="false" ht="15" hidden="false" customHeight="true" outlineLevel="0" collapsed="false">
      <c r="A4" s="4" t="s">
        <v>847</v>
      </c>
      <c r="B4" s="4"/>
      <c r="C4" s="4"/>
      <c r="D4" s="4"/>
      <c r="E4" s="4"/>
      <c r="F4" s="4"/>
    </row>
    <row r="5" customFormat="false" ht="26.25" hidden="false" customHeight="true" outlineLevel="0" collapsed="false">
      <c r="A5" s="7" t="s">
        <v>848</v>
      </c>
      <c r="B5" s="7" t="s">
        <v>849</v>
      </c>
      <c r="C5" s="7" t="s">
        <v>850</v>
      </c>
    </row>
    <row r="6" customFormat="false" ht="15" hidden="false" customHeight="true" outlineLevel="0" collapsed="false">
      <c r="A6" s="32" t="s">
        <v>851</v>
      </c>
      <c r="B6" s="32" t="n">
        <v>6</v>
      </c>
      <c r="C6" s="35" t="s">
        <v>852</v>
      </c>
    </row>
    <row r="7" customFormat="false" ht="15" hidden="false" customHeight="true" outlineLevel="0" collapsed="false">
      <c r="A7" s="32" t="s">
        <v>853</v>
      </c>
      <c r="B7" s="32" t="n">
        <v>100</v>
      </c>
      <c r="C7" s="35" t="s">
        <v>854</v>
      </c>
    </row>
    <row r="8" customFormat="false" ht="15" hidden="false" customHeight="true" outlineLevel="0" collapsed="false">
      <c r="A8" s="32" t="s">
        <v>855</v>
      </c>
      <c r="B8" s="32" t="n">
        <v>0.06</v>
      </c>
      <c r="C8" s="35" t="s">
        <v>856</v>
      </c>
    </row>
    <row r="9" customFormat="false" ht="15" hidden="false" customHeight="true" outlineLevel="0" collapsed="false">
      <c r="A9" s="32" t="s">
        <v>857</v>
      </c>
      <c r="B9" s="36" t="n">
        <v>0.08</v>
      </c>
      <c r="C9" s="35" t="s">
        <v>858</v>
      </c>
    </row>
    <row r="10" customFormat="false" ht="15" hidden="false" customHeight="true" outlineLevel="0" collapsed="false">
      <c r="A10" s="32" t="s">
        <v>859</v>
      </c>
      <c r="B10" s="37" t="n">
        <v>0.5812</v>
      </c>
      <c r="C10" s="35" t="s">
        <v>860</v>
      </c>
    </row>
    <row r="11" customFormat="false" ht="15" hidden="false" customHeight="true" outlineLevel="0" collapsed="false">
      <c r="A11" s="32" t="s">
        <v>861</v>
      </c>
      <c r="B11" s="32" t="s">
        <v>862</v>
      </c>
      <c r="C11" s="35" t="s">
        <v>863</v>
      </c>
    </row>
    <row r="12" customFormat="false" ht="15" hidden="false" customHeight="true" outlineLevel="0" collapsed="false">
      <c r="A12" s="32" t="s">
        <v>864</v>
      </c>
      <c r="B12" s="32" t="s">
        <v>865</v>
      </c>
      <c r="C12" s="35" t="s">
        <v>866</v>
      </c>
    </row>
    <row r="14" customFormat="false" ht="15" hidden="false" customHeight="true" outlineLevel="0" collapsed="false">
      <c r="A14" s="31" t="s">
        <v>867</v>
      </c>
    </row>
    <row r="15" customFormat="false" ht="26.25" hidden="false" customHeight="true" outlineLevel="0" collapsed="false">
      <c r="A15" s="7" t="s">
        <v>28</v>
      </c>
      <c r="B15" s="7" t="s">
        <v>832</v>
      </c>
      <c r="C15" s="7" t="s">
        <v>29</v>
      </c>
      <c r="D15" s="7" t="s">
        <v>868</v>
      </c>
      <c r="E15" s="7" t="s">
        <v>869</v>
      </c>
      <c r="F15" s="7" t="s">
        <v>870</v>
      </c>
      <c r="H15" s="1" t="s">
        <v>28</v>
      </c>
      <c r="I15" s="1" t="s">
        <v>833</v>
      </c>
    </row>
    <row r="16" customFormat="false" ht="15" hidden="false" customHeight="true" outlineLevel="0" collapsed="false">
      <c r="A16" s="12" t="s">
        <v>39</v>
      </c>
      <c r="B16" s="12" t="n">
        <f aca="false">SUMIF(Data!$I$4:$I$803,A16,Data!$A$4:$A$803)</f>
        <v>10</v>
      </c>
      <c r="C16" s="12" t="n">
        <f aca="false">COUNTIF(Data!$I$4:$I$803,A16)</f>
        <v>100</v>
      </c>
      <c r="D16" s="14" t="n">
        <f aca="false">B16/C16</f>
        <v>0.1</v>
      </c>
      <c r="E16" s="38" t="n">
        <f aca="false">D16-0.08</f>
        <v>0.02</v>
      </c>
      <c r="F16" s="39" t="n">
        <v>0.468</v>
      </c>
      <c r="H16" s="1" t="s">
        <v>39</v>
      </c>
      <c r="I16" s="40" t="n">
        <f aca="false">D16</f>
        <v>0.1</v>
      </c>
    </row>
    <row r="17" customFormat="false" ht="15" hidden="false" customHeight="true" outlineLevel="0" collapsed="false">
      <c r="A17" s="12" t="s">
        <v>43</v>
      </c>
      <c r="B17" s="12" t="n">
        <f aca="false">SUMIF(Data!$I$4:$I$803,A17,Data!$A$4:$A$803)</f>
        <v>3</v>
      </c>
      <c r="C17" s="12" t="n">
        <f aca="false">COUNTIF(Data!$I$4:$I$803,A17)</f>
        <v>100</v>
      </c>
      <c r="D17" s="14" t="n">
        <f aca="false">B17/C17</f>
        <v>0.03</v>
      </c>
      <c r="E17" s="38" t="n">
        <f aca="false">D17-0.08</f>
        <v>-0.05</v>
      </c>
      <c r="F17" s="39" t="n">
        <v>0.058</v>
      </c>
      <c r="H17" s="1" t="s">
        <v>43</v>
      </c>
      <c r="I17" s="40" t="n">
        <f aca="false">D17</f>
        <v>0.03</v>
      </c>
    </row>
    <row r="18" customFormat="false" ht="15" hidden="false" customHeight="true" outlineLevel="0" collapsed="false">
      <c r="A18" s="12" t="s">
        <v>38</v>
      </c>
      <c r="B18" s="12" t="n">
        <f aca="false">SUMIF(Data!$I$4:$I$803,A18,Data!$A$4:$A$803)</f>
        <v>13</v>
      </c>
      <c r="C18" s="12" t="n">
        <f aca="false">COUNTIF(Data!$I$4:$I$803,A18)</f>
        <v>100</v>
      </c>
      <c r="D18" s="14" t="n">
        <f aca="false">B18/C18</f>
        <v>0.13</v>
      </c>
      <c r="E18" s="38" t="n">
        <f aca="false">D18-0.08</f>
        <v>0.05</v>
      </c>
      <c r="F18" s="39" t="n">
        <v>0.071</v>
      </c>
      <c r="H18" s="1" t="s">
        <v>38</v>
      </c>
      <c r="I18" s="40" t="n">
        <f aca="false">D18</f>
        <v>0.13</v>
      </c>
    </row>
    <row r="19" customFormat="false" ht="15" hidden="false" customHeight="true" outlineLevel="0" collapsed="false">
      <c r="A19" s="12" t="s">
        <v>37</v>
      </c>
      <c r="B19" s="12" t="n">
        <f aca="false">SUMIF(Data!$I$4:$I$803,A19,Data!$A$4:$A$803)</f>
        <v>14</v>
      </c>
      <c r="C19" s="12" t="n">
        <f aca="false">COUNTIF(Data!$I$4:$I$803,A19)</f>
        <v>100</v>
      </c>
      <c r="D19" s="14" t="n">
        <f aca="false">B19/C19</f>
        <v>0.14</v>
      </c>
      <c r="E19" s="38" t="n">
        <f aca="false">D19-0.08</f>
        <v>0.06</v>
      </c>
      <c r="F19" s="39" t="n">
        <v>0.032</v>
      </c>
      <c r="H19" s="1" t="s">
        <v>37</v>
      </c>
      <c r="I19" s="40" t="n">
        <f aca="false">D19</f>
        <v>0.14</v>
      </c>
    </row>
    <row r="20" customFormat="false" ht="15" hidden="false" customHeight="true" outlineLevel="0" collapsed="false">
      <c r="A20" s="12" t="s">
        <v>36</v>
      </c>
      <c r="B20" s="12" t="n">
        <f aca="false">SUMIF(Data!$I$4:$I$803,A20,Data!$A$4:$A$803)</f>
        <v>16</v>
      </c>
      <c r="C20" s="12" t="n">
        <f aca="false">COUNTIF(Data!$I$4:$I$803,A20)</f>
        <v>100</v>
      </c>
      <c r="D20" s="14" t="n">
        <f aca="false">B20/C20</f>
        <v>0.16</v>
      </c>
      <c r="E20" s="38" t="n">
        <f aca="false">D20-0.08</f>
        <v>0.08</v>
      </c>
      <c r="F20" s="39" t="n">
        <v>0.006</v>
      </c>
      <c r="H20" s="1" t="s">
        <v>36</v>
      </c>
      <c r="I20" s="40" t="n">
        <f aca="false">D20</f>
        <v>0.16</v>
      </c>
    </row>
    <row r="21" customFormat="false" ht="15" hidden="false" customHeight="true" outlineLevel="0" collapsed="false">
      <c r="A21" s="12" t="s">
        <v>40</v>
      </c>
      <c r="B21" s="12" t="n">
        <f aca="false">SUMIF(Data!$I$4:$I$803,A21,Data!$A$4:$A$803)</f>
        <v>7</v>
      </c>
      <c r="C21" s="12" t="n">
        <f aca="false">COUNTIF(Data!$I$4:$I$803,A21)</f>
        <v>100</v>
      </c>
      <c r="D21" s="14" t="n">
        <f aca="false">B21/C21</f>
        <v>0.07</v>
      </c>
      <c r="E21" s="38" t="n">
        <f aca="false">D21-0.08</f>
        <v>-0.01</v>
      </c>
      <c r="F21" s="39" t="n">
        <v>0.845</v>
      </c>
      <c r="H21" s="1" t="s">
        <v>40</v>
      </c>
      <c r="I21" s="40" t="n">
        <f aca="false">D21</f>
        <v>0.07</v>
      </c>
    </row>
    <row r="22" customFormat="false" ht="15" hidden="false" customHeight="true" outlineLevel="0" collapsed="false">
      <c r="A22" s="12" t="s">
        <v>42</v>
      </c>
      <c r="B22" s="12" t="n">
        <f aca="false">SUMIF(Data!$I$4:$I$803,A22,Data!$A$4:$A$803)</f>
        <v>4</v>
      </c>
      <c r="C22" s="12" t="n">
        <f aca="false">COUNTIF(Data!$I$4:$I$803,A22)</f>
        <v>100</v>
      </c>
      <c r="D22" s="14" t="n">
        <f aca="false">B22/C22</f>
        <v>0.04</v>
      </c>
      <c r="E22" s="38" t="n">
        <f aca="false">D22-0.08</f>
        <v>-0.04</v>
      </c>
      <c r="F22" s="39" t="n">
        <v>0.148</v>
      </c>
      <c r="H22" s="1" t="s">
        <v>42</v>
      </c>
      <c r="I22" s="40" t="n">
        <f aca="false">D22</f>
        <v>0.04</v>
      </c>
    </row>
    <row r="23" customFormat="false" ht="15" hidden="false" customHeight="true" outlineLevel="0" collapsed="false">
      <c r="A23" s="12" t="s">
        <v>41</v>
      </c>
      <c r="B23" s="12" t="n">
        <f aca="false">SUMIF(Data!$I$4:$I$803,A23,Data!$A$4:$A$803)</f>
        <v>6</v>
      </c>
      <c r="C23" s="12" t="n">
        <f aca="false">COUNTIF(Data!$I$4:$I$803,A23)</f>
        <v>100</v>
      </c>
      <c r="D23" s="14" t="n">
        <f aca="false">B23/C23</f>
        <v>0.06</v>
      </c>
      <c r="E23" s="38" t="n">
        <f aca="false">D23-0.08</f>
        <v>-0.02</v>
      </c>
      <c r="F23" s="39" t="n">
        <v>0.581</v>
      </c>
      <c r="H23" s="1" t="s">
        <v>41</v>
      </c>
      <c r="I23" s="40" t="n">
        <f aca="false">D23</f>
        <v>0.06</v>
      </c>
    </row>
    <row r="25" customFormat="false" ht="15" hidden="false" customHeight="true" outlineLevel="0" collapsed="false">
      <c r="A25" s="41" t="s">
        <v>871</v>
      </c>
      <c r="B25" s="41"/>
      <c r="C25" s="41"/>
      <c r="D25" s="41"/>
      <c r="E25" s="41"/>
      <c r="F25" s="41"/>
    </row>
    <row r="26" customFormat="false" ht="15" hidden="false" customHeight="true" outlineLevel="0" collapsed="false">
      <c r="A26" s="41"/>
      <c r="B26" s="41"/>
      <c r="C26" s="41"/>
      <c r="D26" s="41"/>
      <c r="E26" s="41"/>
      <c r="F26" s="41"/>
    </row>
  </sheetData>
  <mergeCells count="4">
    <mergeCell ref="A1:F1"/>
    <mergeCell ref="A2:F2"/>
    <mergeCell ref="A4:F4"/>
    <mergeCell ref="A25:F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28"/>
    <col collapsed="false" customWidth="true" hidden="false" outlineLevel="0" max="9" min="5" style="1" width="10"/>
    <col collapsed="false" customWidth="true" hidden="false" outlineLevel="0" max="10" min="10" style="1" width="13"/>
  </cols>
  <sheetData>
    <row r="1" customFormat="false" ht="19.5" hidden="false" customHeight="true" outlineLevel="0" collapsed="false">
      <c r="A1" s="22" t="s">
        <v>872</v>
      </c>
      <c r="B1" s="22"/>
      <c r="C1" s="22"/>
      <c r="D1" s="22"/>
      <c r="E1" s="22"/>
      <c r="F1" s="22"/>
      <c r="G1" s="22"/>
    </row>
    <row r="2" customFormat="false" ht="15" hidden="false" customHeight="true" outlineLevel="0" collapsed="false">
      <c r="A2" s="42" t="s">
        <v>873</v>
      </c>
    </row>
    <row r="4" customFormat="false" ht="15" hidden="false" customHeight="true" outlineLevel="0" collapsed="false">
      <c r="A4" s="31" t="s">
        <v>874</v>
      </c>
    </row>
    <row r="5" customFormat="false" ht="15" hidden="false" customHeight="true" outlineLevel="0" collapsed="false">
      <c r="A5" s="7" t="s">
        <v>28</v>
      </c>
      <c r="B5" s="7" t="s">
        <v>29</v>
      </c>
      <c r="C5" s="7" t="s">
        <v>875</v>
      </c>
      <c r="D5" s="7" t="s">
        <v>876</v>
      </c>
      <c r="E5" s="7" t="s">
        <v>877</v>
      </c>
      <c r="F5" s="7" t="s">
        <v>878</v>
      </c>
      <c r="I5" s="1" t="s">
        <v>28</v>
      </c>
      <c r="J5" s="1" t="s">
        <v>879</v>
      </c>
    </row>
    <row r="6" customFormat="false" ht="15" hidden="false" customHeight="true" outlineLevel="0" collapsed="false">
      <c r="A6" s="43" t="s">
        <v>41</v>
      </c>
      <c r="B6" s="43" t="n">
        <f aca="false">COUNTIF(Data!$I$4:$I$803,A6)</f>
        <v>100</v>
      </c>
      <c r="C6" s="44" t="n">
        <f aca="false">AVERAGEIF(Data!$I$4:$I$803,A6,Data!$B$4:$B$803)</f>
        <v>40.82</v>
      </c>
      <c r="D6" s="25" t="n">
        <v>12.86</v>
      </c>
      <c r="E6" s="45" t="n">
        <v>6</v>
      </c>
      <c r="F6" s="45" t="n">
        <v>70</v>
      </c>
      <c r="I6" s="1" t="s">
        <v>41</v>
      </c>
      <c r="J6" s="46" t="n">
        <f aca="false">C6</f>
        <v>40.82</v>
      </c>
    </row>
    <row r="7" customFormat="false" ht="15" hidden="false" customHeight="true" outlineLevel="0" collapsed="false">
      <c r="A7" s="43" t="s">
        <v>42</v>
      </c>
      <c r="B7" s="43" t="n">
        <f aca="false">COUNTIF(Data!$I$4:$I$803,A7)</f>
        <v>100</v>
      </c>
      <c r="C7" s="44" t="n">
        <f aca="false">AVERAGEIF(Data!$I$4:$I$803,A7,Data!$B$4:$B$803)</f>
        <v>30.92</v>
      </c>
      <c r="D7" s="25" t="n">
        <v>8.65</v>
      </c>
      <c r="E7" s="45" t="n">
        <v>2</v>
      </c>
      <c r="F7" s="45" t="n">
        <v>50</v>
      </c>
      <c r="I7" s="1" t="s">
        <v>42</v>
      </c>
      <c r="J7" s="46" t="n">
        <f aca="false">C7</f>
        <v>30.92</v>
      </c>
    </row>
    <row r="8" customFormat="false" ht="15" hidden="false" customHeight="true" outlineLevel="0" collapsed="false">
      <c r="A8" s="43" t="s">
        <v>38</v>
      </c>
      <c r="B8" s="43" t="n">
        <f aca="false">COUNTIF(Data!$I$4:$I$803,A8)</f>
        <v>100</v>
      </c>
      <c r="C8" s="44" t="n">
        <f aca="false">AVERAGEIF(Data!$I$4:$I$803,A8,Data!$B$4:$B$803)</f>
        <v>44.16</v>
      </c>
      <c r="D8" s="25" t="n">
        <v>9.42</v>
      </c>
      <c r="E8" s="45" t="n">
        <v>23</v>
      </c>
      <c r="F8" s="45" t="n">
        <v>71</v>
      </c>
      <c r="I8" s="1" t="s">
        <v>38</v>
      </c>
      <c r="J8" s="46" t="n">
        <f aca="false">C8</f>
        <v>44.16</v>
      </c>
    </row>
    <row r="10" customFormat="false" ht="15" hidden="false" customHeight="true" outlineLevel="0" collapsed="false">
      <c r="A10" s="47" t="s">
        <v>880</v>
      </c>
      <c r="B10" s="47"/>
      <c r="C10" s="47"/>
      <c r="D10" s="47"/>
      <c r="E10" s="47"/>
      <c r="F10" s="47"/>
      <c r="G10" s="47"/>
    </row>
    <row r="11" customFormat="false" ht="15" hidden="false" customHeight="true" outlineLevel="0" collapsed="false">
      <c r="A11" s="7" t="s">
        <v>881</v>
      </c>
      <c r="B11" s="7" t="s">
        <v>882</v>
      </c>
      <c r="C11" s="7" t="s">
        <v>883</v>
      </c>
      <c r="D11" s="7" t="s">
        <v>884</v>
      </c>
    </row>
    <row r="12" customFormat="false" ht="15" hidden="false" customHeight="true" outlineLevel="0" collapsed="false">
      <c r="A12" s="48" t="s">
        <v>885</v>
      </c>
      <c r="B12" s="48" t="s">
        <v>886</v>
      </c>
      <c r="C12" s="49" t="n">
        <v>3.28E-017</v>
      </c>
      <c r="D12" s="48" t="s">
        <v>887</v>
      </c>
    </row>
    <row r="14" customFormat="false" ht="15" hidden="false" customHeight="true" outlineLevel="0" collapsed="false">
      <c r="A14" s="31" t="s">
        <v>888</v>
      </c>
    </row>
    <row r="15" customFormat="false" ht="15" hidden="false" customHeight="true" outlineLevel="0" collapsed="false">
      <c r="A15" s="7" t="s">
        <v>889</v>
      </c>
      <c r="B15" s="7" t="s">
        <v>890</v>
      </c>
      <c r="C15" s="7" t="s">
        <v>891</v>
      </c>
      <c r="D15" s="7" t="s">
        <v>892</v>
      </c>
      <c r="E15" s="7" t="s">
        <v>893</v>
      </c>
    </row>
    <row r="16" customFormat="false" ht="15" hidden="false" customHeight="true" outlineLevel="0" collapsed="false">
      <c r="A16" s="50" t="s">
        <v>38</v>
      </c>
      <c r="B16" s="50" t="s">
        <v>42</v>
      </c>
      <c r="C16" s="51" t="n">
        <v>-13.24</v>
      </c>
      <c r="D16" s="52" t="n">
        <v>0</v>
      </c>
      <c r="E16" s="53" t="s">
        <v>894</v>
      </c>
    </row>
    <row r="17" customFormat="false" ht="15" hidden="false" customHeight="true" outlineLevel="0" collapsed="false">
      <c r="A17" s="50" t="s">
        <v>38</v>
      </c>
      <c r="B17" s="50" t="s">
        <v>41</v>
      </c>
      <c r="C17" s="51" t="n">
        <v>-3.34</v>
      </c>
      <c r="D17" s="52" t="n">
        <v>0.0638</v>
      </c>
      <c r="E17" s="50" t="s">
        <v>895</v>
      </c>
    </row>
    <row r="18" customFormat="false" ht="15" hidden="false" customHeight="true" outlineLevel="0" collapsed="false">
      <c r="A18" s="50" t="s">
        <v>42</v>
      </c>
      <c r="B18" s="50" t="s">
        <v>41</v>
      </c>
      <c r="C18" s="51" t="n">
        <v>9.9</v>
      </c>
      <c r="D18" s="52" t="n">
        <v>0</v>
      </c>
      <c r="E18" s="53" t="s">
        <v>894</v>
      </c>
    </row>
    <row r="20" customFormat="false" ht="15" hidden="false" customHeight="true" outlineLevel="0" collapsed="false">
      <c r="A20" s="31" t="s">
        <v>896</v>
      </c>
    </row>
    <row r="21" customFormat="false" ht="15" hidden="false" customHeight="true" outlineLevel="0" collapsed="false">
      <c r="A21" s="17" t="s">
        <v>897</v>
      </c>
      <c r="B21" s="17"/>
      <c r="C21" s="17"/>
      <c r="D21" s="17"/>
      <c r="E21" s="17"/>
      <c r="F21" s="17"/>
      <c r="G21" s="17"/>
    </row>
    <row r="22" customFormat="false" ht="15" hidden="false" customHeight="true" outlineLevel="0" collapsed="false">
      <c r="A22" s="17"/>
      <c r="B22" s="17"/>
      <c r="C22" s="17"/>
      <c r="D22" s="17"/>
      <c r="E22" s="17"/>
      <c r="F22" s="17"/>
      <c r="G22" s="17"/>
    </row>
  </sheetData>
  <mergeCells count="3">
    <mergeCell ref="A1:G1"/>
    <mergeCell ref="A10:G10"/>
    <mergeCell ref="A21:G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8"/>
    <col collapsed="false" customWidth="true" hidden="false" outlineLevel="0" max="4" min="4" style="1" width="14"/>
    <col collapsed="false" customWidth="true" hidden="false" outlineLevel="0" max="6" min="5" style="1" width="10"/>
    <col collapsed="false" customWidth="true" hidden="false" outlineLevel="0" max="8" min="7" style="1" width="26"/>
  </cols>
  <sheetData>
    <row r="1" customFormat="false" ht="19.5" hidden="false" customHeight="true" outlineLevel="0" collapsed="false">
      <c r="A1" s="54" t="s">
        <v>898</v>
      </c>
    </row>
    <row r="2" customFormat="false" ht="15" hidden="false" customHeight="true" outlineLevel="0" collapsed="false">
      <c r="A2" s="42" t="s">
        <v>899</v>
      </c>
    </row>
    <row r="4" customFormat="false" ht="15" hidden="false" customHeight="true" outlineLevel="0" collapsed="false">
      <c r="A4" s="31" t="s">
        <v>900</v>
      </c>
    </row>
    <row r="5" customFormat="false" ht="15" hidden="false" customHeight="true" outlineLevel="0" collapsed="false">
      <c r="A5" s="7" t="s">
        <v>901</v>
      </c>
      <c r="B5" s="7" t="s">
        <v>37</v>
      </c>
      <c r="C5" s="7" t="s">
        <v>40</v>
      </c>
      <c r="D5" s="7" t="s">
        <v>902</v>
      </c>
      <c r="F5" s="7" t="s">
        <v>901</v>
      </c>
      <c r="G5" s="7" t="s">
        <v>903</v>
      </c>
      <c r="H5" s="7" t="s">
        <v>904</v>
      </c>
    </row>
    <row r="6" customFormat="false" ht="15" hidden="false" customHeight="true" outlineLevel="0" collapsed="false">
      <c r="A6" s="43" t="s">
        <v>58</v>
      </c>
      <c r="B6" s="43" t="n">
        <f aca="false">COUNTIFS(Data!$I$4:$I$803,"poodle",Data!$E$4:$E$803,A6)</f>
        <v>17</v>
      </c>
      <c r="C6" s="43" t="n">
        <f aca="false">COUNTIFS(Data!$I$4:$I$803,"shihtzu",Data!$E$4:$E$803,A6)</f>
        <v>10</v>
      </c>
      <c r="D6" s="43" t="n">
        <f aca="false">B6+C6</f>
        <v>27</v>
      </c>
      <c r="F6" s="55" t="s">
        <v>58</v>
      </c>
      <c r="G6" s="56" t="n">
        <f aca="false">IF($B$11=0,0,B6/$B$11)</f>
        <v>0.17</v>
      </c>
      <c r="H6" s="56" t="n">
        <f aca="false">IF($C$11=0,0,C6/$C$11)</f>
        <v>0.1</v>
      </c>
    </row>
    <row r="7" customFormat="false" ht="15" hidden="false" customHeight="true" outlineLevel="0" collapsed="false">
      <c r="A7" s="43" t="s">
        <v>72</v>
      </c>
      <c r="B7" s="43" t="n">
        <f aca="false">COUNTIFS(Data!$I$4:$I$803,"poodle",Data!$E$4:$E$803,A7)</f>
        <v>13</v>
      </c>
      <c r="C7" s="43" t="n">
        <f aca="false">COUNTIFS(Data!$I$4:$I$803,"shihtzu",Data!$E$4:$E$803,A7)</f>
        <v>36</v>
      </c>
      <c r="D7" s="43" t="n">
        <f aca="false">B7+C7</f>
        <v>49</v>
      </c>
      <c r="F7" s="55" t="s">
        <v>72</v>
      </c>
      <c r="G7" s="56" t="n">
        <f aca="false">IF($B$11=0,0,B7/$B$11)</f>
        <v>0.13</v>
      </c>
      <c r="H7" s="56" t="n">
        <f aca="false">IF($C$11=0,0,C7/$C$11)</f>
        <v>0.36</v>
      </c>
    </row>
    <row r="8" customFormat="false" ht="15" hidden="false" customHeight="true" outlineLevel="0" collapsed="false">
      <c r="A8" s="43" t="s">
        <v>105</v>
      </c>
      <c r="B8" s="43" t="n">
        <f aca="false">COUNTIFS(Data!$I$4:$I$803,"poodle",Data!$E$4:$E$803,A8)</f>
        <v>8</v>
      </c>
      <c r="C8" s="43" t="n">
        <f aca="false">COUNTIFS(Data!$I$4:$I$803,"shihtzu",Data!$E$4:$E$803,A8)</f>
        <v>6</v>
      </c>
      <c r="D8" s="43" t="n">
        <f aca="false">B8+C8</f>
        <v>14</v>
      </c>
      <c r="F8" s="55" t="s">
        <v>105</v>
      </c>
      <c r="G8" s="56" t="n">
        <f aca="false">IF($B$11=0,0,B8/$B$11)</f>
        <v>0.08</v>
      </c>
      <c r="H8" s="56" t="n">
        <f aca="false">IF($C$11=0,0,C8/$C$11)</f>
        <v>0.06</v>
      </c>
    </row>
    <row r="9" customFormat="false" ht="15" hidden="false" customHeight="true" outlineLevel="0" collapsed="false">
      <c r="A9" s="43" t="s">
        <v>116</v>
      </c>
      <c r="B9" s="43" t="n">
        <f aca="false">COUNTIFS(Data!$I$4:$I$803,"poodle",Data!$E$4:$E$803,A9)</f>
        <v>52</v>
      </c>
      <c r="C9" s="43" t="n">
        <f aca="false">COUNTIFS(Data!$I$4:$I$803,"shihtzu",Data!$E$4:$E$803,A9)</f>
        <v>41</v>
      </c>
      <c r="D9" s="43" t="n">
        <f aca="false">B9+C9</f>
        <v>93</v>
      </c>
      <c r="F9" s="55" t="s">
        <v>116</v>
      </c>
      <c r="G9" s="56" t="n">
        <f aca="false">IF($B$11=0,0,B9/$B$11)</f>
        <v>0.52</v>
      </c>
      <c r="H9" s="56" t="n">
        <f aca="false">IF($C$11=0,0,C9/$C$11)</f>
        <v>0.41</v>
      </c>
    </row>
    <row r="10" customFormat="false" ht="15" hidden="false" customHeight="true" outlineLevel="0" collapsed="false">
      <c r="A10" s="43" t="s">
        <v>157</v>
      </c>
      <c r="B10" s="43" t="n">
        <f aca="false">COUNTIFS(Data!$I$4:$I$803,"poodle",Data!$E$4:$E$803,A10)</f>
        <v>10</v>
      </c>
      <c r="C10" s="43" t="n">
        <f aca="false">COUNTIFS(Data!$I$4:$I$803,"shihtzu",Data!$E$4:$E$803,A10)</f>
        <v>7</v>
      </c>
      <c r="D10" s="43" t="n">
        <f aca="false">B10+C10</f>
        <v>17</v>
      </c>
      <c r="F10" s="55" t="s">
        <v>157</v>
      </c>
      <c r="G10" s="56" t="n">
        <f aca="false">IF($B$11=0,0,B10/$B$11)</f>
        <v>0.1</v>
      </c>
      <c r="H10" s="56" t="n">
        <f aca="false">IF($C$11=0,0,C10/$C$11)</f>
        <v>0.07</v>
      </c>
    </row>
    <row r="11" customFormat="false" ht="15" hidden="false" customHeight="true" outlineLevel="0" collapsed="false">
      <c r="A11" s="27" t="s">
        <v>905</v>
      </c>
      <c r="B11" s="27" t="n">
        <f aca="false">SUM(B6:B10)</f>
        <v>100</v>
      </c>
      <c r="C11" s="27" t="n">
        <f aca="false">SUM(C6:C10)</f>
        <v>100</v>
      </c>
      <c r="D11" s="27" t="n">
        <f aca="false">SUM(D6:D10)</f>
        <v>200</v>
      </c>
    </row>
    <row r="13" customFormat="false" ht="15" hidden="false" customHeight="true" outlineLevel="0" collapsed="false">
      <c r="A13" s="57" t="s">
        <v>906</v>
      </c>
    </row>
    <row r="14" customFormat="false" ht="15" hidden="false" customHeight="true" outlineLevel="0" collapsed="false">
      <c r="A14" s="55" t="s">
        <v>907</v>
      </c>
      <c r="B14" s="48" t="n">
        <v>14.727</v>
      </c>
    </row>
    <row r="15" customFormat="false" ht="15" hidden="false" customHeight="true" outlineLevel="0" collapsed="false">
      <c r="A15" s="55" t="s">
        <v>908</v>
      </c>
      <c r="B15" s="48" t="n">
        <v>4</v>
      </c>
    </row>
    <row r="16" customFormat="false" ht="15" hidden="false" customHeight="true" outlineLevel="0" collapsed="false">
      <c r="A16" s="55" t="s">
        <v>883</v>
      </c>
      <c r="B16" s="58" t="n">
        <v>0.0053</v>
      </c>
    </row>
    <row r="17" customFormat="false" ht="15" hidden="false" customHeight="true" outlineLevel="0" collapsed="false">
      <c r="A17" s="55" t="s">
        <v>884</v>
      </c>
      <c r="B17" s="48" t="s">
        <v>909</v>
      </c>
    </row>
    <row r="19" customFormat="false" ht="15" hidden="false" customHeight="true" outlineLevel="0" collapsed="false">
      <c r="A19" s="23" t="s">
        <v>910</v>
      </c>
      <c r="B19" s="23"/>
      <c r="C19" s="23"/>
      <c r="D19" s="23"/>
    </row>
    <row r="20" customFormat="false" ht="15" hidden="false" customHeight="true" outlineLevel="0" collapsed="false">
      <c r="A20" s="23"/>
      <c r="B20" s="23"/>
      <c r="C20" s="23"/>
      <c r="D20" s="23"/>
    </row>
  </sheetData>
  <mergeCells count="1">
    <mergeCell ref="A19:D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8"/>
    <col collapsed="false" customWidth="true" hidden="false" outlineLevel="0" max="4" min="3" style="1" width="10"/>
    <col collapsed="false" customWidth="true" hidden="false" outlineLevel="0" max="5" min="5" style="1" width="12"/>
    <col collapsed="false" customWidth="true" hidden="false" outlineLevel="0" max="6" min="6" style="1" width="10"/>
  </cols>
  <sheetData>
    <row r="1" customFormat="false" ht="19.5" hidden="false" customHeight="true" outlineLevel="0" collapsed="false">
      <c r="A1" s="22" t="s">
        <v>911</v>
      </c>
      <c r="B1" s="22"/>
      <c r="C1" s="22"/>
      <c r="D1" s="22"/>
      <c r="E1" s="22"/>
      <c r="F1" s="22"/>
    </row>
    <row r="3" customFormat="false" ht="15" hidden="false" customHeight="true" outlineLevel="0" collapsed="false">
      <c r="A3" s="31" t="s">
        <v>912</v>
      </c>
    </row>
    <row r="4" customFormat="false" ht="15" hidden="false" customHeight="true" outlineLevel="0" collapsed="false">
      <c r="A4" s="7" t="s">
        <v>28</v>
      </c>
      <c r="B4" s="7" t="s">
        <v>35</v>
      </c>
      <c r="C4" s="7" t="s">
        <v>913</v>
      </c>
      <c r="E4" s="1" t="s">
        <v>28</v>
      </c>
      <c r="F4" s="1" t="s">
        <v>914</v>
      </c>
    </row>
    <row r="5" customFormat="false" ht="15" hidden="false" customHeight="true" outlineLevel="0" collapsed="false">
      <c r="A5" s="43" t="s">
        <v>43</v>
      </c>
      <c r="B5" s="59" t="n">
        <f aca="false">AVERAGEIF(Data!$I$4:$I$803,A5,Data!$G$4:$G$803)</f>
        <v>0.72</v>
      </c>
      <c r="C5" s="43" t="n">
        <v>1</v>
      </c>
      <c r="E5" s="1" t="s">
        <v>43</v>
      </c>
      <c r="F5" s="40" t="n">
        <f aca="false">B5</f>
        <v>0.72</v>
      </c>
    </row>
    <row r="6" customFormat="false" ht="15" hidden="false" customHeight="true" outlineLevel="0" collapsed="false">
      <c r="A6" s="43" t="s">
        <v>41</v>
      </c>
      <c r="B6" s="59" t="n">
        <f aca="false">AVERAGEIF(Data!$I$4:$I$803,A6,Data!$G$4:$G$803)</f>
        <v>0.69</v>
      </c>
      <c r="C6" s="43" t="n">
        <v>2</v>
      </c>
      <c r="E6" s="1" t="s">
        <v>41</v>
      </c>
      <c r="F6" s="40" t="n">
        <f aca="false">B6</f>
        <v>0.69</v>
      </c>
    </row>
    <row r="7" customFormat="false" ht="15" hidden="false" customHeight="true" outlineLevel="0" collapsed="false">
      <c r="A7" s="43" t="s">
        <v>40</v>
      </c>
      <c r="B7" s="60" t="n">
        <f aca="false">AVERAGEIF(Data!$I$4:$I$803,A7,Data!$G$4:$G$803)</f>
        <v>0.41</v>
      </c>
      <c r="C7" s="43" t="n">
        <v>3</v>
      </c>
      <c r="E7" s="1" t="s">
        <v>40</v>
      </c>
      <c r="F7" s="40" t="n">
        <f aca="false">B7</f>
        <v>0.41</v>
      </c>
    </row>
    <row r="8" customFormat="false" ht="15" hidden="false" customHeight="true" outlineLevel="0" collapsed="false">
      <c r="A8" s="43" t="s">
        <v>39</v>
      </c>
      <c r="B8" s="60" t="n">
        <f aca="false">AVERAGEIF(Data!$I$4:$I$803,A8,Data!$G$4:$G$803)</f>
        <v>0.32</v>
      </c>
      <c r="C8" s="43" t="n">
        <v>4</v>
      </c>
      <c r="E8" s="1" t="s">
        <v>39</v>
      </c>
      <c r="F8" s="40" t="n">
        <f aca="false">B8</f>
        <v>0.32</v>
      </c>
    </row>
    <row r="9" customFormat="false" ht="15" hidden="false" customHeight="true" outlineLevel="0" collapsed="false">
      <c r="A9" s="43" t="s">
        <v>38</v>
      </c>
      <c r="B9" s="60" t="n">
        <f aca="false">AVERAGEIF(Data!$I$4:$I$803,A9,Data!$G$4:$G$803)</f>
        <v>0.31</v>
      </c>
      <c r="C9" s="43" t="n">
        <v>5</v>
      </c>
      <c r="E9" s="1" t="s">
        <v>38</v>
      </c>
      <c r="F9" s="40" t="n">
        <f aca="false">B9</f>
        <v>0.31</v>
      </c>
    </row>
    <row r="10" customFormat="false" ht="15" hidden="false" customHeight="true" outlineLevel="0" collapsed="false">
      <c r="A10" s="43" t="s">
        <v>42</v>
      </c>
      <c r="B10" s="60" t="n">
        <f aca="false">AVERAGEIF(Data!$I$4:$I$803,A10,Data!$G$4:$G$803)</f>
        <v>0.3</v>
      </c>
      <c r="C10" s="43" t="n">
        <v>6</v>
      </c>
      <c r="E10" s="1" t="s">
        <v>42</v>
      </c>
      <c r="F10" s="40" t="n">
        <f aca="false">B10</f>
        <v>0.3</v>
      </c>
    </row>
    <row r="11" customFormat="false" ht="15" hidden="false" customHeight="true" outlineLevel="0" collapsed="false">
      <c r="A11" s="43" t="s">
        <v>36</v>
      </c>
      <c r="B11" s="60" t="n">
        <f aca="false">AVERAGEIF(Data!$I$4:$I$803,A11,Data!$G$4:$G$803)</f>
        <v>0.14</v>
      </c>
      <c r="C11" s="43" t="n">
        <v>7</v>
      </c>
      <c r="E11" s="1" t="s">
        <v>36</v>
      </c>
      <c r="F11" s="40" t="n">
        <f aca="false">B11</f>
        <v>0.14</v>
      </c>
    </row>
    <row r="12" customFormat="false" ht="15" hidden="false" customHeight="true" outlineLevel="0" collapsed="false">
      <c r="A12" s="43" t="s">
        <v>37</v>
      </c>
      <c r="B12" s="60" t="n">
        <f aca="false">AVERAGEIF(Data!$I$4:$I$803,A12,Data!$G$4:$G$803)</f>
        <v>0.12</v>
      </c>
      <c r="C12" s="43" t="n">
        <v>8</v>
      </c>
      <c r="E12" s="1" t="s">
        <v>37</v>
      </c>
      <c r="F12" s="40" t="n">
        <f aca="false">B12</f>
        <v>0.12</v>
      </c>
    </row>
    <row r="14" customFormat="false" ht="15" hidden="false" customHeight="true" outlineLevel="0" collapsed="false">
      <c r="A14" s="31" t="s">
        <v>915</v>
      </c>
    </row>
    <row r="15" customFormat="false" ht="15" hidden="false" customHeight="true" outlineLevel="0" collapsed="false">
      <c r="A15" s="7" t="s">
        <v>28</v>
      </c>
      <c r="B15" s="7" t="s">
        <v>34</v>
      </c>
      <c r="C15" s="7" t="s">
        <v>913</v>
      </c>
    </row>
    <row r="16" customFormat="false" ht="15" hidden="false" customHeight="true" outlineLevel="0" collapsed="false">
      <c r="A16" s="43" t="s">
        <v>40</v>
      </c>
      <c r="B16" s="59" t="n">
        <f aca="false">AVERAGEIF(Data!$I$4:$I$803,A16,Data!$F$4:$F$803)</f>
        <v>0.81</v>
      </c>
      <c r="C16" s="43" t="n">
        <v>1</v>
      </c>
    </row>
    <row r="17" customFormat="false" ht="15" hidden="false" customHeight="true" outlineLevel="0" collapsed="false">
      <c r="A17" s="43" t="s">
        <v>37</v>
      </c>
      <c r="B17" s="60" t="n">
        <f aca="false">AVERAGEIF(Data!$I$4:$I$803,A17,Data!$F$4:$F$803)</f>
        <v>0.54</v>
      </c>
      <c r="C17" s="43" t="n">
        <v>2</v>
      </c>
    </row>
    <row r="18" customFormat="false" ht="15" hidden="false" customHeight="true" outlineLevel="0" collapsed="false">
      <c r="A18" s="43" t="s">
        <v>41</v>
      </c>
      <c r="B18" s="60" t="n">
        <f aca="false">AVERAGEIF(Data!$I$4:$I$803,A18,Data!$F$4:$F$803)</f>
        <v>0.36</v>
      </c>
      <c r="C18" s="43" t="n">
        <v>3</v>
      </c>
    </row>
    <row r="19" customFormat="false" ht="15" hidden="false" customHeight="true" outlineLevel="0" collapsed="false">
      <c r="A19" s="43" t="s">
        <v>43</v>
      </c>
      <c r="B19" s="60" t="n">
        <f aca="false">AVERAGEIF(Data!$I$4:$I$803,A19,Data!$F$4:$F$803)</f>
        <v>0.36</v>
      </c>
      <c r="C19" s="43" t="n">
        <v>4</v>
      </c>
    </row>
    <row r="20" customFormat="false" ht="15" hidden="false" customHeight="true" outlineLevel="0" collapsed="false">
      <c r="A20" s="43" t="s">
        <v>38</v>
      </c>
      <c r="B20" s="60" t="n">
        <f aca="false">AVERAGEIF(Data!$I$4:$I$803,A20,Data!$F$4:$F$803)</f>
        <v>0.33</v>
      </c>
      <c r="C20" s="43" t="n">
        <v>5</v>
      </c>
    </row>
    <row r="21" customFormat="false" ht="15" hidden="false" customHeight="true" outlineLevel="0" collapsed="false">
      <c r="A21" s="43" t="s">
        <v>39</v>
      </c>
      <c r="B21" s="60" t="n">
        <f aca="false">AVERAGEIF(Data!$I$4:$I$803,A21,Data!$F$4:$F$803)</f>
        <v>0.32</v>
      </c>
      <c r="C21" s="43" t="n">
        <v>6</v>
      </c>
    </row>
    <row r="22" customFormat="false" ht="15" hidden="false" customHeight="true" outlineLevel="0" collapsed="false">
      <c r="A22" s="43" t="s">
        <v>42</v>
      </c>
      <c r="B22" s="60" t="n">
        <f aca="false">AVERAGEIF(Data!$I$4:$I$803,A22,Data!$F$4:$F$803)</f>
        <v>0.32</v>
      </c>
      <c r="C22" s="43" t="n">
        <v>7</v>
      </c>
    </row>
    <row r="23" customFormat="false" ht="15" hidden="false" customHeight="true" outlineLevel="0" collapsed="false">
      <c r="A23" s="43" t="s">
        <v>36</v>
      </c>
      <c r="B23" s="60" t="n">
        <f aca="false">AVERAGEIF(Data!$I$4:$I$803,A23,Data!$F$4:$F$803)</f>
        <v>0.24</v>
      </c>
      <c r="C23" s="43" t="n">
        <v>8</v>
      </c>
    </row>
    <row r="25" customFormat="false" ht="15" hidden="false" customHeight="true" outlineLevel="0" collapsed="false">
      <c r="A25" s="31" t="s">
        <v>916</v>
      </c>
    </row>
    <row r="26" customFormat="false" ht="49.5" hidden="false" customHeight="true" outlineLevel="0" collapsed="false">
      <c r="A26" s="17" t="s">
        <v>917</v>
      </c>
      <c r="B26" s="17"/>
      <c r="C26" s="17"/>
      <c r="D26" s="17"/>
      <c r="E26" s="17"/>
      <c r="F26" s="17"/>
    </row>
    <row r="27" customFormat="false" ht="15" hidden="false" customHeight="true" outlineLevel="0" collapsed="false">
      <c r="A27" s="17"/>
      <c r="B27" s="17"/>
      <c r="C27" s="17"/>
      <c r="D27" s="17"/>
      <c r="E27" s="17"/>
      <c r="F27" s="17"/>
    </row>
    <row r="28" customFormat="false" ht="15" hidden="false" customHeight="true" outlineLevel="0" collapsed="false">
      <c r="A28" s="17"/>
      <c r="B28" s="17"/>
      <c r="C28" s="17"/>
      <c r="D28" s="17"/>
      <c r="E28" s="17"/>
      <c r="F28" s="17"/>
    </row>
  </sheetData>
  <mergeCells count="2">
    <mergeCell ref="A1:F1"/>
    <mergeCell ref="A26:F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6"/>
    <col collapsed="false" customWidth="true" hidden="false" outlineLevel="0" max="3" min="3" style="0" width="40"/>
    <col collapsed="false" customWidth="true" hidden="false" outlineLevel="0" max="4" min="4" style="0" width="36"/>
    <col collapsed="false" customWidth="true" hidden="false" outlineLevel="0" max="5" min="5" style="0" width="28"/>
  </cols>
  <sheetData>
    <row r="1" customFormat="false" ht="17.35" hidden="false" customHeight="false" outlineLevel="0" collapsed="false">
      <c r="A1" s="61" t="s">
        <v>918</v>
      </c>
      <c r="B1" s="61"/>
      <c r="C1" s="61"/>
      <c r="D1" s="61"/>
      <c r="E1" s="61"/>
    </row>
    <row r="2" customFormat="false" ht="15" hidden="false" customHeight="false" outlineLevel="0" collapsed="false">
      <c r="A2" s="62" t="s">
        <v>919</v>
      </c>
      <c r="B2" s="62"/>
      <c r="C2" s="62"/>
      <c r="D2" s="62"/>
      <c r="E2" s="62"/>
    </row>
    <row r="4" customFormat="false" ht="15" hidden="false" customHeight="false" outlineLevel="0" collapsed="false">
      <c r="A4" s="18" t="s">
        <v>920</v>
      </c>
      <c r="B4" s="18"/>
      <c r="C4" s="18"/>
      <c r="D4" s="18"/>
      <c r="E4" s="18"/>
    </row>
    <row r="5" customFormat="false" ht="15" hidden="false" customHeight="false" outlineLevel="0" collapsed="false">
      <c r="A5" s="63" t="s">
        <v>921</v>
      </c>
      <c r="B5" s="63" t="s">
        <v>922</v>
      </c>
      <c r="C5" s="63" t="s">
        <v>923</v>
      </c>
      <c r="D5" s="63" t="s">
        <v>924</v>
      </c>
      <c r="E5" s="63" t="s">
        <v>925</v>
      </c>
    </row>
    <row r="6" customFormat="false" ht="42" hidden="false" customHeight="true" outlineLevel="0" collapsed="false">
      <c r="A6" s="64" t="s">
        <v>926</v>
      </c>
      <c r="B6" s="65" t="s">
        <v>927</v>
      </c>
      <c r="C6" s="65" t="s">
        <v>928</v>
      </c>
      <c r="D6" s="65" t="s">
        <v>929</v>
      </c>
      <c r="E6" s="66" t="s">
        <v>930</v>
      </c>
    </row>
    <row r="7" customFormat="false" ht="42" hidden="false" customHeight="true" outlineLevel="0" collapsed="false">
      <c r="A7" s="64" t="s">
        <v>931</v>
      </c>
      <c r="B7" s="65" t="s">
        <v>932</v>
      </c>
      <c r="C7" s="65" t="s">
        <v>933</v>
      </c>
      <c r="D7" s="65" t="s">
        <v>934</v>
      </c>
      <c r="E7" s="67" t="s">
        <v>935</v>
      </c>
    </row>
    <row r="8" customFormat="false" ht="42" hidden="false" customHeight="true" outlineLevel="0" collapsed="false">
      <c r="A8" s="64" t="s">
        <v>936</v>
      </c>
      <c r="B8" s="65" t="s">
        <v>937</v>
      </c>
      <c r="C8" s="65" t="s">
        <v>938</v>
      </c>
      <c r="D8" s="65" t="s">
        <v>939</v>
      </c>
      <c r="E8" s="67" t="s">
        <v>935</v>
      </c>
    </row>
    <row r="9" customFormat="false" ht="42" hidden="false" customHeight="true" outlineLevel="0" collapsed="false">
      <c r="A9" s="64" t="s">
        <v>940</v>
      </c>
      <c r="B9" s="65" t="s">
        <v>941</v>
      </c>
      <c r="C9" s="65" t="s">
        <v>942</v>
      </c>
      <c r="D9" s="65" t="s">
        <v>943</v>
      </c>
      <c r="E9" s="67" t="s">
        <v>935</v>
      </c>
    </row>
    <row r="10" customFormat="false" ht="42" hidden="false" customHeight="true" outlineLevel="0" collapsed="false">
      <c r="A10" s="64" t="s">
        <v>944</v>
      </c>
      <c r="B10" s="65" t="s">
        <v>945</v>
      </c>
      <c r="C10" s="65" t="s">
        <v>946</v>
      </c>
      <c r="D10" s="65" t="s">
        <v>947</v>
      </c>
      <c r="E10" s="67" t="s">
        <v>935</v>
      </c>
    </row>
    <row r="11" customFormat="false" ht="42" hidden="false" customHeight="true" outlineLevel="0" collapsed="false">
      <c r="A11" s="64" t="s">
        <v>948</v>
      </c>
      <c r="B11" s="65" t="s">
        <v>949</v>
      </c>
      <c r="C11" s="65" t="s">
        <v>950</v>
      </c>
      <c r="D11" s="65" t="s">
        <v>951</v>
      </c>
      <c r="E11" s="66" t="s">
        <v>952</v>
      </c>
    </row>
    <row r="12" customFormat="false" ht="42" hidden="false" customHeight="true" outlineLevel="0" collapsed="false">
      <c r="A12" s="64" t="s">
        <v>953</v>
      </c>
      <c r="B12" s="65" t="s">
        <v>954</v>
      </c>
      <c r="C12" s="65" t="s">
        <v>955</v>
      </c>
      <c r="D12" s="65" t="s">
        <v>956</v>
      </c>
      <c r="E12" s="67" t="s">
        <v>935</v>
      </c>
    </row>
    <row r="13" customFormat="false" ht="42" hidden="false" customHeight="true" outlineLevel="0" collapsed="false">
      <c r="A13" s="64" t="s">
        <v>957</v>
      </c>
      <c r="B13" s="65" t="s">
        <v>958</v>
      </c>
      <c r="C13" s="65" t="s">
        <v>959</v>
      </c>
      <c r="D13" s="65" t="s">
        <v>960</v>
      </c>
      <c r="E13" s="67" t="s">
        <v>935</v>
      </c>
    </row>
    <row r="14" customFormat="false" ht="42" hidden="false" customHeight="true" outlineLevel="0" collapsed="false">
      <c r="A14" s="64" t="s">
        <v>961</v>
      </c>
      <c r="B14" s="65" t="s">
        <v>962</v>
      </c>
      <c r="C14" s="65" t="s">
        <v>963</v>
      </c>
      <c r="D14" s="65" t="s">
        <v>964</v>
      </c>
      <c r="E14" s="67" t="s">
        <v>965</v>
      </c>
    </row>
    <row r="15" customFormat="false" ht="42" hidden="false" customHeight="true" outlineLevel="0" collapsed="false">
      <c r="A15" s="64" t="s">
        <v>966</v>
      </c>
      <c r="B15" s="65" t="s">
        <v>967</v>
      </c>
      <c r="C15" s="65" t="s">
        <v>968</v>
      </c>
      <c r="D15" s="65" t="s">
        <v>969</v>
      </c>
      <c r="E15" s="68" t="s">
        <v>922</v>
      </c>
    </row>
    <row r="16" customFormat="false" ht="42" hidden="false" customHeight="true" outlineLevel="0" collapsed="false">
      <c r="A16" s="64" t="s">
        <v>970</v>
      </c>
      <c r="B16" s="65" t="s">
        <v>971</v>
      </c>
      <c r="C16" s="65" t="s">
        <v>972</v>
      </c>
      <c r="D16" s="65" t="s">
        <v>973</v>
      </c>
      <c r="E16" s="67" t="s">
        <v>974</v>
      </c>
    </row>
    <row r="17" customFormat="false" ht="42" hidden="false" customHeight="true" outlineLevel="0" collapsed="false">
      <c r="A17" s="64" t="s">
        <v>975</v>
      </c>
      <c r="B17" s="65" t="s">
        <v>976</v>
      </c>
      <c r="C17" s="65" t="s">
        <v>977</v>
      </c>
      <c r="D17" s="65" t="s">
        <v>978</v>
      </c>
      <c r="E17" s="67" t="s">
        <v>979</v>
      </c>
    </row>
    <row r="18" customFormat="false" ht="42" hidden="false" customHeight="true" outlineLevel="0" collapsed="false">
      <c r="A18" s="64" t="s">
        <v>980</v>
      </c>
      <c r="B18" s="65" t="s">
        <v>981</v>
      </c>
      <c r="C18" s="65" t="s">
        <v>982</v>
      </c>
      <c r="D18" s="65" t="s">
        <v>983</v>
      </c>
      <c r="E18" s="68" t="s">
        <v>922</v>
      </c>
    </row>
    <row r="19" customFormat="false" ht="42" hidden="false" customHeight="true" outlineLevel="0" collapsed="false">
      <c r="A19" s="64" t="s">
        <v>984</v>
      </c>
      <c r="B19" s="65" t="s">
        <v>985</v>
      </c>
      <c r="C19" s="65" t="s">
        <v>986</v>
      </c>
      <c r="D19" s="65" t="s">
        <v>987</v>
      </c>
      <c r="E19" s="68" t="s">
        <v>922</v>
      </c>
    </row>
    <row r="21" customFormat="false" ht="15" hidden="false" customHeight="false" outlineLevel="0" collapsed="false">
      <c r="A21" s="18" t="s">
        <v>988</v>
      </c>
      <c r="B21" s="18"/>
      <c r="C21" s="18"/>
      <c r="D21" s="18"/>
      <c r="E21" s="18"/>
    </row>
    <row r="22" customFormat="false" ht="75" hidden="false" customHeight="true" outlineLevel="0" collapsed="false">
      <c r="A22" s="69" t="s">
        <v>989</v>
      </c>
      <c r="B22" s="69"/>
      <c r="C22" s="69"/>
      <c r="D22" s="69"/>
      <c r="E22" s="69"/>
    </row>
    <row r="23" customFormat="false" ht="15" hidden="false" customHeight="false" outlineLevel="0" collapsed="false">
      <c r="A23" s="69"/>
      <c r="B23" s="69"/>
      <c r="C23" s="69"/>
      <c r="D23" s="69"/>
      <c r="E23" s="69"/>
    </row>
    <row r="24" customFormat="false" ht="15" hidden="false" customHeight="false" outlineLevel="0" collapsed="false">
      <c r="A24" s="69"/>
      <c r="B24" s="69"/>
      <c r="C24" s="69"/>
      <c r="D24" s="69"/>
      <c r="E24" s="69"/>
    </row>
    <row r="25" customFormat="false" ht="15" hidden="false" customHeight="false" outlineLevel="0" collapsed="false">
      <c r="A25" s="69"/>
      <c r="B25" s="69"/>
      <c r="C25" s="69"/>
      <c r="D25" s="69"/>
      <c r="E25" s="69"/>
    </row>
    <row r="27" customFormat="false" ht="15" hidden="false" customHeight="false" outlineLevel="0" collapsed="false">
      <c r="A27" s="18" t="s">
        <v>990</v>
      </c>
      <c r="B27" s="18"/>
      <c r="C27" s="18"/>
      <c r="D27" s="18"/>
      <c r="E27" s="18"/>
    </row>
    <row r="28" customFormat="false" ht="69.75" hidden="false" customHeight="true" outlineLevel="0" collapsed="false">
      <c r="A28" s="70" t="s">
        <v>991</v>
      </c>
      <c r="B28" s="70"/>
      <c r="C28" s="70"/>
      <c r="D28" s="70"/>
      <c r="E28" s="70"/>
    </row>
    <row r="29" customFormat="false" ht="15" hidden="false" customHeight="false" outlineLevel="0" collapsed="false">
      <c r="A29" s="70"/>
      <c r="B29" s="70"/>
      <c r="C29" s="70"/>
      <c r="D29" s="70"/>
      <c r="E29" s="70"/>
    </row>
    <row r="30" customFormat="false" ht="15" hidden="false" customHeight="false" outlineLevel="0" collapsed="false">
      <c r="A30" s="70"/>
      <c r="B30" s="70"/>
      <c r="C30" s="70"/>
      <c r="D30" s="70"/>
      <c r="E30" s="70"/>
    </row>
    <row r="31" customFormat="false" ht="15" hidden="false" customHeight="false" outlineLevel="0" collapsed="false">
      <c r="A31" s="70"/>
      <c r="B31" s="70"/>
      <c r="C31" s="70"/>
      <c r="D31" s="70"/>
      <c r="E31" s="70"/>
    </row>
  </sheetData>
  <mergeCells count="7">
    <mergeCell ref="A1:E1"/>
    <mergeCell ref="A2:E2"/>
    <mergeCell ref="A4:E4"/>
    <mergeCell ref="A21:E21"/>
    <mergeCell ref="A22:E25"/>
    <mergeCell ref="A27:E27"/>
    <mergeCell ref="A28: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2026-07-25T15:13:44Z</dcterms:created>
  <dc:creator>openpyxl</dc:creator>
  <dc:description/>
  <dc:language>en-US</dc:language>
  <cp:lastModifiedBy/>
  <dcterms:modified xsi:type="dcterms:W3CDTF">2026-07-25T15:26:58Z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