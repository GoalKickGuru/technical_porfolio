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emperature" sheetId="2" state="visible" r:id="rId4"/>
    <sheet name="Mechanics" sheetId="3" state="visible" r:id="rId5"/>
    <sheet name="Simulation" sheetId="4" state="visible" r:id="rId6"/>
    <sheet name="Charts Data" sheetId="5" state="visible" r:id="rId7"/>
    <sheet name="Notes &amp; Formul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<sst xmlns="http://schemas.openxmlformats.org/spreadsheetml/2006/main" count="195" uniqueCount="164">
  <si>
    <t xml:space="preserve">Getting Ready for Physics Class — Analysis Workbook</t>
  </si>
  <si>
    <t xml:space="preserve">Interactive spreadsheet version of the temperature, force, energy &amp; work toolkit. Blue text / yellow cells = editable inputs. All other values are formulas.</t>
  </si>
  <si>
    <t xml:space="preserve">CORE RESULTS (Original Parameters)</t>
  </si>
  <si>
    <t xml:space="preserve">Metric</t>
  </si>
  <si>
    <t xml:space="preserve">Value</t>
  </si>
  <si>
    <t xml:space="preserve">Unit</t>
  </si>
  <si>
    <t xml:space="preserve">Notes</t>
  </si>
  <si>
    <t xml:space="preserve">100 °F → Celsius</t>
  </si>
  <si>
    <t xml:space="preserve">°C</t>
  </si>
  <si>
    <t xml:space="preserve">f_to_c(100)</t>
  </si>
  <si>
    <t xml:space="preserve">0 °C → Fahrenheit</t>
  </si>
  <si>
    <t xml:space="preserve">°F</t>
  </si>
  <si>
    <t xml:space="preserve">c_to_f(0)</t>
  </si>
  <si>
    <t xml:space="preserve">Train Force</t>
  </si>
  <si>
    <t xml:space="preserve">N</t>
  </si>
  <si>
    <t xml:space="preserve">get_force(mass, accel)</t>
  </si>
  <si>
    <t xml:space="preserve">Bomb Energy</t>
  </si>
  <si>
    <t xml:space="preserve">J</t>
  </si>
  <si>
    <t xml:space="preserve">get_energy(1 kg, c=3e8)</t>
  </si>
  <si>
    <t xml:space="preserve">Train Work</t>
  </si>
  <si>
    <t xml:space="preserve">get_work = force × distance</t>
  </si>
  <si>
    <t xml:space="preserve">REQUIRED PRINT STATEMENTS</t>
  </si>
  <si>
    <t xml:space="preserve">The GE train supplies</t>
  </si>
  <si>
    <t xml:space="preserve">Newtons of force.</t>
  </si>
  <si>
    <t xml:space="preserve">A 1kg bomb supplies</t>
  </si>
  <si>
    <t xml:space="preserve">Joules.</t>
  </si>
  <si>
    <t xml:space="preserve">The GE train does</t>
  </si>
  <si>
    <t xml:space="preserve">Joules of work over</t>
  </si>
  <si>
    <t xml:space="preserve">meters.</t>
  </si>
  <si>
    <t xml:space="preserve">SHEETS OVERVIEW</t>
  </si>
  <si>
    <t xml:space="preserve">Dashboard</t>
  </si>
  <si>
    <t xml:space="preserve">This page – key results &amp; navigation</t>
  </si>
  <si>
    <t xml:space="preserve">Temperature</t>
  </si>
  <si>
    <t xml:space="preserve">F ↔ C ↔ K converters with live formulas</t>
  </si>
  <si>
    <t xml:space="preserve">Mechanics</t>
  </si>
  <si>
    <t xml:space="preserve">Force, Energy, Work (editable train &amp; bomb inputs)</t>
  </si>
  <si>
    <t xml:space="preserve">Simulation</t>
  </si>
  <si>
    <t xml:space="preserve">Multi-scenario comparison – change parameters freely</t>
  </si>
  <si>
    <t xml:space="preserve">Charts Data</t>
  </si>
  <si>
    <t xml:space="preserve">Data tables powering the embedded charts</t>
  </si>
  <si>
    <t xml:space="preserve">Notes &amp; Formulas</t>
  </si>
  <si>
    <t xml:space="preserve">Physics equations and usage guide</t>
  </si>
  <si>
    <t xml:space="preserve">Temperature Conversions</t>
  </si>
  <si>
    <t xml:space="preserve">INPUTS (edit yellow cells)</t>
  </si>
  <si>
    <t xml:space="preserve">Fahrenheit input</t>
  </si>
  <si>
    <t xml:space="preserve">Celsius input</t>
  </si>
  <si>
    <t xml:space="preserve">Kelvin input</t>
  </si>
  <si>
    <t xml:space="preserve">K</t>
  </si>
  <si>
    <t xml:space="preserve">CONVERSION RESULTS (formulas)</t>
  </si>
  <si>
    <t xml:space="preserve">From</t>
  </si>
  <si>
    <t xml:space="preserve">To</t>
  </si>
  <si>
    <t xml:space="preserve">Result</t>
  </si>
  <si>
    <t xml:space="preserve">Formula used</t>
  </si>
  <si>
    <t xml:space="preserve">Fahrenheit</t>
  </si>
  <si>
    <t xml:space="preserve">Celsius</t>
  </si>
  <si>
    <t xml:space="preserve">C = (F − 32) × 5/9</t>
  </si>
  <si>
    <t xml:space="preserve">F = C × (9/5) + 32</t>
  </si>
  <si>
    <t xml:space="preserve">Kelvin</t>
  </si>
  <si>
    <t xml:space="preserve">K = C + 273.15</t>
  </si>
  <si>
    <t xml:space="preserve">C = K − 273.15</t>
  </si>
  <si>
    <t xml:space="preserve">K = (F − 32) × 5/9 + 273.15</t>
  </si>
  <si>
    <t xml:space="preserve">QUICK REFERENCE TABLE (common points)</t>
  </si>
  <si>
    <t xml:space="preserve">Description</t>
  </si>
  <si>
    <t xml:space="preserve">Same number in F and C</t>
  </si>
  <si>
    <t xml:space="preserve">Freezing point of water</t>
  </si>
  <si>
    <t xml:space="preserve">Room temperature approx.</t>
  </si>
  <si>
    <t xml:space="preserve">Body temperature</t>
  </si>
  <si>
    <t xml:space="preserve">Boiling point of water</t>
  </si>
  <si>
    <t xml:space="preserve">Force, Energy &amp; Work</t>
  </si>
  <si>
    <t xml:space="preserve">TRAIN PARAMETERS (edit yellow cells)</t>
  </si>
  <si>
    <t xml:space="preserve">train_mass</t>
  </si>
  <si>
    <t xml:space="preserve">kg</t>
  </si>
  <si>
    <t xml:space="preserve">train_acceleration</t>
  </si>
  <si>
    <t xml:space="preserve">m/s²</t>
  </si>
  <si>
    <t xml:space="preserve">train_distance</t>
  </si>
  <si>
    <t xml:space="preserve">m</t>
  </si>
  <si>
    <t xml:space="preserve">FORCE  (F = m × a)</t>
  </si>
  <si>
    <t xml:space="preserve">N (Newtons)</t>
  </si>
  <si>
    <t xml:space="preserve">BOMB / ENERGY PARAMETERS</t>
  </si>
  <si>
    <t xml:space="preserve">bomb_mass</t>
  </si>
  <si>
    <t xml:space="preserve">speed of light (c)</t>
  </si>
  <si>
    <t xml:space="preserve">m/s</t>
  </si>
  <si>
    <t xml:space="preserve">ENERGY  (E = m × c²)</t>
  </si>
  <si>
    <t xml:space="preserve">J (Joules)</t>
  </si>
  <si>
    <t xml:space="preserve">WORK</t>
  </si>
  <si>
    <t xml:space="preserve">Work = Force × Distance</t>
  </si>
  <si>
    <t xml:space="preserve">(internally uses get_force first)</t>
  </si>
  <si>
    <t xml:space="preserve">WORK  (W = F × d)</t>
  </si>
  <si>
    <t xml:space="preserve">EXTENDED PRACTICE</t>
  </si>
  <si>
    <t xml:space="preserve">velocity (for KE)</t>
  </si>
  <si>
    <t xml:space="preserve">Kinetic Energy (½mv²)</t>
  </si>
  <si>
    <t xml:space="preserve">time (for power)</t>
  </si>
  <si>
    <t xml:space="preserve">s</t>
  </si>
  <si>
    <t xml:space="preserve">Power (W/t)</t>
  </si>
  <si>
    <t xml:space="preserve">W (Watts)</t>
  </si>
  <si>
    <t xml:space="preserve">Gravitational constant G</t>
  </si>
  <si>
    <t xml:space="preserve">m³ kg⁻¹ s⁻²</t>
  </si>
  <si>
    <t xml:space="preserve">m1 (Earth)</t>
  </si>
  <si>
    <t xml:space="preserve">m2 (Moon)</t>
  </si>
  <si>
    <t xml:space="preserve">r (Earth-Moon)</t>
  </si>
  <si>
    <t xml:space="preserve">Gravitational Force</t>
  </si>
  <si>
    <t xml:space="preserve">Interactive Simulation — Change Parameters &amp; Compare Scenarios</t>
  </si>
  <si>
    <t xml:space="preserve">INSTRUCTIONS: Edit any yellow cell. Force and Work recalculate automatically via formulas.</t>
  </si>
  <si>
    <t xml:space="preserve">Scenario</t>
  </si>
  <si>
    <t xml:space="preserve">Mass (kg)</t>
  </si>
  <si>
    <t xml:space="preserve">Accel (m/s²)</t>
  </si>
  <si>
    <t xml:space="preserve">Distance (m)</t>
  </si>
  <si>
    <t xml:space="preserve">Force (N)</t>
  </si>
  <si>
    <t xml:space="preserve">Work (J)</t>
  </si>
  <si>
    <t xml:space="preserve">Original GE Train</t>
  </si>
  <si>
    <t xml:space="preserve">Linked to Mechanics sheet</t>
  </si>
  <si>
    <t xml:space="preserve">Light metro</t>
  </si>
  <si>
    <t xml:space="preserve">Urban short-haul</t>
  </si>
  <si>
    <t xml:space="preserve">Heavy freight</t>
  </si>
  <si>
    <t xml:space="preserve">Long heavy train</t>
  </si>
  <si>
    <t xml:space="preserve">High-speed</t>
  </si>
  <si>
    <t xml:space="preserve">Faster acceleration</t>
  </si>
  <si>
    <t xml:space="preserve">Custom 1</t>
  </si>
  <si>
    <t xml:space="preserve">Edit yellow cells</t>
  </si>
  <si>
    <t xml:space="preserve">Custom 2</t>
  </si>
  <si>
    <t xml:space="preserve">SIMULATION SUMMARY</t>
  </si>
  <si>
    <t xml:space="preserve">Max Force scenario</t>
  </si>
  <si>
    <t xml:space="preserve">Max Work scenario</t>
  </si>
  <si>
    <t xml:space="preserve">Total Work (all scenarios)</t>
  </si>
  <si>
    <t xml:space="preserve">Data for Charts (auto-updated from Simulation)</t>
  </si>
  <si>
    <t xml:space="preserve">Temperature Curve Data (F → C)</t>
  </si>
  <si>
    <t xml:space="preserve">Notes, Physics Equations &amp; Usage Guide</t>
  </si>
  <si>
    <t xml:space="preserve">COLOR LEGEND</t>
  </si>
  <si>
    <t xml:space="preserve">Yellow cells with blue text</t>
  </si>
  <si>
    <t xml:space="preserve">Editable inputs – change these to explore scenarios</t>
  </si>
  <si>
    <t xml:space="preserve">Light green cells</t>
  </si>
  <si>
    <t xml:space="preserve">Calculated results (formulas) – do not edit</t>
  </si>
  <si>
    <t xml:space="preserve">Light green (linked)</t>
  </si>
  <si>
    <t xml:space="preserve">Values pulled from another sheet (Simulation ← Mechanics)</t>
  </si>
  <si>
    <t xml:space="preserve">CORE PHYSICS EQUATIONS</t>
  </si>
  <si>
    <t xml:space="preserve">Fahrenheit → Celsius</t>
  </si>
  <si>
    <t xml:space="preserve">Celsius → Fahrenheit</t>
  </si>
  <si>
    <t xml:space="preserve">Celsius → Kelvin</t>
  </si>
  <si>
    <t xml:space="preserve">Force</t>
  </si>
  <si>
    <t xml:space="preserve">F = m × a</t>
  </si>
  <si>
    <t xml:space="preserve">Energy (rest)</t>
  </si>
  <si>
    <t xml:space="preserve">E = m × c²</t>
  </si>
  <si>
    <t xml:space="preserve">Work</t>
  </si>
  <si>
    <t xml:space="preserve">W = F × d  (or m × a × d)</t>
  </si>
  <si>
    <t xml:space="preserve">Kinetic Energy</t>
  </si>
  <si>
    <t xml:space="preserve">KE = ½ m v²</t>
  </si>
  <si>
    <t xml:space="preserve">Power</t>
  </si>
  <si>
    <t xml:space="preserve">P = W / t</t>
  </si>
  <si>
    <t xml:space="preserve">F = G × m1 × m2 / r²</t>
  </si>
  <si>
    <t xml:space="preserve">HOW TO USE THIS WORKBOOK</t>
  </si>
  <si>
    <t xml:space="preserve">1. Start on the Dashboard to see the original Codecademy results.</t>
  </si>
  <si>
    <t xml:space="preserve">2. Go to Mechanics and change train_mass, train_acceleration or train_distance (yellow cells).</t>
  </si>
  <si>
    <t xml:space="preserve">3. Watch Force and Work update automatically.</t>
  </si>
  <si>
    <t xml:space="preserve">4. On Simulation sheet, edit any of the Custom scenarios or the pre-filled ones.</t>
  </si>
  <si>
    <t xml:space="preserve">5. Charts on the Charts Data sheet refresh when you change Simulation values (after recalc).</t>
  </si>
  <si>
    <t xml:space="preserve">6. Temperature sheet lets you convert any F/C/K value live.</t>
  </si>
  <si>
    <t xml:space="preserve">7. All formulas are native Excel – no macros required. Open in Excel, Google Sheets or LibreOffice.</t>
  </si>
  <si>
    <t xml:space="preserve">COMPANION FILES</t>
  </si>
  <si>
    <t xml:space="preserve">Physics_Class_Practice_Skeleton.ipynb</t>
  </si>
  <si>
    <t xml:space="preserve">Practice notebook with TODOs</t>
  </si>
  <si>
    <t xml:space="preserve">Physics_Class_Solution.ipynb</t>
  </si>
  <si>
    <t xml:space="preserve">Complete solution + alternates + simulation</t>
  </si>
  <si>
    <t xml:space="preserve">Physics_Class_1Page_Summary_Report.docx</t>
  </si>
  <si>
    <t xml:space="preserve">One-page executive summary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</si>
</sst>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#,##0.00"/>
    <numFmt numFmtId="167" formatCode="#,##0"/>
    <numFmt numFmtId="168" formatCode="0.00E+00"/>
    <numFmt numFmtId="169" formatCode="General"/>
    <numFmt numFmtId="170" formatCode="0.0"/>
    <numFmt numFmtId="171" formatCode="0.00000E+00"/>
    <numFmt numFmtId="172" formatCode="0.000E+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  <font>
      <sz val="10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8F5E9"/>
        <bgColor rgb="FFF5F5F5"/>
      </patternFill>
    </fill>
    <fill>
      <patternFill patternType="solid">
        <fgColor rgb="FFFFF2CC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D5F5E3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993366"/>
      <rgbColor rgb="FFFFF2CC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5F5E3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4F81BD"/>
      <rgbColor rgb="FF003366"/>
      <rgbColor rgb="FF4A7EBB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Force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'Charts Data'!B3</c:f>
              <c:strCache>
                <c:ptCount val="1"/>
                <c:pt idx="0">
                  <c:v>Force (N)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Data'!$A$4:$A$9</c:f>
              <c:strCache>
                <c:ptCount val="6"/>
                <c:pt idx="0">
                  <c:v>Original GE Train</c:v>
                </c:pt>
                <c:pt idx="1">
                  <c:v>Light metro</c:v>
                </c:pt>
                <c:pt idx="2">
                  <c:v>Heavy freight</c:v>
                </c:pt>
                <c:pt idx="3">
                  <c:v>High-speed</c:v>
                </c:pt>
                <c:pt idx="4">
                  <c:v>Custom 1</c:v>
                </c:pt>
                <c:pt idx="5">
                  <c:v>Custom 2</c:v>
                </c:pt>
              </c:strCache>
            </c:strRef>
          </c:cat>
          <c:val>
            <c:numRef>
              <c:f>'Charts Data'!$B$4:$B$9</c:f>
              <c:numCache>
                <c:formatCode>#,##0</c:formatCode>
                <c:ptCount val="6"/>
                <c:pt idx="0">
                  <c:v>226800</c:v>
                </c:pt>
                <c:pt idx="1">
                  <c:v>40000</c:v>
                </c:pt>
                <c:pt idx="2">
                  <c:v>120000</c:v>
                </c:pt>
                <c:pt idx="3">
                  <c:v>216000</c:v>
                </c:pt>
                <c:pt idx="4">
                  <c:v>105000</c:v>
                </c:pt>
                <c:pt idx="5">
                  <c:v>150000</c:v>
                </c:pt>
              </c:numCache>
            </c:numRef>
          </c:val>
        </c:ser>
        <c:gapWidth val="150"/>
        <c:overlap val="0"/>
        <c:axId val="68995261"/>
        <c:axId val="70934800"/>
      </c:barChart>
      <c:catAx>
        <c:axId val="689952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34800"/>
        <c:crosses val="autoZero"/>
        <c:auto val="1"/>
        <c:lblAlgn val="ctr"/>
        <c:lblOffset val="100"/>
        <c:noMultiLvlLbl val="0"/>
      </c:catAx>
      <c:valAx>
        <c:axId val="70934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Force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952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'Charts Data'!C3</c:f>
              <c:strCache>
                <c:ptCount val="1"/>
                <c:pt idx="0">
                  <c:v>Work (J)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Data'!$A$4:$A$9</c:f>
              <c:strCache>
                <c:ptCount val="6"/>
                <c:pt idx="0">
                  <c:v>Original GE Train</c:v>
                </c:pt>
                <c:pt idx="1">
                  <c:v>Light metro</c:v>
                </c:pt>
                <c:pt idx="2">
                  <c:v>Heavy freight</c:v>
                </c:pt>
                <c:pt idx="3">
                  <c:v>High-speed</c:v>
                </c:pt>
                <c:pt idx="4">
                  <c:v>Custom 1</c:v>
                </c:pt>
                <c:pt idx="5">
                  <c:v>Custom 2</c:v>
                </c:pt>
              </c:strCache>
            </c:strRef>
          </c:cat>
          <c:val>
            <c:numRef>
              <c:f>'Charts Data'!$C$4:$C$9</c:f>
              <c:numCache>
                <c:formatCode>#,##0</c:formatCode>
                <c:ptCount val="6"/>
                <c:pt idx="0">
                  <c:v>22680000</c:v>
                </c:pt>
                <c:pt idx="1">
                  <c:v>3200000</c:v>
                </c:pt>
                <c:pt idx="2">
                  <c:v>18000000</c:v>
                </c:pt>
                <c:pt idx="3">
                  <c:v>25920000</c:v>
                </c:pt>
                <c:pt idx="4">
                  <c:v>9450000</c:v>
                </c:pt>
                <c:pt idx="5">
                  <c:v>30000000</c:v>
                </c:pt>
              </c:numCache>
            </c:numRef>
          </c:val>
        </c:ser>
        <c:gapWidth val="150"/>
        <c:overlap val="0"/>
        <c:axId val="87164929"/>
        <c:axId val="4909561"/>
      </c:barChart>
      <c:catAx>
        <c:axId val="871649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9561"/>
        <c:crosses val="autoZero"/>
        <c:auto val="1"/>
        <c:lblAlgn val="ctr"/>
        <c:lblOffset val="100"/>
        <c:noMultiLvlLbl val="0"/>
      </c:catAx>
      <c:valAx>
        <c:axId val="49095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Work (J)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649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Fahrenheit → Celsius Conversion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'Charts Data'!B13</c:f>
              <c:strCache>
                <c:ptCount val="1"/>
                <c:pt idx="0">
                  <c:v>°C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Data'!$A$14:$A$22</c:f>
              <c:strCache>
                <c:ptCount val="9"/>
                <c:pt idx="0">
                  <c:v>-40</c:v>
                </c:pt>
                <c:pt idx="1">
                  <c:v>0</c:v>
                </c:pt>
                <c:pt idx="2">
                  <c:v>32</c:v>
                </c:pt>
                <c:pt idx="3">
                  <c:v>50</c:v>
                </c:pt>
                <c:pt idx="4">
                  <c:v>68</c:v>
                </c:pt>
                <c:pt idx="5">
                  <c:v>98.6</c:v>
                </c:pt>
                <c:pt idx="6">
                  <c:v>100</c:v>
                </c:pt>
                <c:pt idx="7">
                  <c:v>150</c:v>
                </c:pt>
                <c:pt idx="8">
                  <c:v>212</c:v>
                </c:pt>
              </c:strCache>
            </c:strRef>
          </c:cat>
          <c:val>
            <c:numRef>
              <c:f>'Charts Data'!$B$14:$B$22</c:f>
              <c:numCache>
                <c:formatCode>0.00</c:formatCode>
                <c:ptCount val="9"/>
                <c:pt idx="0">
                  <c:v>-40</c:v>
                </c:pt>
                <c:pt idx="1">
                  <c:v>-17.7777777777778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37</c:v>
                </c:pt>
                <c:pt idx="6">
                  <c:v>37.7777777777778</c:v>
                </c:pt>
                <c:pt idx="7">
                  <c:v>65.5555555555556</c:v>
                </c:pt>
                <c:pt idx="8">
                  <c:v>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539446"/>
        <c:axId val="96710369"/>
      </c:lineChart>
      <c:catAx>
        <c:axId val="705394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10369"/>
        <c:crosses val="autoZero"/>
        <c:auto val="1"/>
        <c:lblAlgn val="ctr"/>
        <c:lblOffset val="100"/>
        <c:noMultiLvlLbl val="0"/>
      </c:catAx>
      <c:valAx>
        <c:axId val="967103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394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130680</xdr:rowOff>
    </xdr:from>
    <xdr:to>
      <xdr:col>12</xdr:col>
      <xdr:colOff>507240</xdr:colOff>
      <xdr:row>16</xdr:row>
      <xdr:rowOff>92880</xdr:rowOff>
    </xdr:to>
    <xdr:graphicFrame>
      <xdr:nvGraphicFramePr>
        <xdr:cNvPr id="0" name="Chart 1"/>
        <xdr:cNvGraphicFramePr/>
      </xdr:nvGraphicFramePr>
      <xdr:xfrm>
        <a:off x="3853800" y="378360"/>
        <a:ext cx="5399280" cy="287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16</xdr:row>
      <xdr:rowOff>71280</xdr:rowOff>
    </xdr:from>
    <xdr:to>
      <xdr:col>12</xdr:col>
      <xdr:colOff>507240</xdr:colOff>
      <xdr:row>31</xdr:row>
      <xdr:rowOff>92880</xdr:rowOff>
    </xdr:to>
    <xdr:graphicFrame>
      <xdr:nvGraphicFramePr>
        <xdr:cNvPr id="1" name="Chart 2"/>
        <xdr:cNvGraphicFramePr/>
      </xdr:nvGraphicFramePr>
      <xdr:xfrm>
        <a:off x="3853800" y="323352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32</xdr:row>
      <xdr:rowOff>71280</xdr:rowOff>
    </xdr:from>
    <xdr:to>
      <xdr:col>11</xdr:col>
      <xdr:colOff>38880</xdr:colOff>
      <xdr:row>47</xdr:row>
      <xdr:rowOff>93240</xdr:rowOff>
    </xdr:to>
    <xdr:graphicFrame>
      <xdr:nvGraphicFramePr>
        <xdr:cNvPr id="2" name="Chart 3"/>
        <xdr:cNvGraphicFramePr/>
      </xdr:nvGraphicFramePr>
      <xdr:xfrm>
        <a:off x="3853800" y="628164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8"/>
    <col collapsed="false" customWidth="true" hidden="false" outlineLevel="0" max="4" min="4" style="1" width="32"/>
    <col collapsed="false" customWidth="true" hidden="false" outlineLevel="0" max="5" min="5" style="1" width="12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</row>
    <row r="5" customFormat="false" ht="17.2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true" outlineLevel="0" collapsed="false">
      <c r="A6" s="6" t="s">
        <v>7</v>
      </c>
      <c r="B6" s="7" t="n">
        <f aca="false">Temperature!C10</f>
        <v>37.7777777777778</v>
      </c>
      <c r="C6" s="8" t="s">
        <v>8</v>
      </c>
      <c r="D6" s="9" t="s">
        <v>9</v>
      </c>
    </row>
    <row r="7" customFormat="false" ht="15" hidden="false" customHeight="true" outlineLevel="0" collapsed="false">
      <c r="A7" s="6" t="s">
        <v>10</v>
      </c>
      <c r="B7" s="7" t="n">
        <f aca="false">Temperature!C11</f>
        <v>32</v>
      </c>
      <c r="C7" s="8" t="s">
        <v>11</v>
      </c>
      <c r="D7" s="9" t="s">
        <v>12</v>
      </c>
    </row>
    <row r="8" customFormat="false" ht="15" hidden="false" customHeight="true" outlineLevel="0" collapsed="false">
      <c r="A8" s="6" t="s">
        <v>13</v>
      </c>
      <c r="B8" s="10" t="n">
        <f aca="false">Mechanics!B8</f>
        <v>226800</v>
      </c>
      <c r="C8" s="8" t="s">
        <v>14</v>
      </c>
      <c r="D8" s="9" t="s">
        <v>15</v>
      </c>
    </row>
    <row r="9" customFormat="false" ht="15" hidden="false" customHeight="true" outlineLevel="0" collapsed="false">
      <c r="A9" s="6" t="s">
        <v>16</v>
      </c>
      <c r="B9" s="10" t="n">
        <f aca="false">Mechanics!B14</f>
        <v>90000000000000000</v>
      </c>
      <c r="C9" s="8" t="s">
        <v>17</v>
      </c>
      <c r="D9" s="9" t="s">
        <v>18</v>
      </c>
    </row>
    <row r="10" customFormat="false" ht="15" hidden="false" customHeight="true" outlineLevel="0" collapsed="false">
      <c r="A10" s="6" t="s">
        <v>19</v>
      </c>
      <c r="B10" s="10" t="n">
        <f aca="false">Mechanics!B20</f>
        <v>22680000</v>
      </c>
      <c r="C10" s="8" t="s">
        <v>17</v>
      </c>
      <c r="D10" s="9" t="s">
        <v>20</v>
      </c>
    </row>
    <row r="12" customFormat="false" ht="15" hidden="false" customHeight="true" outlineLevel="0" collapsed="false">
      <c r="A12" s="4" t="s">
        <v>21</v>
      </c>
      <c r="B12" s="4"/>
      <c r="C12" s="4"/>
      <c r="D12" s="4"/>
    </row>
    <row r="13" customFormat="false" ht="15" hidden="false" customHeight="true" outlineLevel="0" collapsed="false">
      <c r="A13" s="11" t="s">
        <v>22</v>
      </c>
      <c r="B13" s="12" t="n">
        <f aca="false">Mechanics!B8</f>
        <v>226800</v>
      </c>
      <c r="C13" s="11" t="s">
        <v>23</v>
      </c>
    </row>
    <row r="14" customFormat="false" ht="15" hidden="false" customHeight="true" outlineLevel="0" collapsed="false">
      <c r="A14" s="11" t="s">
        <v>24</v>
      </c>
      <c r="B14" s="13" t="n">
        <f aca="false">Mechanics!B14</f>
        <v>90000000000000000</v>
      </c>
      <c r="C14" s="11" t="s">
        <v>25</v>
      </c>
    </row>
    <row r="15" customFormat="false" ht="15" hidden="false" customHeight="true" outlineLevel="0" collapsed="false">
      <c r="A15" s="11" t="s">
        <v>26</v>
      </c>
      <c r="B15" s="12" t="n">
        <f aca="false">Mechanics!B20</f>
        <v>22680000</v>
      </c>
      <c r="C15" s="11" t="s">
        <v>27</v>
      </c>
      <c r="D15" s="14" t="n">
        <f aca="false">Mechanics!B6</f>
        <v>100</v>
      </c>
      <c r="E15" s="11" t="s">
        <v>28</v>
      </c>
    </row>
    <row r="17" customFormat="false" ht="15" hidden="false" customHeight="true" outlineLevel="0" collapsed="false">
      <c r="A17" s="4" t="s">
        <v>29</v>
      </c>
      <c r="B17" s="4"/>
    </row>
    <row r="18" customFormat="false" ht="15" hidden="false" customHeight="true" outlineLevel="0" collapsed="false">
      <c r="A18" s="15" t="s">
        <v>30</v>
      </c>
      <c r="B18" s="6" t="s">
        <v>31</v>
      </c>
    </row>
    <row r="19" customFormat="false" ht="15" hidden="false" customHeight="true" outlineLevel="0" collapsed="false">
      <c r="A19" s="15" t="s">
        <v>32</v>
      </c>
      <c r="B19" s="6" t="s">
        <v>33</v>
      </c>
    </row>
    <row r="20" customFormat="false" ht="15" hidden="false" customHeight="true" outlineLevel="0" collapsed="false">
      <c r="A20" s="15" t="s">
        <v>34</v>
      </c>
      <c r="B20" s="6" t="s">
        <v>35</v>
      </c>
    </row>
    <row r="21" customFormat="false" ht="15" hidden="false" customHeight="true" outlineLevel="0" collapsed="false">
      <c r="A21" s="15" t="s">
        <v>36</v>
      </c>
      <c r="B21" s="6" t="s">
        <v>37</v>
      </c>
    </row>
    <row r="22" customFormat="false" ht="15" hidden="false" customHeight="true" outlineLevel="0" collapsed="false">
      <c r="A22" s="15" t="s">
        <v>38</v>
      </c>
      <c r="B22" s="6" t="s">
        <v>39</v>
      </c>
    </row>
    <row r="23" customFormat="false" ht="15" hidden="false" customHeight="true" outlineLevel="0" collapsed="false">
      <c r="A23" s="15" t="s">
        <v>40</v>
      </c>
      <c r="B23" s="6" t="s">
        <v>41</v>
      </c>
    </row>
  </sheetData>
  <mergeCells count="5">
    <mergeCell ref="A1:H1"/>
    <mergeCell ref="A2:H2"/>
    <mergeCell ref="A4:D4"/>
    <mergeCell ref="A12:D12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4" min="4" style="1" width="36"/>
  </cols>
  <sheetData>
    <row r="1" customFormat="false" ht="19.5" hidden="false" customHeight="true" outlineLevel="0" collapsed="false">
      <c r="A1" s="16" t="s">
        <v>42</v>
      </c>
      <c r="B1" s="16"/>
      <c r="C1" s="16"/>
      <c r="D1" s="16"/>
      <c r="E1" s="16"/>
      <c r="F1" s="16"/>
    </row>
    <row r="3" customFormat="false" ht="15" hidden="false" customHeight="true" outlineLevel="0" collapsed="false">
      <c r="A3" s="4" t="s">
        <v>43</v>
      </c>
      <c r="B3" s="4"/>
      <c r="C3" s="4"/>
    </row>
    <row r="4" customFormat="false" ht="15" hidden="false" customHeight="true" outlineLevel="0" collapsed="false">
      <c r="A4" s="6" t="s">
        <v>44</v>
      </c>
      <c r="B4" s="17" t="n">
        <v>100</v>
      </c>
      <c r="C4" s="1" t="s">
        <v>11</v>
      </c>
    </row>
    <row r="5" customFormat="false" ht="15" hidden="false" customHeight="true" outlineLevel="0" collapsed="false">
      <c r="A5" s="6" t="s">
        <v>45</v>
      </c>
      <c r="B5" s="17" t="n">
        <v>0</v>
      </c>
      <c r="C5" s="1" t="s">
        <v>8</v>
      </c>
    </row>
    <row r="6" customFormat="false" ht="15" hidden="false" customHeight="true" outlineLevel="0" collapsed="false">
      <c r="A6" s="6" t="s">
        <v>46</v>
      </c>
      <c r="B6" s="17" t="n">
        <v>273.15</v>
      </c>
      <c r="C6" s="1" t="s">
        <v>47</v>
      </c>
    </row>
    <row r="8" customFormat="false" ht="15" hidden="false" customHeight="true" outlineLevel="0" collapsed="false">
      <c r="A8" s="4" t="s">
        <v>48</v>
      </c>
      <c r="B8" s="4"/>
      <c r="C8" s="4"/>
      <c r="D8" s="4"/>
    </row>
    <row r="9" customFormat="false" ht="17.25" hidden="false" customHeight="true" outlineLevel="0" collapsed="false">
      <c r="A9" s="5" t="s">
        <v>49</v>
      </c>
      <c r="B9" s="5" t="s">
        <v>50</v>
      </c>
      <c r="C9" s="5" t="s">
        <v>51</v>
      </c>
      <c r="D9" s="5" t="s">
        <v>52</v>
      </c>
    </row>
    <row r="10" customFormat="false" ht="15" hidden="false" customHeight="true" outlineLevel="0" collapsed="false">
      <c r="A10" s="18" t="s">
        <v>53</v>
      </c>
      <c r="B10" s="18" t="s">
        <v>54</v>
      </c>
      <c r="C10" s="19" t="n">
        <f aca="false">(B4-32)*5/9</f>
        <v>37.7777777777778</v>
      </c>
      <c r="D10" s="18" t="s">
        <v>55</v>
      </c>
    </row>
    <row r="11" customFormat="false" ht="15" hidden="false" customHeight="true" outlineLevel="0" collapsed="false">
      <c r="A11" s="18" t="s">
        <v>54</v>
      </c>
      <c r="B11" s="18" t="s">
        <v>53</v>
      </c>
      <c r="C11" s="19" t="n">
        <f aca="false">B5*(9/5)+32</f>
        <v>32</v>
      </c>
      <c r="D11" s="18" t="s">
        <v>56</v>
      </c>
    </row>
    <row r="12" customFormat="false" ht="15" hidden="false" customHeight="true" outlineLevel="0" collapsed="false">
      <c r="A12" s="18" t="s">
        <v>54</v>
      </c>
      <c r="B12" s="18" t="s">
        <v>57</v>
      </c>
      <c r="C12" s="19" t="n">
        <f aca="false">B5+273.15</f>
        <v>273.15</v>
      </c>
      <c r="D12" s="18" t="s">
        <v>58</v>
      </c>
    </row>
    <row r="13" customFormat="false" ht="15" hidden="false" customHeight="true" outlineLevel="0" collapsed="false">
      <c r="A13" s="18" t="s">
        <v>57</v>
      </c>
      <c r="B13" s="18" t="s">
        <v>54</v>
      </c>
      <c r="C13" s="19" t="n">
        <f aca="false">B6-273.15</f>
        <v>0</v>
      </c>
      <c r="D13" s="18" t="s">
        <v>59</v>
      </c>
    </row>
    <row r="14" customFormat="false" ht="15" hidden="false" customHeight="true" outlineLevel="0" collapsed="false">
      <c r="A14" s="18" t="s">
        <v>53</v>
      </c>
      <c r="B14" s="18" t="s">
        <v>57</v>
      </c>
      <c r="C14" s="19" t="n">
        <f aca="false">(B4-32)*5/9+273.15</f>
        <v>310.927777777778</v>
      </c>
      <c r="D14" s="18" t="s">
        <v>60</v>
      </c>
    </row>
    <row r="16" customFormat="false" ht="15" hidden="false" customHeight="true" outlineLevel="0" collapsed="false">
      <c r="A16" s="4" t="s">
        <v>61</v>
      </c>
      <c r="B16" s="4"/>
      <c r="C16" s="4"/>
      <c r="D16" s="4"/>
    </row>
    <row r="17" customFormat="false" ht="17.25" hidden="false" customHeight="true" outlineLevel="0" collapsed="false">
      <c r="A17" s="5" t="s">
        <v>11</v>
      </c>
      <c r="B17" s="5" t="s">
        <v>8</v>
      </c>
      <c r="C17" s="5" t="s">
        <v>47</v>
      </c>
      <c r="D17" s="5" t="s">
        <v>62</v>
      </c>
    </row>
    <row r="18" customFormat="false" ht="15" hidden="false" customHeight="true" outlineLevel="0" collapsed="false">
      <c r="A18" s="20" t="n">
        <v>-40</v>
      </c>
      <c r="B18" s="20" t="n">
        <v>-40</v>
      </c>
      <c r="C18" s="21" t="n">
        <v>233.15</v>
      </c>
      <c r="D18" s="22" t="s">
        <v>63</v>
      </c>
    </row>
    <row r="19" customFormat="false" ht="15" hidden="false" customHeight="true" outlineLevel="0" collapsed="false">
      <c r="A19" s="23" t="n">
        <v>32</v>
      </c>
      <c r="B19" s="23" t="n">
        <v>0</v>
      </c>
      <c r="C19" s="24" t="n">
        <v>273.15</v>
      </c>
      <c r="D19" s="6" t="s">
        <v>64</v>
      </c>
    </row>
    <row r="20" customFormat="false" ht="15" hidden="false" customHeight="true" outlineLevel="0" collapsed="false">
      <c r="A20" s="20" t="n">
        <v>68</v>
      </c>
      <c r="B20" s="20" t="n">
        <v>20</v>
      </c>
      <c r="C20" s="21" t="n">
        <v>293.15</v>
      </c>
      <c r="D20" s="22" t="s">
        <v>65</v>
      </c>
    </row>
    <row r="21" customFormat="false" ht="15" hidden="false" customHeight="true" outlineLevel="0" collapsed="false">
      <c r="A21" s="23" t="n">
        <v>98.6</v>
      </c>
      <c r="B21" s="23" t="n">
        <v>37</v>
      </c>
      <c r="C21" s="24" t="n">
        <v>310.15</v>
      </c>
      <c r="D21" s="6" t="s">
        <v>66</v>
      </c>
    </row>
    <row r="22" customFormat="false" ht="15" hidden="false" customHeight="true" outlineLevel="0" collapsed="false">
      <c r="A22" s="20" t="n">
        <v>212</v>
      </c>
      <c r="B22" s="20" t="n">
        <v>100</v>
      </c>
      <c r="C22" s="21" t="n">
        <v>373.15</v>
      </c>
      <c r="D22" s="22" t="s">
        <v>67</v>
      </c>
    </row>
  </sheetData>
  <mergeCells count="4">
    <mergeCell ref="A1:F1"/>
    <mergeCell ref="A3:C3"/>
    <mergeCell ref="A8:D8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  <col collapsed="false" customWidth="true" hidden="false" outlineLevel="0" max="4" min="4" style="1" width="20"/>
  </cols>
  <sheetData>
    <row r="1" customFormat="false" ht="19.5" hidden="false" customHeight="true" outlineLevel="0" collapsed="false">
      <c r="A1" s="16" t="s">
        <v>68</v>
      </c>
      <c r="B1" s="16"/>
      <c r="C1" s="16"/>
      <c r="D1" s="16"/>
      <c r="E1" s="16"/>
    </row>
    <row r="3" customFormat="false" ht="15" hidden="false" customHeight="true" outlineLevel="0" collapsed="false">
      <c r="A3" s="4" t="s">
        <v>69</v>
      </c>
      <c r="B3" s="4"/>
      <c r="C3" s="4"/>
    </row>
    <row r="4" customFormat="false" ht="15" hidden="false" customHeight="true" outlineLevel="0" collapsed="false">
      <c r="A4" s="6" t="s">
        <v>70</v>
      </c>
      <c r="B4" s="25" t="n">
        <v>22680</v>
      </c>
      <c r="C4" s="11" t="s">
        <v>71</v>
      </c>
    </row>
    <row r="5" customFormat="false" ht="15" hidden="false" customHeight="true" outlineLevel="0" collapsed="false">
      <c r="A5" s="6" t="s">
        <v>72</v>
      </c>
      <c r="B5" s="17" t="n">
        <v>10</v>
      </c>
      <c r="C5" s="11" t="s">
        <v>73</v>
      </c>
    </row>
    <row r="6" customFormat="false" ht="15" hidden="false" customHeight="true" outlineLevel="0" collapsed="false">
      <c r="A6" s="6" t="s">
        <v>74</v>
      </c>
      <c r="B6" s="17" t="n">
        <v>100</v>
      </c>
      <c r="C6" s="11" t="s">
        <v>75</v>
      </c>
    </row>
    <row r="8" customFormat="false" ht="15" hidden="false" customHeight="true" outlineLevel="0" collapsed="false">
      <c r="A8" s="26" t="s">
        <v>76</v>
      </c>
      <c r="B8" s="10" t="n">
        <f aca="false">B4*B5</f>
        <v>226800</v>
      </c>
      <c r="C8" s="11" t="s">
        <v>77</v>
      </c>
    </row>
    <row r="10" customFormat="false" ht="15" hidden="false" customHeight="true" outlineLevel="0" collapsed="false">
      <c r="A10" s="4" t="s">
        <v>78</v>
      </c>
      <c r="B10" s="4"/>
      <c r="C10" s="4"/>
    </row>
    <row r="11" customFormat="false" ht="15" hidden="false" customHeight="true" outlineLevel="0" collapsed="false">
      <c r="A11" s="6" t="s">
        <v>79</v>
      </c>
      <c r="B11" s="17" t="n">
        <v>1</v>
      </c>
      <c r="C11" s="1" t="s">
        <v>71</v>
      </c>
    </row>
    <row r="12" customFormat="false" ht="15" hidden="false" customHeight="true" outlineLevel="0" collapsed="false">
      <c r="A12" s="6" t="s">
        <v>80</v>
      </c>
      <c r="B12" s="27" t="n">
        <v>300000000</v>
      </c>
      <c r="C12" s="1" t="s">
        <v>81</v>
      </c>
    </row>
    <row r="14" customFormat="false" ht="15" hidden="false" customHeight="true" outlineLevel="0" collapsed="false">
      <c r="A14" s="26" t="s">
        <v>82</v>
      </c>
      <c r="B14" s="28" t="n">
        <f aca="false">B11*B12^2</f>
        <v>90000000000000000</v>
      </c>
      <c r="C14" s="11" t="s">
        <v>83</v>
      </c>
    </row>
    <row r="16" customFormat="false" ht="15" hidden="false" customHeight="true" outlineLevel="0" collapsed="false">
      <c r="A16" s="4" t="s">
        <v>84</v>
      </c>
      <c r="B16" s="4"/>
      <c r="C16" s="4"/>
    </row>
    <row r="17" customFormat="false" ht="15" hidden="false" customHeight="true" outlineLevel="0" collapsed="false">
      <c r="A17" s="29" t="s">
        <v>85</v>
      </c>
    </row>
    <row r="18" customFormat="false" ht="15" hidden="false" customHeight="true" outlineLevel="0" collapsed="false">
      <c r="A18" s="30" t="s">
        <v>86</v>
      </c>
    </row>
    <row r="20" customFormat="false" ht="15" hidden="false" customHeight="true" outlineLevel="0" collapsed="false">
      <c r="A20" s="26" t="s">
        <v>87</v>
      </c>
      <c r="B20" s="10" t="n">
        <f aca="false">B8*B6</f>
        <v>22680000</v>
      </c>
      <c r="C20" s="11" t="s">
        <v>83</v>
      </c>
    </row>
    <row r="22" customFormat="false" ht="15" hidden="false" customHeight="true" outlineLevel="0" collapsed="false">
      <c r="A22" s="4" t="s">
        <v>88</v>
      </c>
      <c r="B22" s="4"/>
      <c r="C22" s="4"/>
    </row>
    <row r="23" customFormat="false" ht="15" hidden="false" customHeight="true" outlineLevel="0" collapsed="false">
      <c r="A23" s="6" t="s">
        <v>89</v>
      </c>
      <c r="B23" s="17" t="n">
        <v>20</v>
      </c>
      <c r="C23" s="1" t="s">
        <v>81</v>
      </c>
    </row>
    <row r="24" customFormat="false" ht="15" hidden="false" customHeight="true" outlineLevel="0" collapsed="false">
      <c r="A24" s="6" t="s">
        <v>90</v>
      </c>
      <c r="B24" s="10" t="n">
        <f aca="false">0.5*B4*B23^2</f>
        <v>4536000</v>
      </c>
      <c r="C24" s="1" t="s">
        <v>17</v>
      </c>
    </row>
    <row r="25" customFormat="false" ht="15" hidden="false" customHeight="true" outlineLevel="0" collapsed="false">
      <c r="A25" s="6" t="s">
        <v>91</v>
      </c>
      <c r="B25" s="17" t="n">
        <v>10</v>
      </c>
      <c r="C25" s="1" t="s">
        <v>92</v>
      </c>
    </row>
    <row r="26" customFormat="false" ht="15" hidden="false" customHeight="true" outlineLevel="0" collapsed="false">
      <c r="A26" s="6" t="s">
        <v>93</v>
      </c>
      <c r="B26" s="10" t="n">
        <f aca="false">B20/B25</f>
        <v>2268000</v>
      </c>
      <c r="C26" s="1" t="s">
        <v>94</v>
      </c>
    </row>
    <row r="28" customFormat="false" ht="15" hidden="false" customHeight="true" outlineLevel="0" collapsed="false">
      <c r="A28" s="6" t="s">
        <v>95</v>
      </c>
      <c r="B28" s="31" t="n">
        <v>6.6743E-011</v>
      </c>
      <c r="C28" s="1" t="s">
        <v>96</v>
      </c>
    </row>
    <row r="29" customFormat="false" ht="15" hidden="false" customHeight="true" outlineLevel="0" collapsed="false">
      <c r="A29" s="6" t="s">
        <v>97</v>
      </c>
      <c r="B29" s="32" t="n">
        <v>5.972E+024</v>
      </c>
    </row>
    <row r="30" customFormat="false" ht="15" hidden="false" customHeight="true" outlineLevel="0" collapsed="false">
      <c r="A30" s="6" t="s">
        <v>98</v>
      </c>
      <c r="B30" s="32" t="n">
        <v>7.348E+022</v>
      </c>
    </row>
    <row r="31" customFormat="false" ht="15" hidden="false" customHeight="true" outlineLevel="0" collapsed="false">
      <c r="A31" s="6" t="s">
        <v>99</v>
      </c>
      <c r="B31" s="32" t="n">
        <v>384400000</v>
      </c>
      <c r="C31" s="1" t="s">
        <v>75</v>
      </c>
    </row>
    <row r="32" customFormat="false" ht="15" hidden="false" customHeight="true" outlineLevel="0" collapsed="false">
      <c r="A32" s="6" t="s">
        <v>100</v>
      </c>
      <c r="B32" s="33" t="n">
        <f aca="false">B28*B29*B30/B31^2</f>
        <v>1.98211072907925E+020</v>
      </c>
      <c r="C32" s="1" t="s">
        <v>14</v>
      </c>
    </row>
  </sheetData>
  <mergeCells count="5">
    <mergeCell ref="A1:E1"/>
    <mergeCell ref="A3:C3"/>
    <mergeCell ref="A10:C10"/>
    <mergeCell ref="A16:C16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6" min="2" style="1" width="14"/>
    <col collapsed="false" customWidth="true" hidden="false" outlineLevel="0" max="7" min="7" style="1" width="20"/>
  </cols>
  <sheetData>
    <row r="1" customFormat="false" ht="19.5" hidden="false" customHeight="true" outlineLevel="0" collapsed="false">
      <c r="A1" s="16" t="s">
        <v>101</v>
      </c>
      <c r="B1" s="16"/>
      <c r="C1" s="16"/>
      <c r="D1" s="16"/>
      <c r="E1" s="16"/>
      <c r="F1" s="16"/>
      <c r="G1" s="16"/>
    </row>
    <row r="3" customFormat="false" ht="15" hidden="false" customHeight="true" outlineLevel="0" collapsed="false">
      <c r="A3" s="3" t="s">
        <v>102</v>
      </c>
      <c r="B3" s="3"/>
      <c r="C3" s="3"/>
      <c r="D3" s="3"/>
      <c r="E3" s="3"/>
      <c r="F3" s="3"/>
      <c r="G3" s="3"/>
    </row>
    <row r="5" customFormat="false" ht="32.25" hidden="false" customHeight="true" outlineLevel="0" collapsed="false">
      <c r="A5" s="5" t="s">
        <v>103</v>
      </c>
      <c r="B5" s="5" t="s">
        <v>104</v>
      </c>
      <c r="C5" s="5" t="s">
        <v>105</v>
      </c>
      <c r="D5" s="5" t="s">
        <v>106</v>
      </c>
      <c r="E5" s="5" t="s">
        <v>107</v>
      </c>
      <c r="F5" s="5" t="s">
        <v>108</v>
      </c>
      <c r="G5" s="5" t="s">
        <v>6</v>
      </c>
    </row>
    <row r="6" customFormat="false" ht="23.25" hidden="false" customHeight="true" outlineLevel="0" collapsed="false">
      <c r="A6" s="34" t="s">
        <v>109</v>
      </c>
      <c r="B6" s="35" t="n">
        <f aca="false">Mechanics!B4</f>
        <v>22680</v>
      </c>
      <c r="C6" s="36" t="n">
        <f aca="false">Mechanics!B5</f>
        <v>10</v>
      </c>
      <c r="D6" s="36" t="n">
        <f aca="false">Mechanics!B6</f>
        <v>100</v>
      </c>
      <c r="E6" s="10" t="n">
        <f aca="false">B6*C6</f>
        <v>226800</v>
      </c>
      <c r="F6" s="10" t="n">
        <f aca="false">E6*D6</f>
        <v>22680000</v>
      </c>
      <c r="G6" s="34" t="s">
        <v>110</v>
      </c>
    </row>
    <row r="7" customFormat="false" ht="15" hidden="false" customHeight="true" outlineLevel="0" collapsed="false">
      <c r="A7" s="6" t="s">
        <v>111</v>
      </c>
      <c r="B7" s="25" t="n">
        <v>5000</v>
      </c>
      <c r="C7" s="17" t="n">
        <v>8</v>
      </c>
      <c r="D7" s="17" t="n">
        <v>80</v>
      </c>
      <c r="E7" s="10" t="n">
        <f aca="false">B7*C7</f>
        <v>40000</v>
      </c>
      <c r="F7" s="10" t="n">
        <f aca="false">E7*D7</f>
        <v>3200000</v>
      </c>
      <c r="G7" s="37" t="s">
        <v>112</v>
      </c>
    </row>
    <row r="8" customFormat="false" ht="15" hidden="false" customHeight="true" outlineLevel="0" collapsed="false">
      <c r="A8" s="6" t="s">
        <v>113</v>
      </c>
      <c r="B8" s="25" t="n">
        <v>40000</v>
      </c>
      <c r="C8" s="17" t="n">
        <v>3</v>
      </c>
      <c r="D8" s="17" t="n">
        <v>150</v>
      </c>
      <c r="E8" s="10" t="n">
        <f aca="false">B8*C8</f>
        <v>120000</v>
      </c>
      <c r="F8" s="10" t="n">
        <f aca="false">E8*D8</f>
        <v>18000000</v>
      </c>
      <c r="G8" s="37" t="s">
        <v>114</v>
      </c>
    </row>
    <row r="9" customFormat="false" ht="15" hidden="false" customHeight="true" outlineLevel="0" collapsed="false">
      <c r="A9" s="6" t="s">
        <v>115</v>
      </c>
      <c r="B9" s="25" t="n">
        <v>18000</v>
      </c>
      <c r="C9" s="17" t="n">
        <v>12</v>
      </c>
      <c r="D9" s="17" t="n">
        <v>120</v>
      </c>
      <c r="E9" s="10" t="n">
        <f aca="false">B9*C9</f>
        <v>216000</v>
      </c>
      <c r="F9" s="10" t="n">
        <f aca="false">E9*D9</f>
        <v>25920000</v>
      </c>
      <c r="G9" s="37" t="s">
        <v>116</v>
      </c>
    </row>
    <row r="10" customFormat="false" ht="15" hidden="false" customHeight="true" outlineLevel="0" collapsed="false">
      <c r="A10" s="6" t="s">
        <v>117</v>
      </c>
      <c r="B10" s="25" t="n">
        <v>15000</v>
      </c>
      <c r="C10" s="17" t="n">
        <v>7</v>
      </c>
      <c r="D10" s="17" t="n">
        <v>90</v>
      </c>
      <c r="E10" s="10" t="n">
        <f aca="false">B10*C10</f>
        <v>105000</v>
      </c>
      <c r="F10" s="10" t="n">
        <f aca="false">E10*D10</f>
        <v>9450000</v>
      </c>
      <c r="G10" s="37" t="s">
        <v>118</v>
      </c>
    </row>
    <row r="11" customFormat="false" ht="15" hidden="false" customHeight="true" outlineLevel="0" collapsed="false">
      <c r="A11" s="6" t="s">
        <v>119</v>
      </c>
      <c r="B11" s="25" t="n">
        <v>30000</v>
      </c>
      <c r="C11" s="17" t="n">
        <v>5</v>
      </c>
      <c r="D11" s="17" t="n">
        <v>200</v>
      </c>
      <c r="E11" s="10" t="n">
        <f aca="false">B11*C11</f>
        <v>150000</v>
      </c>
      <c r="F11" s="10" t="n">
        <f aca="false">E11*D11</f>
        <v>30000000</v>
      </c>
      <c r="G11" s="37" t="s">
        <v>118</v>
      </c>
    </row>
    <row r="14" customFormat="false" ht="15" hidden="false" customHeight="true" outlineLevel="0" collapsed="false">
      <c r="A14" s="4" t="s">
        <v>120</v>
      </c>
      <c r="B14" s="4"/>
      <c r="C14" s="4"/>
    </row>
    <row r="15" customFormat="false" ht="23.25" hidden="false" customHeight="true" outlineLevel="0" collapsed="false">
      <c r="A15" s="1" t="s">
        <v>121</v>
      </c>
      <c r="B15" s="34" t="str">
        <f aca="false">INDEX(A6:A11,MATCH(MAX(E6:E11),E6:E11,0))</f>
        <v>Original GE Train</v>
      </c>
    </row>
    <row r="16" customFormat="false" ht="15" hidden="false" customHeight="true" outlineLevel="0" collapsed="false">
      <c r="A16" s="1" t="s">
        <v>122</v>
      </c>
      <c r="B16" s="34" t="str">
        <f aca="false">INDEX(A6:A11,MATCH(MAX(F6:F11),F6:F11,0))</f>
        <v>Custom 2</v>
      </c>
    </row>
    <row r="17" customFormat="false" ht="15" hidden="false" customHeight="true" outlineLevel="0" collapsed="false">
      <c r="A17" s="1" t="s">
        <v>123</v>
      </c>
      <c r="B17" s="10" t="n">
        <f aca="false">SUM(F6:F11)</f>
        <v>109250000</v>
      </c>
      <c r="C17" s="11" t="s">
        <v>17</v>
      </c>
    </row>
  </sheetData>
  <mergeCells count="3">
    <mergeCell ref="A1:G1"/>
    <mergeCell ref="A3:G3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</cols>
  <sheetData>
    <row r="1" customFormat="false" ht="19.5" hidden="false" customHeight="true" outlineLevel="0" collapsed="false">
      <c r="A1" s="16" t="s">
        <v>124</v>
      </c>
      <c r="B1" s="16"/>
      <c r="C1" s="16"/>
      <c r="D1" s="16"/>
    </row>
    <row r="3" customFormat="false" ht="17.25" hidden="false" customHeight="true" outlineLevel="0" collapsed="false">
      <c r="A3" s="5" t="s">
        <v>103</v>
      </c>
      <c r="B3" s="5" t="s">
        <v>107</v>
      </c>
      <c r="C3" s="5" t="s">
        <v>108</v>
      </c>
    </row>
    <row r="4" customFormat="false" ht="15" hidden="false" customHeight="true" outlineLevel="0" collapsed="false">
      <c r="A4" s="38" t="str">
        <f aca="false">Simulation!A6</f>
        <v>Original GE Train</v>
      </c>
      <c r="B4" s="39" t="n">
        <f aca="false">Simulation!E6</f>
        <v>226800</v>
      </c>
      <c r="C4" s="39" t="n">
        <f aca="false">Simulation!F6</f>
        <v>22680000</v>
      </c>
    </row>
    <row r="5" customFormat="false" ht="15" hidden="false" customHeight="true" outlineLevel="0" collapsed="false">
      <c r="A5" s="38" t="str">
        <f aca="false">Simulation!A7</f>
        <v>Light metro</v>
      </c>
      <c r="B5" s="39" t="n">
        <f aca="false">Simulation!E7</f>
        <v>40000</v>
      </c>
      <c r="C5" s="39" t="n">
        <f aca="false">Simulation!F7</f>
        <v>3200000</v>
      </c>
    </row>
    <row r="6" customFormat="false" ht="15" hidden="false" customHeight="true" outlineLevel="0" collapsed="false">
      <c r="A6" s="38" t="str">
        <f aca="false">Simulation!A8</f>
        <v>Heavy freight</v>
      </c>
      <c r="B6" s="39" t="n">
        <f aca="false">Simulation!E8</f>
        <v>120000</v>
      </c>
      <c r="C6" s="39" t="n">
        <f aca="false">Simulation!F8</f>
        <v>18000000</v>
      </c>
    </row>
    <row r="7" customFormat="false" ht="15" hidden="false" customHeight="true" outlineLevel="0" collapsed="false">
      <c r="A7" s="38" t="str">
        <f aca="false">Simulation!A9</f>
        <v>High-speed</v>
      </c>
      <c r="B7" s="39" t="n">
        <f aca="false">Simulation!E9</f>
        <v>216000</v>
      </c>
      <c r="C7" s="39" t="n">
        <f aca="false">Simulation!F9</f>
        <v>25920000</v>
      </c>
    </row>
    <row r="8" customFormat="false" ht="15" hidden="false" customHeight="true" outlineLevel="0" collapsed="false">
      <c r="A8" s="38" t="str">
        <f aca="false">Simulation!A10</f>
        <v>Custom 1</v>
      </c>
      <c r="B8" s="39" t="n">
        <f aca="false">Simulation!E10</f>
        <v>105000</v>
      </c>
      <c r="C8" s="39" t="n">
        <f aca="false">Simulation!F10</f>
        <v>9450000</v>
      </c>
    </row>
    <row r="9" customFormat="false" ht="15" hidden="false" customHeight="true" outlineLevel="0" collapsed="false">
      <c r="A9" s="38" t="str">
        <f aca="false">Simulation!A11</f>
        <v>Custom 2</v>
      </c>
      <c r="B9" s="39" t="n">
        <f aca="false">Simulation!E11</f>
        <v>150000</v>
      </c>
      <c r="C9" s="39" t="n">
        <f aca="false">Simulation!F11</f>
        <v>30000000</v>
      </c>
    </row>
    <row r="12" customFormat="false" ht="15" hidden="false" customHeight="true" outlineLevel="0" collapsed="false">
      <c r="A12" s="40" t="s">
        <v>125</v>
      </c>
    </row>
    <row r="13" customFormat="false" ht="17.25" hidden="false" customHeight="true" outlineLevel="0" collapsed="false">
      <c r="A13" s="5" t="s">
        <v>11</v>
      </c>
      <c r="B13" s="5" t="s">
        <v>8</v>
      </c>
    </row>
    <row r="14" customFormat="false" ht="15" hidden="false" customHeight="true" outlineLevel="0" collapsed="false">
      <c r="A14" s="38" t="n">
        <v>-40</v>
      </c>
      <c r="B14" s="19" t="n">
        <f aca="false">(A14-32)*5/9</f>
        <v>-40</v>
      </c>
    </row>
    <row r="15" customFormat="false" ht="15" hidden="false" customHeight="true" outlineLevel="0" collapsed="false">
      <c r="A15" s="38" t="n">
        <v>0</v>
      </c>
      <c r="B15" s="19" t="n">
        <f aca="false">(A15-32)*5/9</f>
        <v>-17.7777777777778</v>
      </c>
    </row>
    <row r="16" customFormat="false" ht="15" hidden="false" customHeight="true" outlineLevel="0" collapsed="false">
      <c r="A16" s="38" t="n">
        <v>32</v>
      </c>
      <c r="B16" s="19" t="n">
        <f aca="false">(A16-32)*5/9</f>
        <v>0</v>
      </c>
    </row>
    <row r="17" customFormat="false" ht="15" hidden="false" customHeight="true" outlineLevel="0" collapsed="false">
      <c r="A17" s="38" t="n">
        <v>50</v>
      </c>
      <c r="B17" s="19" t="n">
        <f aca="false">(A17-32)*5/9</f>
        <v>10</v>
      </c>
    </row>
    <row r="18" customFormat="false" ht="15" hidden="false" customHeight="true" outlineLevel="0" collapsed="false">
      <c r="A18" s="38" t="n">
        <v>68</v>
      </c>
      <c r="B18" s="19" t="n">
        <f aca="false">(A18-32)*5/9</f>
        <v>20</v>
      </c>
    </row>
    <row r="19" customFormat="false" ht="15" hidden="false" customHeight="true" outlineLevel="0" collapsed="false">
      <c r="A19" s="38" t="n">
        <v>98.6</v>
      </c>
      <c r="B19" s="19" t="n">
        <f aca="false">(A19-32)*5/9</f>
        <v>37</v>
      </c>
    </row>
    <row r="20" customFormat="false" ht="15" hidden="false" customHeight="true" outlineLevel="0" collapsed="false">
      <c r="A20" s="38" t="n">
        <v>100</v>
      </c>
      <c r="B20" s="19" t="n">
        <f aca="false">(A20-32)*5/9</f>
        <v>37.7777777777778</v>
      </c>
    </row>
    <row r="21" customFormat="false" ht="15" hidden="false" customHeight="true" outlineLevel="0" collapsed="false">
      <c r="A21" s="38" t="n">
        <v>150</v>
      </c>
      <c r="B21" s="19" t="n">
        <f aca="false">(A21-32)*5/9</f>
        <v>65.5555555555556</v>
      </c>
    </row>
    <row r="22" customFormat="false" ht="15" hidden="false" customHeight="true" outlineLevel="0" collapsed="false">
      <c r="A22" s="38" t="n">
        <v>212</v>
      </c>
      <c r="B22" s="19" t="n">
        <f aca="false">(A22-32)*5/9</f>
        <v>100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55"/>
  </cols>
  <sheetData>
    <row r="1" customFormat="false" ht="19.5" hidden="false" customHeight="true" outlineLevel="0" collapsed="false">
      <c r="A1" s="16" t="s">
        <v>126</v>
      </c>
      <c r="B1" s="16"/>
    </row>
    <row r="3" customFormat="false" ht="15" hidden="false" customHeight="true" outlineLevel="0" collapsed="false">
      <c r="A3" s="40" t="s">
        <v>127</v>
      </c>
    </row>
    <row r="4" customFormat="false" ht="15" hidden="false" customHeight="true" outlineLevel="0" collapsed="false">
      <c r="A4" s="41" t="s">
        <v>128</v>
      </c>
      <c r="B4" s="1" t="s">
        <v>129</v>
      </c>
    </row>
    <row r="5" customFormat="false" ht="15" hidden="false" customHeight="true" outlineLevel="0" collapsed="false">
      <c r="A5" s="42" t="s">
        <v>130</v>
      </c>
      <c r="B5" s="1" t="s">
        <v>131</v>
      </c>
    </row>
    <row r="6" customFormat="false" ht="15" hidden="false" customHeight="true" outlineLevel="0" collapsed="false">
      <c r="A6" s="43" t="s">
        <v>132</v>
      </c>
      <c r="B6" s="1" t="s">
        <v>133</v>
      </c>
    </row>
    <row r="8" customFormat="false" ht="15" hidden="false" customHeight="true" outlineLevel="0" collapsed="false">
      <c r="A8" s="40" t="s">
        <v>134</v>
      </c>
    </row>
    <row r="9" customFormat="false" ht="15" hidden="false" customHeight="true" outlineLevel="0" collapsed="false">
      <c r="A9" s="44" t="s">
        <v>135</v>
      </c>
      <c r="B9" s="45" t="s">
        <v>55</v>
      </c>
    </row>
    <row r="10" customFormat="false" ht="15" hidden="false" customHeight="true" outlineLevel="0" collapsed="false">
      <c r="A10" s="44" t="s">
        <v>136</v>
      </c>
      <c r="B10" s="45" t="s">
        <v>56</v>
      </c>
    </row>
    <row r="11" customFormat="false" ht="15" hidden="false" customHeight="true" outlineLevel="0" collapsed="false">
      <c r="A11" s="44" t="s">
        <v>137</v>
      </c>
      <c r="B11" s="45" t="s">
        <v>58</v>
      </c>
    </row>
    <row r="12" customFormat="false" ht="15" hidden="false" customHeight="true" outlineLevel="0" collapsed="false">
      <c r="A12" s="44" t="s">
        <v>138</v>
      </c>
      <c r="B12" s="45" t="s">
        <v>139</v>
      </c>
    </row>
    <row r="13" customFormat="false" ht="15" hidden="false" customHeight="true" outlineLevel="0" collapsed="false">
      <c r="A13" s="44" t="s">
        <v>140</v>
      </c>
      <c r="B13" s="45" t="s">
        <v>141</v>
      </c>
    </row>
    <row r="14" customFormat="false" ht="15" hidden="false" customHeight="true" outlineLevel="0" collapsed="false">
      <c r="A14" s="44" t="s">
        <v>142</v>
      </c>
      <c r="B14" s="45" t="s">
        <v>143</v>
      </c>
    </row>
    <row r="15" customFormat="false" ht="15" hidden="false" customHeight="true" outlineLevel="0" collapsed="false">
      <c r="A15" s="44" t="s">
        <v>144</v>
      </c>
      <c r="B15" s="45" t="s">
        <v>145</v>
      </c>
    </row>
    <row r="16" customFormat="false" ht="15" hidden="false" customHeight="true" outlineLevel="0" collapsed="false">
      <c r="A16" s="44" t="s">
        <v>146</v>
      </c>
      <c r="B16" s="45" t="s">
        <v>147</v>
      </c>
    </row>
    <row r="17" customFormat="false" ht="15" hidden="false" customHeight="true" outlineLevel="0" collapsed="false">
      <c r="A17" s="44" t="s">
        <v>100</v>
      </c>
      <c r="B17" s="45" t="s">
        <v>148</v>
      </c>
    </row>
    <row r="19" customFormat="false" ht="15" hidden="false" customHeight="true" outlineLevel="0" collapsed="false">
      <c r="A19" s="4" t="s">
        <v>149</v>
      </c>
      <c r="B19" s="4"/>
    </row>
    <row r="20" customFormat="false" ht="15" hidden="false" customHeight="true" outlineLevel="0" collapsed="false">
      <c r="A20" s="46" t="s">
        <v>150</v>
      </c>
      <c r="B20" s="46"/>
    </row>
    <row r="21" customFormat="false" ht="15" hidden="false" customHeight="true" outlineLevel="0" collapsed="false">
      <c r="A21" s="46" t="s">
        <v>151</v>
      </c>
      <c r="B21" s="46"/>
    </row>
    <row r="22" customFormat="false" ht="15" hidden="false" customHeight="true" outlineLevel="0" collapsed="false">
      <c r="A22" s="46" t="s">
        <v>152</v>
      </c>
      <c r="B22" s="46"/>
    </row>
    <row r="23" customFormat="false" ht="15" hidden="false" customHeight="true" outlineLevel="0" collapsed="false">
      <c r="A23" s="46" t="s">
        <v>153</v>
      </c>
      <c r="B23" s="46"/>
    </row>
    <row r="24" customFormat="false" ht="15" hidden="false" customHeight="true" outlineLevel="0" collapsed="false">
      <c r="A24" s="46" t="s">
        <v>154</v>
      </c>
      <c r="B24" s="46"/>
    </row>
    <row r="25" customFormat="false" ht="15" hidden="false" customHeight="true" outlineLevel="0" collapsed="false">
      <c r="A25" s="46" t="s">
        <v>155</v>
      </c>
      <c r="B25" s="46"/>
    </row>
    <row r="26" customFormat="false" ht="15" hidden="false" customHeight="true" outlineLevel="0" collapsed="false">
      <c r="A26" s="46" t="s">
        <v>156</v>
      </c>
      <c r="B26" s="46"/>
    </row>
    <row r="28" customFormat="false" ht="15" hidden="false" customHeight="true" outlineLevel="0" collapsed="false">
      <c r="A28" s="40" t="s">
        <v>157</v>
      </c>
    </row>
    <row r="29" customFormat="false" ht="15" hidden="false" customHeight="true" outlineLevel="0" collapsed="false">
      <c r="A29" s="1" t="s">
        <v>158</v>
      </c>
      <c r="B29" s="1" t="s">
        <v>159</v>
      </c>
    </row>
    <row r="30" customFormat="false" ht="15" hidden="false" customHeight="true" outlineLevel="0" collapsed="false">
      <c r="A30" s="1" t="s">
        <v>160</v>
      </c>
      <c r="B30" s="1" t="s">
        <v>161</v>
      </c>
    </row>
    <row r="31" customFormat="false" ht="15" hidden="false" customHeight="true" outlineLevel="0" collapsed="false">
      <c r="A31" s="1" t="s">
        <v>162</v>
      </c>
      <c r="B31" s="1" t="s">
        <v>163</v>
      </c>
    </row>
  </sheetData>
  <mergeCells count="9">
    <mergeCell ref="A1:B1"/>
    <mergeCell ref="A19:B19"/>
    <mergeCell ref="A20:B20"/>
    <mergeCell ref="A21:B21"/>
    <mergeCell ref="A22:B22"/>
    <mergeCell ref="A23:B23"/>
    <mergeCell ref="A24:B24"/>
    <mergeCell ref="A25:B25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2026-07-27T02:13:27Z</dcterms:created>
  <dc:creator>openpyxl</dc:creator>
  <dc:description/>
  <dc:language>en-US</dc:language>
  <cp:lastModifiedBy/>
  <dcterms:modified xsi:type="dcterms:W3CDTF">2026-07-27T02:13:59Z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