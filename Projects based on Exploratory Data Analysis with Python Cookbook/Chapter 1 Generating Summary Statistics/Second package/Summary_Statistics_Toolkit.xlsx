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rmulas_GoogleSheets" sheetId="2" state="visible" r:id="rId2"/>
    <sheet xmlns:r="http://schemas.openxmlformats.org/officeDocument/2006/relationships" name="Sample_Data" sheetId="3" state="visible" r:id="rId3"/>
    <sheet xmlns:r="http://schemas.openxmlformats.org/officeDocument/2006/relationships" name="Python_Results" sheetId="4" state="visible" r:id="rId4"/>
    <sheet xmlns:r="http://schemas.openxmlformats.org/officeDocument/2006/relationships" name="How_to_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sz val="10"/>
    </font>
    <font>
      <name val="Arial"/>
      <b val="1"/>
      <color rgb="001F4E79"/>
      <sz val="12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4" fillId="2" borderId="0" pivotButton="0" quotePrefix="0" xfId="0"/>
    <xf numFmtId="0" fontId="6" fillId="4" borderId="1" pivotButton="0" quotePrefix="0" xfId="0"/>
    <xf numFmtId="0" fontId="5" fillId="5" borderId="1" pivotButton="0" quotePrefix="0" xfId="0"/>
    <xf numFmtId="0" fontId="7" fillId="0" borderId="0" pivotButton="0" quotePrefix="0" xfId="0"/>
    <xf numFmtId="3" fontId="5" fillId="0" borderId="1" pivotButton="0" quotePrefix="0" xfId="0"/>
    <xf numFmtId="4" fontId="5" fillId="0" borderId="1" pivotButton="0" quotePrefix="0" xfId="0"/>
    <xf numFmtId="0" fontId="4" fillId="2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Summary Statistics – EDA Toolkit</t>
        </is>
      </c>
    </row>
    <row r="2">
      <c r="A2" s="2" t="inlineStr">
        <is>
          <t>Based on Exploratory Data Analysis with Python Cookbook (Packt) – Chapter 1 + practical extensions</t>
        </is>
      </c>
    </row>
    <row r="4">
      <c r="A4" s="3" t="inlineStr">
        <is>
          <t>Purpose</t>
        </is>
      </c>
    </row>
    <row r="5" ht="45" customHeight="1">
      <c r="A5" s="4" t="inlineStr">
        <is>
          <t>This workbook presents the core summary statistics used in exploratory data analysis, shows how they are computed in Python (numpy / pandas / scipy), and provides ready-to-use formulas that work in Google Sheets / Excel.</t>
        </is>
      </c>
    </row>
    <row r="7">
      <c r="A7" s="3" t="inlineStr">
        <is>
          <t>Statistics Covered</t>
        </is>
      </c>
    </row>
    <row r="8">
      <c r="A8" s="5" t="inlineStr">
        <is>
          <t>Statistic</t>
        </is>
      </c>
      <c r="B8" s="5" t="inlineStr">
        <is>
          <t>Description</t>
        </is>
      </c>
    </row>
    <row r="9">
      <c r="A9" s="6" t="inlineStr">
        <is>
          <t>1. Mean</t>
        </is>
      </c>
      <c r="B9" s="6" t="inlineStr">
        <is>
          <t>Average of values. Sensitive to outliers.</t>
        </is>
      </c>
    </row>
    <row r="10">
      <c r="A10" s="6" t="inlineStr">
        <is>
          <t>2. Median</t>
        </is>
      </c>
      <c r="B10" s="6" t="inlineStr">
        <is>
          <t>Middle value when sorted. Robust to outliers.</t>
        </is>
      </c>
    </row>
    <row r="11">
      <c r="A11" s="6" t="inlineStr">
        <is>
          <t>3. Mode</t>
        </is>
      </c>
      <c r="B11" s="6" t="inlineStr">
        <is>
          <t>Most frequent value. Works for numeric &amp; categorical.</t>
        </is>
      </c>
    </row>
    <row r="12">
      <c r="A12" s="6" t="inlineStr">
        <is>
          <t>4. Variance</t>
        </is>
      </c>
      <c r="B12" s="6" t="inlineStr">
        <is>
          <t>Average squared deviation from the mean.</t>
        </is>
      </c>
    </row>
    <row r="13">
      <c r="A13" s="6" t="inlineStr">
        <is>
          <t>5. Standard Deviation</t>
        </is>
      </c>
      <c r="B13" s="6" t="inlineStr">
        <is>
          <t>Square root of variance (same units as data).</t>
        </is>
      </c>
    </row>
    <row r="14">
      <c r="A14" s="6" t="inlineStr">
        <is>
          <t>6. Range</t>
        </is>
      </c>
      <c r="B14" s="6" t="inlineStr">
        <is>
          <t>Max − Min. Simple measure of spread.</t>
        </is>
      </c>
    </row>
    <row r="15">
      <c r="A15" s="6" t="inlineStr">
        <is>
          <t>7. Percentiles</t>
        </is>
      </c>
      <c r="B15" s="6" t="inlineStr">
        <is>
          <t>Value below which a % of observations fall.</t>
        </is>
      </c>
    </row>
    <row r="16">
      <c r="A16" s="6" t="inlineStr">
        <is>
          <t>8. Quartiles</t>
        </is>
      </c>
      <c r="B16" s="6" t="inlineStr">
        <is>
          <t>Special percentiles: 25 %, 50 %, 75 %.</t>
        </is>
      </c>
    </row>
    <row r="17">
      <c r="A17" s="6" t="inlineStr">
        <is>
          <t>9. IQR</t>
        </is>
      </c>
      <c r="B17" s="6" t="inlineStr">
        <is>
          <t>Q3 − Q1. Robust measure of middle 50 % spread.</t>
        </is>
      </c>
    </row>
    <row r="19">
      <c r="A19" s="3" t="inlineStr">
        <is>
          <t>Project Files Generated</t>
        </is>
      </c>
    </row>
    <row r="20">
      <c r="A20" s="7" t="inlineStr">
        <is>
          <t>scripts/summary_statistics.py – Reusable functions for all 9 statistics + full_summary + group-by</t>
        </is>
      </c>
    </row>
    <row r="21">
      <c r="A21" s="7" t="inlineStr">
        <is>
          <t>scripts/run_summary_analysis.py – CLI runner that prints all stats and saves group CSVs</t>
        </is>
      </c>
    </row>
    <row r="22">
      <c r="A22" s="7" t="inlineStr">
        <is>
          <t>notebooks/01_summary_statistics_extended.ipynb – Consolidated &amp; extended Jupyter notebook</t>
        </is>
      </c>
    </row>
    <row r="23">
      <c r="A23" s="7" t="inlineStr">
        <is>
          <t>templates/summary_stats_template.ipynb – Copy-and-adapt notebook template</t>
        </is>
      </c>
    </row>
    <row r="24">
      <c r="A24" s="7" t="inlineStr">
        <is>
          <t>templates/summary_stats_template.py – Copy-and-adapt pure-Python template</t>
        </is>
      </c>
    </row>
    <row r="25">
      <c r="A25" s="7" t="inlineStr">
        <is>
          <t>data/covid-data.csv – Sample dataset (synthetic, structure matches original)</t>
        </is>
      </c>
    </row>
    <row r="26">
      <c r="A26" s="7" t="inlineStr">
        <is>
          <t>data/summary_by_continent.csv / summary_by_location.csv – Grouped results</t>
        </is>
      </c>
    </row>
    <row r="27">
      <c r="A27" s="7" t="inlineStr">
        <is>
          <t>reports/Summary_Statistics_Report.docx – Full documentation report</t>
        </is>
      </c>
    </row>
  </sheetData>
  <mergeCells count="11">
    <mergeCell ref="A24:F24"/>
    <mergeCell ref="A2:F2"/>
    <mergeCell ref="A1:F1"/>
    <mergeCell ref="A5:F5"/>
    <mergeCell ref="A23:F23"/>
    <mergeCell ref="A27:F27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2" customWidth="1" min="3" max="3"/>
    <col width="45" customWidth="1" min="4" max="4"/>
  </cols>
  <sheetData>
    <row r="1">
      <c r="A1" s="1" t="inlineStr">
        <is>
          <t>Google Sheets / Excel Formulas for Summary Statistics</t>
        </is>
      </c>
    </row>
    <row r="2">
      <c r="A2" s="2" t="inlineStr">
        <is>
          <t>Assume your numeric data lives in column A (A2:A1000). Adjust ranges as needed.</t>
        </is>
      </c>
    </row>
    <row r="4">
      <c r="A4" s="5" t="inlineStr">
        <is>
          <t>Statistic</t>
        </is>
      </c>
      <c r="B4" s="5" t="inlineStr">
        <is>
          <t>Google Sheets / Excel Formula</t>
        </is>
      </c>
      <c r="C4" s="5" t="inlineStr">
        <is>
          <t>Python (numpy / pandas)</t>
        </is>
      </c>
      <c r="D4" s="5" t="inlineStr">
        <is>
          <t>Notes</t>
        </is>
      </c>
    </row>
    <row r="5">
      <c r="A5" s="6" t="inlineStr">
        <is>
          <t>Mean</t>
        </is>
      </c>
      <c r="B5" s="8">
        <f>AVERAGE(A2:A)</f>
        <v/>
      </c>
      <c r="C5" s="6" t="inlineStr">
        <is>
          <t>np.mean(s)  or  s.mean()</t>
        </is>
      </c>
      <c r="D5" s="6" t="inlineStr">
        <is>
          <t>Sensitive to outliers</t>
        </is>
      </c>
    </row>
    <row r="6">
      <c r="A6" s="9" t="inlineStr">
        <is>
          <t>Median</t>
        </is>
      </c>
      <c r="B6" s="10">
        <f>MEDIAN(A2:A)</f>
        <v/>
      </c>
      <c r="C6" s="9" t="inlineStr">
        <is>
          <t>np.median(s)  or  s.median()</t>
        </is>
      </c>
      <c r="D6" s="9" t="inlineStr">
        <is>
          <t>Robust central tendency</t>
        </is>
      </c>
    </row>
    <row r="7">
      <c r="A7" s="6" t="inlineStr">
        <is>
          <t>Mode</t>
        </is>
      </c>
      <c r="B7" s="8">
        <f>MODE(A2:A)</f>
        <v/>
      </c>
      <c r="C7" s="6" t="inlineStr">
        <is>
          <t>stats.mode(s)  or  s.mode()</t>
        </is>
      </c>
      <c r="D7" s="6" t="inlineStr">
        <is>
          <t>Most frequent value; may return #N/A if multimodal</t>
        </is>
      </c>
    </row>
    <row r="8">
      <c r="A8" s="9" t="inlineStr">
        <is>
          <t>Variance (sample)</t>
        </is>
      </c>
      <c r="B8" s="10">
        <f>VAR(A2:A)</f>
        <v/>
      </c>
      <c r="C8" s="9" t="inlineStr">
        <is>
          <t>s.var(ddof=1)</t>
        </is>
      </c>
      <c r="D8" s="9" t="inlineStr">
        <is>
          <t>Pandas default; uses n-1</t>
        </is>
      </c>
    </row>
    <row r="9">
      <c r="A9" s="6" t="inlineStr">
        <is>
          <t>Variance (population)</t>
        </is>
      </c>
      <c r="B9" s="8">
        <f>VARP(A2:A)</f>
        <v/>
      </c>
      <c r="C9" s="6" t="inlineStr">
        <is>
          <t>np.var(s, ddof=0)</t>
        </is>
      </c>
      <c r="D9" s="6" t="inlineStr">
        <is>
          <t>Numpy default; uses n</t>
        </is>
      </c>
    </row>
    <row r="10">
      <c r="A10" s="9" t="inlineStr">
        <is>
          <t>Std Dev (sample)</t>
        </is>
      </c>
      <c r="B10" s="10">
        <f>STDEV(A2:A)</f>
        <v/>
      </c>
      <c r="C10" s="9" t="inlineStr">
        <is>
          <t>s.std(ddof=1)</t>
        </is>
      </c>
      <c r="D10" s="9" t="inlineStr">
        <is>
          <t>Pandas default</t>
        </is>
      </c>
    </row>
    <row r="11">
      <c r="A11" s="6" t="inlineStr">
        <is>
          <t>Std Dev (population)</t>
        </is>
      </c>
      <c r="B11" s="8">
        <f>STDEVP(A2:A)</f>
        <v/>
      </c>
      <c r="C11" s="6" t="inlineStr">
        <is>
          <t>np.std(s, ddof=0)</t>
        </is>
      </c>
      <c r="D11" s="6" t="inlineStr">
        <is>
          <t>Numpy default</t>
        </is>
      </c>
    </row>
    <row r="12">
      <c r="A12" s="9" t="inlineStr">
        <is>
          <t>Min</t>
        </is>
      </c>
      <c r="B12" s="10">
        <f>MIN(A2:A)</f>
        <v/>
      </c>
      <c r="C12" s="9" t="inlineStr">
        <is>
          <t>s.min()  or  np.min(s)</t>
        </is>
      </c>
      <c r="D12" s="9" t="inlineStr"/>
    </row>
    <row r="13">
      <c r="A13" s="6" t="inlineStr">
        <is>
          <t>Max</t>
        </is>
      </c>
      <c r="B13" s="8">
        <f>MAX(A2:A)</f>
        <v/>
      </c>
      <c r="C13" s="6" t="inlineStr">
        <is>
          <t>s.max()  or  np.max(s)</t>
        </is>
      </c>
      <c r="D13" s="6" t="inlineStr"/>
    </row>
    <row r="14">
      <c r="A14" s="9" t="inlineStr">
        <is>
          <t>Range</t>
        </is>
      </c>
      <c r="B14" s="10">
        <f>MAX(A2:A)-MIN(A2:A)</f>
        <v/>
      </c>
      <c r="C14" s="9" t="inlineStr">
        <is>
          <t>s.max() - s.min()</t>
        </is>
      </c>
      <c r="D14" s="9" t="inlineStr">
        <is>
          <t>Simple spread</t>
        </is>
      </c>
    </row>
    <row r="15">
      <c r="A15" s="6" t="inlineStr">
        <is>
          <t>Percentile (e.g. 60th)</t>
        </is>
      </c>
      <c r="B15" s="8">
        <f>PERCENTILE(A2:A, 0.6)</f>
        <v/>
      </c>
      <c r="C15" s="6" t="inlineStr">
        <is>
          <t>np.percentile(s, 60)</t>
        </is>
      </c>
      <c r="D15" s="6" t="inlineStr">
        <is>
          <t>0–1 scale in Sheets, 0–100 in np.percentile</t>
        </is>
      </c>
    </row>
    <row r="16">
      <c r="A16" s="9" t="inlineStr">
        <is>
          <t>Quartile Q1</t>
        </is>
      </c>
      <c r="B16" s="10">
        <f>QUARTILE(A2:A, 1)</f>
        <v/>
      </c>
      <c r="C16" s="9" t="inlineStr">
        <is>
          <t>np.quantile(s, 0.25)</t>
        </is>
      </c>
      <c r="D16" s="9" t="inlineStr">
        <is>
          <t>25th percentile</t>
        </is>
      </c>
    </row>
    <row r="17">
      <c r="A17" s="6" t="inlineStr">
        <is>
          <t>Quartile Q2</t>
        </is>
      </c>
      <c r="B17" s="8">
        <f>QUARTILE(A2:A, 2)</f>
        <v/>
      </c>
      <c r="C17" s="6" t="inlineStr">
        <is>
          <t>np.quantile(s, 0.50)</t>
        </is>
      </c>
      <c r="D17" s="6" t="inlineStr">
        <is>
          <t>Same as median</t>
        </is>
      </c>
    </row>
    <row r="18">
      <c r="A18" s="9" t="inlineStr">
        <is>
          <t>Quartile Q3</t>
        </is>
      </c>
      <c r="B18" s="10">
        <f>QUARTILE(A2:A, 3)</f>
        <v/>
      </c>
      <c r="C18" s="9" t="inlineStr">
        <is>
          <t>np.quantile(s, 0.75)</t>
        </is>
      </c>
      <c r="D18" s="9" t="inlineStr">
        <is>
          <t>75th percentile</t>
        </is>
      </c>
    </row>
    <row r="19">
      <c r="A19" s="6" t="inlineStr">
        <is>
          <t>IQR</t>
        </is>
      </c>
      <c r="B19" s="8">
        <f>QUARTILE(A2:A,3)-QUARTILE(A2:A,1)</f>
        <v/>
      </c>
      <c r="C19" s="6" t="inlineStr">
        <is>
          <t>stats.iqr(s)</t>
        </is>
      </c>
      <c r="D19" s="6" t="inlineStr">
        <is>
          <t>Robust spread of middle 50 %</t>
        </is>
      </c>
    </row>
    <row r="20">
      <c r="A20" s="9" t="inlineStr">
        <is>
          <t>Count</t>
        </is>
      </c>
      <c r="B20" s="10">
        <f>COUNTA(A2:A)</f>
        <v/>
      </c>
      <c r="C20" s="9" t="inlineStr">
        <is>
          <t>s.count()</t>
        </is>
      </c>
      <c r="D20" s="9" t="inlineStr">
        <is>
          <t>Non-empty cells</t>
        </is>
      </c>
    </row>
    <row r="21">
      <c r="A21" s="6" t="inlineStr">
        <is>
          <t>Count numbers</t>
        </is>
      </c>
      <c r="B21" s="8">
        <f>COUNT(A2:A)</f>
        <v/>
      </c>
      <c r="C21" s="6" t="inlineStr">
        <is>
          <t>s.count()</t>
        </is>
      </c>
      <c r="D21" s="6" t="inlineStr">
        <is>
          <t>Numeric only</t>
        </is>
      </c>
    </row>
    <row r="23">
      <c r="A23" s="3" t="inlineStr">
        <is>
          <t>Tip for Google Sheets</t>
        </is>
      </c>
    </row>
    <row r="24" ht="40" customHeight="1">
      <c r="A24" s="4" t="inlineStr">
        <is>
          <t>Open this file in Google Sheets (File → Import). The formulas above are fully compatible. Blue text indicates formulas you can copy. Yellow cells on the Sample_Data sheet are editable inputs.</t>
        </is>
      </c>
    </row>
  </sheetData>
  <mergeCells count="2">
    <mergeCell ref="A1:E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3" max="3"/>
    <col width="18" customWidth="1" min="4" max="4"/>
  </cols>
  <sheetData>
    <row r="1">
      <c r="A1" s="1" t="inlineStr">
        <is>
          <t>Sample new_cases values (first 30 rows of synthetic data) – edit yellow cells to see formulas update</t>
        </is>
      </c>
    </row>
    <row r="3">
      <c r="A3" s="11" t="inlineStr">
        <is>
          <t>new_cases</t>
        </is>
      </c>
      <c r="C3" s="11" t="inlineStr">
        <is>
          <t>Live Summary (formulas)</t>
        </is>
      </c>
    </row>
    <row r="4">
      <c r="A4" s="12" t="n">
        <v>0</v>
      </c>
      <c r="C4" s="6" t="inlineStr">
        <is>
          <t>Count</t>
        </is>
      </c>
      <c r="D4" s="13">
        <f>COUNT(A4:A33)</f>
        <v/>
      </c>
    </row>
    <row r="5">
      <c r="A5" s="12" t="n">
        <v>985</v>
      </c>
      <c r="C5" s="6" t="inlineStr">
        <is>
          <t>Mean</t>
        </is>
      </c>
      <c r="D5" s="13">
        <f>AVERAGE(A4:A33)</f>
        <v/>
      </c>
    </row>
    <row r="6">
      <c r="A6" s="12" t="n">
        <v>100</v>
      </c>
      <c r="C6" s="6" t="inlineStr">
        <is>
          <t>Median</t>
        </is>
      </c>
      <c r="D6" s="13">
        <f>MEDIAN(A4:A33)</f>
        <v/>
      </c>
    </row>
    <row r="7">
      <c r="A7" s="12" t="n">
        <v>43</v>
      </c>
      <c r="C7" s="6" t="inlineStr">
        <is>
          <t>Mode</t>
        </is>
      </c>
      <c r="D7" s="13">
        <f>MODE(A4:A33)</f>
        <v/>
      </c>
    </row>
    <row r="8">
      <c r="A8" s="12" t="n">
        <v>33</v>
      </c>
      <c r="C8" s="6" t="inlineStr">
        <is>
          <t>Std Dev (sample)</t>
        </is>
      </c>
      <c r="D8" s="13">
        <f>STDEV(A4:A33)</f>
        <v/>
      </c>
    </row>
    <row r="9">
      <c r="A9" s="12" t="n">
        <v>33</v>
      </c>
      <c r="C9" s="6" t="inlineStr">
        <is>
          <t>Variance (sample)</t>
        </is>
      </c>
      <c r="D9" s="13">
        <f>VAR(A4:A33)</f>
        <v/>
      </c>
    </row>
    <row r="10">
      <c r="A10" s="12" t="n">
        <v>2824</v>
      </c>
      <c r="C10" s="6" t="inlineStr">
        <is>
          <t>Min</t>
        </is>
      </c>
      <c r="D10" s="13">
        <f>MIN(A4:A33)</f>
        <v/>
      </c>
    </row>
    <row r="11">
      <c r="A11" s="12" t="n">
        <v>17078</v>
      </c>
      <c r="C11" s="6" t="inlineStr">
        <is>
          <t>Max</t>
        </is>
      </c>
      <c r="D11" s="13">
        <f>MAX(A4:A33)</f>
        <v/>
      </c>
    </row>
    <row r="12">
      <c r="A12" s="12" t="n">
        <v>20</v>
      </c>
      <c r="C12" s="6" t="inlineStr">
        <is>
          <t>Range</t>
        </is>
      </c>
      <c r="D12" s="13">
        <f>D11-D10</f>
        <v/>
      </c>
    </row>
    <row r="13">
      <c r="A13" s="12" t="n">
        <v>43</v>
      </c>
      <c r="C13" s="6" t="inlineStr">
        <is>
          <t>Q1</t>
        </is>
      </c>
      <c r="D13" s="13">
        <f>QUARTILE(A4:A33,1)</f>
        <v/>
      </c>
    </row>
    <row r="14">
      <c r="A14" s="12" t="n">
        <v>29</v>
      </c>
      <c r="C14" s="6" t="inlineStr">
        <is>
          <t>Q3</t>
        </is>
      </c>
      <c r="D14" s="13">
        <f>QUARTILE(A4:A33,3)</f>
        <v/>
      </c>
    </row>
    <row r="15">
      <c r="A15" s="12" t="n">
        <v>102</v>
      </c>
      <c r="C15" s="6" t="inlineStr">
        <is>
          <t>IQR</t>
        </is>
      </c>
      <c r="D15" s="13">
        <f>D14-D13</f>
        <v/>
      </c>
    </row>
    <row r="16">
      <c r="A16" s="12" t="n">
        <v>65</v>
      </c>
    </row>
    <row r="17">
      <c r="A17" s="12" t="n">
        <v>108</v>
      </c>
    </row>
    <row r="18">
      <c r="A18" s="12" t="n">
        <v>36581</v>
      </c>
      <c r="C18" s="14" t="inlineStr">
        <is>
          <t>Yellow cells = editable inputs (blue font)</t>
        </is>
      </c>
    </row>
    <row r="19">
      <c r="A19" s="12" t="n">
        <v>582</v>
      </c>
      <c r="C19" s="14" t="inlineStr">
        <is>
          <t>Green cells = formula results</t>
        </is>
      </c>
    </row>
    <row r="20">
      <c r="A20" s="12" t="n">
        <v>29</v>
      </c>
    </row>
    <row r="21">
      <c r="A21" s="12" t="n">
        <v>0</v>
      </c>
    </row>
    <row r="22">
      <c r="A22" s="12" t="n">
        <v>59</v>
      </c>
    </row>
    <row r="23">
      <c r="A23" s="12" t="n">
        <v>703</v>
      </c>
    </row>
    <row r="24">
      <c r="A24" s="12" t="n">
        <v>46</v>
      </c>
    </row>
    <row r="25">
      <c r="A25" s="12" t="n">
        <v>18</v>
      </c>
    </row>
    <row r="26">
      <c r="A26" s="12" t="n">
        <v>445</v>
      </c>
    </row>
    <row r="27">
      <c r="A27" s="12" t="n">
        <v>968</v>
      </c>
    </row>
    <row r="28">
      <c r="A28" s="12" t="n">
        <v>20</v>
      </c>
    </row>
    <row r="29">
      <c r="A29" s="12" t="n">
        <v>1189</v>
      </c>
    </row>
    <row r="30">
      <c r="A30" s="12" t="n">
        <v>37</v>
      </c>
    </row>
    <row r="31">
      <c r="A31" s="12" t="n">
        <v>684</v>
      </c>
    </row>
    <row r="32">
      <c r="A32" s="12" t="n">
        <v>8</v>
      </c>
    </row>
    <row r="33">
      <c r="A33" s="12" t="n">
        <v>30</v>
      </c>
    </row>
  </sheetData>
  <mergeCells count="2">
    <mergeCell ref="A1:D1"/>
    <mergeCell ref="C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Results computed by the Python module on the full sample dataset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Count</t>
        </is>
      </c>
      <c r="B4" s="15" t="n">
        <v>5818</v>
      </c>
    </row>
    <row r="5">
      <c r="A5" s="6" t="inlineStr">
        <is>
          <t>Mean</t>
        </is>
      </c>
      <c r="B5" s="16" t="n">
        <v>8047.8685</v>
      </c>
    </row>
    <row r="6">
      <c r="A6" s="6" t="inlineStr">
        <is>
          <t>Median</t>
        </is>
      </c>
      <c r="B6" s="16" t="n">
        <v>180</v>
      </c>
    </row>
    <row r="7">
      <c r="A7" s="6" t="inlineStr">
        <is>
          <t>Mode</t>
        </is>
      </c>
      <c r="B7" s="15" t="n">
        <v>0</v>
      </c>
    </row>
    <row r="8">
      <c r="A8" s="6" t="inlineStr">
        <is>
          <t>Mode count</t>
        </is>
      </c>
      <c r="B8" s="15" t="n">
        <v>723</v>
      </c>
    </row>
    <row r="9">
      <c r="A9" s="6" t="inlineStr">
        <is>
          <t>Variance (population, ddof=0)</t>
        </is>
      </c>
      <c r="B9" s="16" t="n">
        <v>1029447551.5786</v>
      </c>
    </row>
    <row r="10">
      <c r="A10" s="6" t="inlineStr">
        <is>
          <t>Std (population, ddof=0)</t>
        </is>
      </c>
      <c r="B10" s="16" t="n">
        <v>32085.0051</v>
      </c>
    </row>
    <row r="11">
      <c r="A11" s="6" t="inlineStr">
        <is>
          <t>Variance (sample, ddof=1)</t>
        </is>
      </c>
      <c r="B11" s="16" t="n">
        <v>1029624523.824</v>
      </c>
    </row>
    <row r="12">
      <c r="A12" s="6" t="inlineStr">
        <is>
          <t>Std (sample, ddof=1)</t>
        </is>
      </c>
      <c r="B12" s="16" t="n">
        <v>32087.7628</v>
      </c>
    </row>
    <row r="13">
      <c r="A13" s="6" t="inlineStr">
        <is>
          <t>Min</t>
        </is>
      </c>
      <c r="B13" s="15" t="n">
        <v>0</v>
      </c>
    </row>
    <row r="14">
      <c r="A14" s="6" t="inlineStr">
        <is>
          <t>Max</t>
        </is>
      </c>
      <c r="B14" s="15" t="n">
        <v>287149</v>
      </c>
    </row>
    <row r="15">
      <c r="A15" s="6" t="inlineStr">
        <is>
          <t>Range</t>
        </is>
      </c>
      <c r="B15" s="15" t="n">
        <v>287149</v>
      </c>
    </row>
    <row r="16">
      <c r="A16" s="6" t="inlineStr">
        <is>
          <t>Q1 (25th)</t>
        </is>
      </c>
      <c r="B16" s="16" t="n">
        <v>32</v>
      </c>
    </row>
    <row r="17">
      <c r="A17" s="6" t="inlineStr">
        <is>
          <t>Q3 (75th)</t>
        </is>
      </c>
      <c r="B17" s="16" t="n">
        <v>1625.5</v>
      </c>
    </row>
    <row r="18">
      <c r="A18" s="6" t="inlineStr">
        <is>
          <t>IQR</t>
        </is>
      </c>
      <c r="B18" s="16" t="n">
        <v>1592</v>
      </c>
    </row>
    <row r="19">
      <c r="A19" s="6" t="inlineStr">
        <is>
          <t>60th percentile</t>
        </is>
      </c>
      <c r="B19" s="16" t="n">
        <v>434</v>
      </c>
    </row>
    <row r="20">
      <c r="A20" s="6" t="inlineStr">
        <is>
          <t>90th percentile</t>
        </is>
      </c>
      <c r="B20" s="16" t="n">
        <v>13432.6</v>
      </c>
    </row>
    <row r="21">
      <c r="A21" s="6" t="inlineStr">
        <is>
          <t>95th percentile</t>
        </is>
      </c>
      <c r="B21" s="16" t="n">
        <v>36258.25</v>
      </c>
    </row>
    <row r="22">
      <c r="A22" s="6" t="inlineStr">
        <is>
          <t>Skewness</t>
        </is>
      </c>
      <c r="B22" s="16" t="n">
        <v>6.5481</v>
      </c>
    </row>
    <row r="23">
      <c r="A23" s="6" t="inlineStr">
        <is>
          <t>Kurtosis</t>
        </is>
      </c>
      <c r="B23" s="16" t="n">
        <v>47.9777</v>
      </c>
    </row>
    <row r="26">
      <c r="A26" s="3" t="inlineStr">
        <is>
          <t>Summary by Continent (from summary_by_group)</t>
        </is>
      </c>
    </row>
    <row r="27">
      <c r="A27" s="17" t="inlineStr">
        <is>
          <t>continent</t>
        </is>
      </c>
      <c r="B27" s="17" t="inlineStr">
        <is>
          <t>count</t>
        </is>
      </c>
      <c r="C27" s="17" t="inlineStr">
        <is>
          <t>mean</t>
        </is>
      </c>
      <c r="D27" s="17" t="inlineStr">
        <is>
          <t>median</t>
        </is>
      </c>
      <c r="E27" s="17" t="inlineStr">
        <is>
          <t>std</t>
        </is>
      </c>
      <c r="F27" s="17" t="inlineStr">
        <is>
          <t>min</t>
        </is>
      </c>
      <c r="G27" s="17" t="inlineStr">
        <is>
          <t>max</t>
        </is>
      </c>
      <c r="H27" s="17" t="inlineStr">
        <is>
          <t>q25</t>
        </is>
      </c>
      <c r="I27" s="17" t="inlineStr">
        <is>
          <t>q75</t>
        </is>
      </c>
      <c r="J27" s="17" t="inlineStr">
        <is>
          <t>iqr</t>
        </is>
      </c>
      <c r="K27" s="17" t="inlineStr">
        <is>
          <t>range</t>
        </is>
      </c>
    </row>
    <row r="28">
      <c r="A28" s="6" t="inlineStr">
        <is>
          <t>Africa</t>
        </is>
      </c>
      <c r="B28" s="6" t="n">
        <v>932</v>
      </c>
      <c r="C28" s="6" t="n">
        <v>7423.327253218884</v>
      </c>
      <c r="D28" s="6" t="n">
        <v>169</v>
      </c>
      <c r="E28" s="6" t="n">
        <v>30067.67103774298</v>
      </c>
      <c r="F28" s="6" t="n">
        <v>0</v>
      </c>
      <c r="G28" s="6" t="n">
        <v>287149</v>
      </c>
      <c r="H28" s="6" t="n">
        <v>23</v>
      </c>
      <c r="I28" s="6" t="n">
        <v>1506.75</v>
      </c>
      <c r="J28" s="6" t="n">
        <v>1483.75</v>
      </c>
      <c r="K28" s="6" t="n">
        <v>287149</v>
      </c>
    </row>
    <row r="29">
      <c r="A29" s="6" t="inlineStr">
        <is>
          <t>Asia</t>
        </is>
      </c>
      <c r="B29" s="6" t="n">
        <v>1951</v>
      </c>
      <c r="C29" s="6" t="n">
        <v>7280.212711430036</v>
      </c>
      <c r="D29" s="6" t="n">
        <v>164</v>
      </c>
      <c r="E29" s="6" t="n">
        <v>30110.29306133277</v>
      </c>
      <c r="F29" s="6" t="n">
        <v>0</v>
      </c>
      <c r="G29" s="6" t="n">
        <v>287149</v>
      </c>
      <c r="H29" s="6" t="n">
        <v>30</v>
      </c>
      <c r="I29" s="6" t="n">
        <v>1507.5</v>
      </c>
      <c r="J29" s="6" t="n">
        <v>1477.5</v>
      </c>
      <c r="K29" s="6" t="n">
        <v>287149</v>
      </c>
    </row>
    <row r="30">
      <c r="A30" s="6" t="inlineStr">
        <is>
          <t>Europe</t>
        </is>
      </c>
      <c r="B30" s="6" t="n">
        <v>1051</v>
      </c>
      <c r="C30" s="6" t="n">
        <v>7609.942911512845</v>
      </c>
      <c r="D30" s="6" t="n">
        <v>196</v>
      </c>
      <c r="E30" s="6" t="n">
        <v>28867.42097888165</v>
      </c>
      <c r="F30" s="6" t="n">
        <v>0</v>
      </c>
      <c r="G30" s="6" t="n">
        <v>287149</v>
      </c>
      <c r="H30" s="6" t="n">
        <v>33</v>
      </c>
      <c r="I30" s="6" t="n">
        <v>1686</v>
      </c>
      <c r="J30" s="6" t="n">
        <v>1653</v>
      </c>
      <c r="K30" s="6" t="n">
        <v>287149</v>
      </c>
    </row>
    <row r="31">
      <c r="A31" s="6" t="inlineStr">
        <is>
          <t>North America</t>
        </is>
      </c>
      <c r="B31" s="6" t="n">
        <v>950</v>
      </c>
      <c r="C31" s="6" t="n">
        <v>9354.476842105263</v>
      </c>
      <c r="D31" s="6" t="n">
        <v>201.5</v>
      </c>
      <c r="E31" s="6" t="n">
        <v>34793.22227466066</v>
      </c>
      <c r="F31" s="6" t="n">
        <v>0</v>
      </c>
      <c r="G31" s="6" t="n">
        <v>287149</v>
      </c>
      <c r="H31" s="6" t="n">
        <v>38</v>
      </c>
      <c r="I31" s="6" t="n">
        <v>2125.25</v>
      </c>
      <c r="J31" s="6" t="n">
        <v>2087.25</v>
      </c>
      <c r="K31" s="6" t="n">
        <v>287149</v>
      </c>
    </row>
    <row r="32">
      <c r="A32" s="6" t="inlineStr">
        <is>
          <t>South America</t>
        </is>
      </c>
      <c r="B32" s="6" t="n">
        <v>934</v>
      </c>
      <c r="C32" s="6" t="n">
        <v>9438.394004282654</v>
      </c>
      <c r="D32" s="6" t="n">
        <v>191</v>
      </c>
      <c r="E32" s="6" t="n">
        <v>38049.25925698643</v>
      </c>
      <c r="F32" s="6" t="n">
        <v>0</v>
      </c>
      <c r="G32" s="6" t="n">
        <v>287149</v>
      </c>
      <c r="H32" s="6" t="n">
        <v>37</v>
      </c>
      <c r="I32" s="6" t="n">
        <v>1558.25</v>
      </c>
      <c r="J32" s="6" t="n">
        <v>1521.25</v>
      </c>
      <c r="K32" s="6" t="n">
        <v>287149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How to use every generated file</t>
        </is>
      </c>
    </row>
    <row r="3">
      <c r="A3" s="5" t="inlineStr">
        <is>
          <t>File</t>
        </is>
      </c>
      <c r="B3" s="5" t="inlineStr">
        <is>
          <t>How to use</t>
        </is>
      </c>
    </row>
    <row r="4" ht="30" customHeight="1">
      <c r="A4" s="6" t="inlineStr">
        <is>
          <t>scripts/summary_statistics.py</t>
        </is>
      </c>
      <c r="B4" s="18" t="inlineStr">
        <is>
          <t>Import in any Python code: from summary_statistics import full_summary, compute_mean, ...</t>
        </is>
      </c>
    </row>
    <row r="5" ht="30" customHeight="1">
      <c r="A5" s="6" t="inlineStr">
        <is>
          <t>scripts/run_summary_analysis.py</t>
        </is>
      </c>
      <c r="B5" s="18" t="inlineStr">
        <is>
          <t>Command-line: python scripts/run_summary_analysis.py [--data path/to/csv]</t>
        </is>
      </c>
    </row>
    <row r="6" ht="30" customHeight="1">
      <c r="A6" s="6" t="inlineStr">
        <is>
          <t>notebooks/01_summary_statistics_extended.ipynb</t>
        </is>
      </c>
      <c r="B6" s="18" t="inlineStr">
        <is>
          <t>Open in Jupyter / VS Code / Colab. Run all cells for the full walkthrough + plots.</t>
        </is>
      </c>
    </row>
    <row r="7" ht="30" customHeight="1">
      <c r="A7" s="6" t="inlineStr">
        <is>
          <t>templates/summary_stats_template.ipynb</t>
        </is>
      </c>
      <c r="B7" s="18" t="inlineStr">
        <is>
          <t>Copy the notebook, change DATA_PATH / VALUE_COL / GROUP_COL, run.</t>
        </is>
      </c>
    </row>
    <row r="8" ht="30" customHeight="1">
      <c r="A8" s="6" t="inlineStr">
        <is>
          <t>templates/summary_stats_template.py</t>
        </is>
      </c>
      <c r="B8" s="18" t="inlineStr">
        <is>
          <t>Copy the script, edit CONFIG block, run with python.</t>
        </is>
      </c>
    </row>
    <row r="9" ht="30" customHeight="1">
      <c r="A9" s="6" t="inlineStr">
        <is>
          <t>data/covid-data.csv</t>
        </is>
      </c>
      <c r="B9" s="18" t="inlineStr">
        <is>
          <t>Sample data used by all examples. Replace with your own CSV of similar structure.</t>
        </is>
      </c>
    </row>
    <row r="10" ht="30" customHeight="1">
      <c r="A10" s="6" t="inlineStr">
        <is>
          <t>This spreadsheet</t>
        </is>
      </c>
      <c r="B10" s="18" t="inlineStr">
        <is>
          <t>Open in Google Sheets or Excel. Use Formulas_GoogleSheets sheet as a cheat-sheet. Edit Sample_Data yellow cells.</t>
        </is>
      </c>
    </row>
    <row r="11" ht="30" customHeight="1">
      <c r="A11" s="6" t="inlineStr">
        <is>
          <t>reports/Summary_Statistics_Report.docx</t>
        </is>
      </c>
      <c r="B11" s="18" t="inlineStr">
        <is>
          <t>Human-readable documentation of the whole project.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2026-08-02T04:16:24Z</dcterms:created>
  <dcterms:modified xmlns:dcterms="http://purl.org/dc/terms/" xmlns:xsi="http://www.w3.org/2001/XMLSchema-instance" xsi:type="dcterms:W3CDTF">2026-08-02T04:16:24Z</dcterms:modified>
</cp:coreProperties>
</file>