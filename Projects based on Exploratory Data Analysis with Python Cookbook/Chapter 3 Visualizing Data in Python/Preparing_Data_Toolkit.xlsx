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mple Data" sheetId="2" state="visible" r:id="rId2"/>
    <sheet xmlns:r="http://schemas.openxmlformats.org/officeDocument/2006/relationships" name="Grouping" sheetId="3" state="visible" r:id="rId3"/>
    <sheet xmlns:r="http://schemas.openxmlformats.org/officeDocument/2006/relationships" name="Sorting Filter" sheetId="4" state="visible" r:id="rId4"/>
    <sheet xmlns:r="http://schemas.openxmlformats.org/officeDocument/2006/relationships" name="Binning Categories" sheetId="5" state="visible" r:id="rId5"/>
    <sheet xmlns:r="http://schemas.openxmlformats.org/officeDocument/2006/relationships" name="Duplicates" sheetId="6" state="visible" r:id="rId6"/>
    <sheet xmlns:r="http://schemas.openxmlformats.org/officeDocument/2006/relationships" name="Missing Values" sheetId="7" state="visible" r:id="rId7"/>
    <sheet xmlns:r="http://schemas.openxmlformats.org/officeDocument/2006/relationships" name="Merge Demo" sheetId="8" state="visible" r:id="rId8"/>
    <sheet xmlns:r="http://schemas.openxmlformats.org/officeDocument/2006/relationships" name="Quick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color rgb="00666666"/>
      <sz val="9"/>
    </font>
    <font>
      <name val="Arial"/>
      <color rgb="00666666"/>
      <sz val="8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164" fontId="5" fillId="3" borderId="0" pivotButton="0" quotePrefix="0" xfId="0"/>
    <xf numFmtId="164" fontId="0" fillId="0" borderId="1" pivotButton="0" quotePrefix="0" xfId="0"/>
    <xf numFmtId="0" fontId="9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Preparing Data for EDA – Toolkit (Google Sheets compatible)</t>
        </is>
      </c>
    </row>
    <row r="2"/>
    <row r="3">
      <c r="A3" s="2" t="inlineStr">
        <is>
          <t>Purpose</t>
        </is>
      </c>
    </row>
    <row r="4" ht="40" customHeight="1">
      <c r="A4" s="3" t="inlineStr">
        <is>
          <t>This workbook demonstrates the Chapter 2 data-preparation techniques from the Packt EDA Cookbook using spreadsheet formulas and views that work in both Excel and Google Sheets.</t>
        </is>
      </c>
    </row>
    <row r="5"/>
    <row r="6">
      <c r="A6" s="2" t="inlineStr">
        <is>
          <t>Sheets in this workbook</t>
        </is>
      </c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Overview</t>
        </is>
      </c>
      <c r="B8" s="5" t="inlineStr">
        <is>
          <t>This page – purpose and navigation</t>
        </is>
      </c>
    </row>
    <row r="9">
      <c r="A9" s="5" t="inlineStr">
        <is>
          <t>Sample Data</t>
        </is>
      </c>
      <c r="B9" s="5" t="inlineStr">
        <is>
          <t>Small extract of the marketing campaign dataset (editable inputs in blue)</t>
        </is>
      </c>
    </row>
    <row r="10">
      <c r="A10" s="5" t="inlineStr">
        <is>
          <t>Grouping</t>
        </is>
      </c>
      <c r="B10" s="5" t="inlineStr">
        <is>
          <t>GROUP BY style aggregation with SUMIF / AVERAGEIF / COUNTIF</t>
        </is>
      </c>
    </row>
    <row r="11">
      <c r="A11" s="5" t="inlineStr">
        <is>
          <t>Sorting Filter</t>
        </is>
      </c>
      <c r="B11" s="5" t="inlineStr">
        <is>
          <t>How to sort and filter; helper rank columns</t>
        </is>
      </c>
    </row>
    <row r="12">
      <c r="A12" s="5" t="inlineStr">
        <is>
          <t>Binning Categories</t>
        </is>
      </c>
      <c r="B12" s="5" t="inlineStr">
        <is>
          <t>Categorise numeric columns with nested IF or IFS</t>
        </is>
      </c>
    </row>
    <row r="13">
      <c r="A13" s="5" t="inlineStr">
        <is>
          <t>Duplicates</t>
        </is>
      </c>
      <c r="B13" s="5" t="inlineStr">
        <is>
          <t>Highlight and count duplicates</t>
        </is>
      </c>
    </row>
    <row r="14">
      <c r="A14" s="5" t="inlineStr">
        <is>
          <t>Missing Values</t>
        </is>
      </c>
      <c r="B14" s="5" t="inlineStr">
        <is>
          <t>Detect, count and fill missing values</t>
        </is>
      </c>
    </row>
    <row r="15">
      <c r="A15" s="5" t="inlineStr">
        <is>
          <t>Merge Demo</t>
        </is>
      </c>
      <c r="B15" s="5" t="inlineStr">
        <is>
          <t>VLOOKUP / XLOOKUP style join of two tables</t>
        </is>
      </c>
    </row>
    <row r="16">
      <c r="A16" s="5" t="inlineStr">
        <is>
          <t>Quick Reference</t>
        </is>
      </c>
      <c r="B16" s="5" t="inlineStr">
        <is>
          <t>Mapping of Python (pandas) operations to spreadsheet formulas</t>
        </is>
      </c>
    </row>
    <row r="17"/>
    <row r="18"/>
    <row r="19">
      <c r="A19" s="2" t="inlineStr">
        <is>
          <t>How to use with Google Sheets</t>
        </is>
      </c>
    </row>
    <row r="20">
      <c r="A20" t="inlineStr">
        <is>
          <t>1. File → Import → Upload this .xlsx (or drag into Drive and open with Sheets).</t>
        </is>
      </c>
    </row>
    <row r="21">
      <c r="A21" t="inlineStr">
        <is>
          <t>2. Blue-text cells are intended as editable inputs.</t>
        </is>
      </c>
    </row>
    <row r="22">
      <c r="A22" t="inlineStr">
        <is>
          <t>3. Yellow cells highlight key results or assumptions.</t>
        </is>
      </c>
    </row>
    <row r="23">
      <c r="A23" t="inlineStr">
        <is>
          <t>4. Most formulas (AVERAGEIF, COUNTIF, VLOOKUP, IF, IFS) work identically in Google Sheets.</t>
        </is>
      </c>
    </row>
    <row r="24">
      <c r="A24" t="inlineStr">
        <is>
          <t>5. For large data prefer the Python scripts/notebooks in this project; use the sheet for quick exploration and teaching.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9" customWidth="1" min="10" max="10"/>
    <col width="19" customWidth="1" min="11" max="11"/>
  </cols>
  <sheetData>
    <row r="1">
      <c r="A1" s="1" t="inlineStr">
        <is>
          <t>Sample Marketing Campaign Data (first 20 rows – edit blue cells)</t>
        </is>
      </c>
    </row>
    <row r="2"/>
    <row r="3">
      <c r="A3" s="4" t="inlineStr">
        <is>
          <t>ID</t>
        </is>
      </c>
      <c r="B3" s="4" t="inlineStr">
        <is>
          <t>Year_Birth</t>
        </is>
      </c>
      <c r="C3" s="4" t="inlineStr">
        <is>
          <t>Education</t>
        </is>
      </c>
      <c r="D3" s="4" t="inlineStr">
        <is>
          <t>Marital_Status</t>
        </is>
      </c>
      <c r="E3" s="4" t="inlineStr">
        <is>
          <t>Income</t>
        </is>
      </c>
      <c r="F3" s="4" t="inlineStr">
        <is>
          <t>Kidhome</t>
        </is>
      </c>
      <c r="G3" s="4" t="inlineStr">
        <is>
          <t>Teenhome</t>
        </is>
      </c>
      <c r="H3" s="4" t="inlineStr">
        <is>
          <t>Dt_Customer</t>
        </is>
      </c>
      <c r="I3" s="4" t="inlineStr">
        <is>
          <t>Recency</t>
        </is>
      </c>
      <c r="J3" s="4" t="inlineStr">
        <is>
          <t>NumStorePurchases</t>
        </is>
      </c>
      <c r="K3" s="4" t="inlineStr">
        <is>
          <t>NumWebVisitsMonth</t>
        </is>
      </c>
    </row>
    <row r="4">
      <c r="A4" s="5" t="n">
        <v>5524</v>
      </c>
      <c r="B4" s="5" t="n">
        <v>1957</v>
      </c>
      <c r="C4" s="5" t="inlineStr">
        <is>
          <t>Graduation</t>
        </is>
      </c>
      <c r="D4" s="5" t="inlineStr">
        <is>
          <t>Single</t>
        </is>
      </c>
      <c r="E4" s="6" t="n">
        <v>58138</v>
      </c>
      <c r="F4" s="7" t="n">
        <v>0</v>
      </c>
      <c r="G4" s="5" t="n">
        <v>0</v>
      </c>
      <c r="H4" s="5" t="inlineStr">
        <is>
          <t>04-09-2012</t>
        </is>
      </c>
      <c r="I4" s="5" t="n">
        <v>58</v>
      </c>
      <c r="J4" s="7" t="n">
        <v>4</v>
      </c>
      <c r="K4" s="5" t="n">
        <v>7</v>
      </c>
    </row>
    <row r="5">
      <c r="A5" s="5" t="n">
        <v>2174</v>
      </c>
      <c r="B5" s="5" t="n">
        <v>1954</v>
      </c>
      <c r="C5" s="5" t="inlineStr">
        <is>
          <t>Graduation</t>
        </is>
      </c>
      <c r="D5" s="5" t="inlineStr">
        <is>
          <t>Single</t>
        </is>
      </c>
      <c r="E5" s="6" t="n">
        <v>46344</v>
      </c>
      <c r="F5" s="7" t="n">
        <v>1</v>
      </c>
      <c r="G5" s="5" t="n">
        <v>1</v>
      </c>
      <c r="H5" s="5" t="inlineStr">
        <is>
          <t>08-03-2014</t>
        </is>
      </c>
      <c r="I5" s="5" t="n">
        <v>38</v>
      </c>
      <c r="J5" s="7" t="n">
        <v>2</v>
      </c>
      <c r="K5" s="5" t="n">
        <v>5</v>
      </c>
    </row>
    <row r="6">
      <c r="A6" s="5" t="n">
        <v>4141</v>
      </c>
      <c r="B6" s="5" t="n">
        <v>1965</v>
      </c>
      <c r="C6" s="5" t="inlineStr">
        <is>
          <t>Graduation</t>
        </is>
      </c>
      <c r="D6" s="5" t="inlineStr">
        <is>
          <t>Together</t>
        </is>
      </c>
      <c r="E6" s="6" t="n">
        <v>71613</v>
      </c>
      <c r="F6" s="7" t="n">
        <v>0</v>
      </c>
      <c r="G6" s="5" t="n">
        <v>0</v>
      </c>
      <c r="H6" s="5" t="inlineStr">
        <is>
          <t>21-08-2013</t>
        </is>
      </c>
      <c r="I6" s="5" t="n">
        <v>26</v>
      </c>
      <c r="J6" s="7" t="n">
        <v>10</v>
      </c>
      <c r="K6" s="5" t="n">
        <v>4</v>
      </c>
    </row>
    <row r="7">
      <c r="A7" s="5" t="n">
        <v>6182</v>
      </c>
      <c r="B7" s="5" t="n">
        <v>1984</v>
      </c>
      <c r="C7" s="5" t="inlineStr">
        <is>
          <t>Graduation</t>
        </is>
      </c>
      <c r="D7" s="5" t="inlineStr">
        <is>
          <t>Together</t>
        </is>
      </c>
      <c r="E7" s="6" t="n">
        <v>26646</v>
      </c>
      <c r="F7" s="7" t="n">
        <v>1</v>
      </c>
      <c r="G7" s="5" t="n">
        <v>0</v>
      </c>
      <c r="H7" s="5" t="inlineStr">
        <is>
          <t>10-02-2014</t>
        </is>
      </c>
      <c r="I7" s="5" t="n">
        <v>26</v>
      </c>
      <c r="J7" s="7" t="n">
        <v>4</v>
      </c>
      <c r="K7" s="5" t="n">
        <v>6</v>
      </c>
    </row>
    <row r="8">
      <c r="A8" s="5" t="n">
        <v>5324</v>
      </c>
      <c r="B8" s="5" t="n">
        <v>1981</v>
      </c>
      <c r="C8" s="5" t="inlineStr">
        <is>
          <t>PhD</t>
        </is>
      </c>
      <c r="D8" s="5" t="inlineStr">
        <is>
          <t>Married</t>
        </is>
      </c>
      <c r="E8" s="6" t="n">
        <v>58293</v>
      </c>
      <c r="F8" s="7" t="n">
        <v>1</v>
      </c>
      <c r="G8" s="5" t="n">
        <v>0</v>
      </c>
      <c r="H8" s="5" t="inlineStr">
        <is>
          <t>19-01-2014</t>
        </is>
      </c>
      <c r="I8" s="5" t="n">
        <v>94</v>
      </c>
      <c r="J8" s="7" t="n">
        <v>6</v>
      </c>
      <c r="K8" s="5" t="n">
        <v>5</v>
      </c>
    </row>
    <row r="9">
      <c r="A9" s="5" t="n">
        <v>1001</v>
      </c>
      <c r="B9" s="5" t="n">
        <v>1947</v>
      </c>
      <c r="C9" s="5" t="inlineStr">
        <is>
          <t>Master</t>
        </is>
      </c>
      <c r="D9" s="5" t="inlineStr">
        <is>
          <t>Divorced</t>
        </is>
      </c>
      <c r="E9" s="6" t="n">
        <v>82443.5</v>
      </c>
      <c r="F9" s="7" t="n">
        <v>0</v>
      </c>
      <c r="G9" s="5" t="n">
        <v>1</v>
      </c>
      <c r="H9" s="5" t="inlineStr">
        <is>
          <t>12-04-2012</t>
        </is>
      </c>
      <c r="I9" s="5" t="n">
        <v>33</v>
      </c>
      <c r="J9" s="7" t="n">
        <v>2</v>
      </c>
      <c r="K9" s="5" t="n">
        <v>0</v>
      </c>
    </row>
    <row r="10">
      <c r="A10" s="5" t="n">
        <v>1002</v>
      </c>
      <c r="B10" s="5" t="n">
        <v>1960</v>
      </c>
      <c r="C10" s="5" t="inlineStr">
        <is>
          <t>Graduation</t>
        </is>
      </c>
      <c r="D10" s="5" t="inlineStr">
        <is>
          <t>Together</t>
        </is>
      </c>
      <c r="E10" s="6" t="n">
        <v>25269.6</v>
      </c>
      <c r="F10" s="7" t="n">
        <v>0</v>
      </c>
      <c r="G10" s="5" t="n">
        <v>0</v>
      </c>
      <c r="H10" s="5" t="inlineStr">
        <is>
          <t>29-08-2012</t>
        </is>
      </c>
      <c r="I10" s="5" t="n">
        <v>77</v>
      </c>
      <c r="J10" s="7" t="n">
        <v>1</v>
      </c>
      <c r="K10" s="5" t="n">
        <v>11</v>
      </c>
    </row>
    <row r="11">
      <c r="A11" s="5" t="n">
        <v>1003</v>
      </c>
      <c r="B11" s="5" t="n">
        <v>1978</v>
      </c>
      <c r="C11" s="5" t="inlineStr">
        <is>
          <t>Graduation</t>
        </is>
      </c>
      <c r="D11" s="5" t="inlineStr">
        <is>
          <t>Together</t>
        </is>
      </c>
      <c r="E11" s="6" t="n">
        <v>63510.2</v>
      </c>
      <c r="F11" s="7" t="n">
        <v>0</v>
      </c>
      <c r="G11" s="5" t="n">
        <v>1</v>
      </c>
      <c r="H11" s="5" t="inlineStr">
        <is>
          <t>26-04-2012</t>
        </is>
      </c>
      <c r="I11" s="5" t="n">
        <v>7</v>
      </c>
      <c r="J11" s="7" t="n">
        <v>13</v>
      </c>
      <c r="K11" s="5" t="n">
        <v>1</v>
      </c>
    </row>
    <row r="12">
      <c r="A12" s="5" t="n">
        <v>1004</v>
      </c>
      <c r="B12" s="5" t="n">
        <v>1997</v>
      </c>
      <c r="C12" s="5" t="inlineStr">
        <is>
          <t>2n Cycle</t>
        </is>
      </c>
      <c r="D12" s="5" t="inlineStr">
        <is>
          <t>Single</t>
        </is>
      </c>
      <c r="E12" s="6" t="n">
        <v>59437.2</v>
      </c>
      <c r="F12" s="7" t="n">
        <v>0</v>
      </c>
      <c r="G12" s="5" t="n">
        <v>0</v>
      </c>
      <c r="H12" s="5" t="inlineStr">
        <is>
          <t>01-08-2012</t>
        </is>
      </c>
      <c r="I12" s="5" t="n">
        <v>54</v>
      </c>
      <c r="J12" s="7" t="n">
        <v>13</v>
      </c>
      <c r="K12" s="5" t="n">
        <v>10</v>
      </c>
    </row>
    <row r="13">
      <c r="A13" s="5" t="n">
        <v>1005</v>
      </c>
      <c r="B13" s="5" t="n">
        <v>1958</v>
      </c>
      <c r="C13" s="5" t="inlineStr">
        <is>
          <t>Graduation</t>
        </is>
      </c>
      <c r="D13" s="5" t="inlineStr">
        <is>
          <t>Married</t>
        </is>
      </c>
      <c r="E13" s="6" t="n">
        <v>32340.7</v>
      </c>
      <c r="F13" s="7" t="n">
        <v>0</v>
      </c>
      <c r="G13" s="5" t="n">
        <v>0</v>
      </c>
      <c r="H13" s="5" t="inlineStr">
        <is>
          <t>28-04-2013</t>
        </is>
      </c>
      <c r="I13" s="5" t="n">
        <v>90</v>
      </c>
      <c r="J13" s="7" t="n">
        <v>8</v>
      </c>
      <c r="K13" s="5" t="n">
        <v>5</v>
      </c>
    </row>
    <row r="14">
      <c r="A14" s="5" t="n">
        <v>1006</v>
      </c>
      <c r="B14" s="5" t="n">
        <v>1962</v>
      </c>
      <c r="C14" s="5" t="inlineStr">
        <is>
          <t>Graduation</t>
        </is>
      </c>
      <c r="D14" s="5" t="inlineStr">
        <is>
          <t>Together</t>
        </is>
      </c>
      <c r="E14" s="6" t="n">
        <v>79337.5</v>
      </c>
      <c r="F14" s="7" t="n">
        <v>0</v>
      </c>
      <c r="G14" s="5" t="n">
        <v>1</v>
      </c>
      <c r="H14" s="5" t="inlineStr">
        <is>
          <t>12-06-2013</t>
        </is>
      </c>
      <c r="I14" s="5" t="n">
        <v>9</v>
      </c>
      <c r="J14" s="7" t="n">
        <v>7</v>
      </c>
      <c r="K14" s="5" t="n">
        <v>7</v>
      </c>
    </row>
    <row r="15">
      <c r="A15" s="5" t="n">
        <v>1007</v>
      </c>
      <c r="B15" s="5" t="n">
        <v>1950</v>
      </c>
      <c r="C15" s="5" t="inlineStr">
        <is>
          <t>Graduation</t>
        </is>
      </c>
      <c r="D15" s="5" t="inlineStr">
        <is>
          <t>Together</t>
        </is>
      </c>
      <c r="E15" s="6" t="n">
        <v>60785.6</v>
      </c>
      <c r="F15" s="7" t="n">
        <v>0</v>
      </c>
      <c r="G15" s="5" t="n">
        <v>1</v>
      </c>
      <c r="H15" s="5" t="inlineStr">
        <is>
          <t>21-11-2013</t>
        </is>
      </c>
      <c r="I15" s="5" t="n">
        <v>56</v>
      </c>
      <c r="J15" s="7" t="n">
        <v>9</v>
      </c>
      <c r="K15" s="5" t="n">
        <v>6</v>
      </c>
    </row>
    <row r="16">
      <c r="A16" s="5" t="n">
        <v>1008</v>
      </c>
      <c r="B16" s="5" t="n">
        <v>1950</v>
      </c>
      <c r="C16" s="5" t="inlineStr">
        <is>
          <t>Master</t>
        </is>
      </c>
      <c r="D16" s="5" t="inlineStr">
        <is>
          <t>Married</t>
        </is>
      </c>
      <c r="E16" s="6" t="n">
        <v>39845.3</v>
      </c>
      <c r="F16" s="7" t="n">
        <v>1</v>
      </c>
      <c r="G16" s="5" t="n">
        <v>0</v>
      </c>
      <c r="H16" s="5" t="inlineStr">
        <is>
          <t>11-08-2012</t>
        </is>
      </c>
      <c r="I16" s="5" t="n">
        <v>78</v>
      </c>
      <c r="J16" s="7" t="n">
        <v>1</v>
      </c>
      <c r="K16" s="5" t="n">
        <v>8</v>
      </c>
    </row>
    <row r="17">
      <c r="A17" s="5" t="n">
        <v>1009</v>
      </c>
      <c r="B17" s="5" t="n">
        <v>1963</v>
      </c>
      <c r="C17" s="5" t="inlineStr">
        <is>
          <t>Master</t>
        </is>
      </c>
      <c r="D17" s="5" t="inlineStr">
        <is>
          <t>Widow</t>
        </is>
      </c>
      <c r="E17" s="6" t="n">
        <v>12811.7</v>
      </c>
      <c r="F17" s="7" t="n">
        <v>0</v>
      </c>
      <c r="G17" s="5" t="n">
        <v>0</v>
      </c>
      <c r="H17" s="5" t="inlineStr">
        <is>
          <t>26-09-2012</t>
        </is>
      </c>
      <c r="I17" s="5" t="n">
        <v>85</v>
      </c>
      <c r="J17" s="7" t="n">
        <v>5</v>
      </c>
      <c r="K17" s="5" t="n">
        <v>13</v>
      </c>
    </row>
    <row r="18">
      <c r="A18" s="5" t="n">
        <v>1010</v>
      </c>
      <c r="B18" s="5" t="n">
        <v>1992</v>
      </c>
      <c r="C18" s="5" t="inlineStr">
        <is>
          <t>Graduation</t>
        </is>
      </c>
      <c r="D18" s="5" t="inlineStr">
        <is>
          <t>Single</t>
        </is>
      </c>
      <c r="E18" s="6" t="n">
        <v>54582.9</v>
      </c>
      <c r="F18" s="7" t="n">
        <v>0</v>
      </c>
      <c r="G18" s="5" t="n">
        <v>1</v>
      </c>
      <c r="H18" s="5" t="inlineStr">
        <is>
          <t>04-04-2014</t>
        </is>
      </c>
      <c r="I18" s="5" t="n">
        <v>44</v>
      </c>
      <c r="J18" s="7" t="n">
        <v>2</v>
      </c>
      <c r="K18" s="5" t="n">
        <v>1</v>
      </c>
    </row>
    <row r="19">
      <c r="A19" s="5" t="n">
        <v>1011</v>
      </c>
      <c r="B19" s="5" t="n">
        <v>1975</v>
      </c>
      <c r="C19" s="5" t="inlineStr">
        <is>
          <t>Graduation</t>
        </is>
      </c>
      <c r="D19" s="5" t="inlineStr">
        <is>
          <t>Married</t>
        </is>
      </c>
      <c r="E19" s="6" t="n">
        <v>49105.1</v>
      </c>
      <c r="F19" s="7" t="n">
        <v>0</v>
      </c>
      <c r="G19" s="5" t="n">
        <v>0</v>
      </c>
      <c r="H19" s="5" t="inlineStr">
        <is>
          <t>10-05-2014</t>
        </is>
      </c>
      <c r="I19" s="5" t="n">
        <v>49</v>
      </c>
      <c r="J19" s="7" t="n">
        <v>2</v>
      </c>
      <c r="K19" s="5" t="n">
        <v>11</v>
      </c>
    </row>
    <row r="20">
      <c r="A20" s="5" t="n">
        <v>1012</v>
      </c>
      <c r="B20" s="5" t="n">
        <v>1979</v>
      </c>
      <c r="C20" s="5" t="inlineStr">
        <is>
          <t>Master</t>
        </is>
      </c>
      <c r="D20" s="5" t="inlineStr">
        <is>
          <t>Together</t>
        </is>
      </c>
      <c r="E20" s="6" t="n">
        <v>29385.7</v>
      </c>
      <c r="F20" s="7" t="n">
        <v>0</v>
      </c>
      <c r="G20" s="5" t="n">
        <v>1</v>
      </c>
      <c r="H20" s="5" t="inlineStr">
        <is>
          <t>13-05-2012</t>
        </is>
      </c>
      <c r="I20" s="5" t="n">
        <v>63</v>
      </c>
      <c r="J20" s="7" t="n">
        <v>4</v>
      </c>
      <c r="K20" s="5" t="n">
        <v>8</v>
      </c>
    </row>
    <row r="21">
      <c r="A21" s="5" t="n">
        <v>1013</v>
      </c>
      <c r="B21" s="5" t="n">
        <v>1963</v>
      </c>
      <c r="C21" s="5" t="inlineStr">
        <is>
          <t>Master</t>
        </is>
      </c>
      <c r="D21" s="5" t="inlineStr">
        <is>
          <t>Together</t>
        </is>
      </c>
      <c r="E21" s="6" t="n">
        <v>29127.7</v>
      </c>
      <c r="F21" s="7" t="n">
        <v>1</v>
      </c>
      <c r="G21" s="5" t="n">
        <v>1</v>
      </c>
      <c r="H21" s="5" t="inlineStr">
        <is>
          <t>23-04-2012</t>
        </is>
      </c>
      <c r="I21" s="5" t="n">
        <v>94</v>
      </c>
      <c r="J21" s="7" t="n">
        <v>6</v>
      </c>
      <c r="K21" s="5" t="n">
        <v>3</v>
      </c>
    </row>
    <row r="22">
      <c r="A22" s="5" t="n">
        <v>1014</v>
      </c>
      <c r="B22" s="5" t="n">
        <v>1942</v>
      </c>
      <c r="C22" s="5" t="inlineStr">
        <is>
          <t>Graduation</t>
        </is>
      </c>
      <c r="D22" s="5" t="inlineStr">
        <is>
          <t>Together</t>
        </is>
      </c>
      <c r="E22" s="6" t="n">
        <v>67370.2</v>
      </c>
      <c r="F22" s="7" t="n">
        <v>0</v>
      </c>
      <c r="G22" s="5" t="n">
        <v>0</v>
      </c>
      <c r="H22" s="5" t="inlineStr">
        <is>
          <t>16-03-2013</t>
        </is>
      </c>
      <c r="I22" s="5" t="n">
        <v>1</v>
      </c>
      <c r="J22" s="7" t="n">
        <v>6</v>
      </c>
      <c r="K22" s="5" t="n">
        <v>10</v>
      </c>
    </row>
    <row r="23">
      <c r="A23" s="5" t="n">
        <v>1015</v>
      </c>
      <c r="B23" s="5" t="n">
        <v>1961</v>
      </c>
      <c r="C23" s="5" t="inlineStr">
        <is>
          <t>2n Cycle</t>
        </is>
      </c>
      <c r="D23" s="5" t="inlineStr">
        <is>
          <t>Married</t>
        </is>
      </c>
      <c r="E23" s="6" t="n">
        <v>10886.1</v>
      </c>
      <c r="F23" s="7" t="n">
        <v>1</v>
      </c>
      <c r="G23" s="5" t="n">
        <v>0</v>
      </c>
      <c r="H23" s="5" t="inlineStr">
        <is>
          <t>05-10-2013</t>
        </is>
      </c>
      <c r="I23" s="5" t="n">
        <v>44</v>
      </c>
      <c r="J23" s="7" t="n">
        <v>10</v>
      </c>
      <c r="K23" s="5" t="n">
        <v>14</v>
      </c>
    </row>
    <row r="24"/>
    <row r="25">
      <c r="A25" s="8" t="inlineStr">
        <is>
          <t>Notes: Blue font = editable inputs. Income has 24 missing values in the full dataset (shown as blank when present).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55" customWidth="1" min="4" max="4"/>
    <col width="10" customWidth="1" min="5" max="5"/>
  </cols>
  <sheetData>
    <row r="1">
      <c r="A1" s="1" t="inlineStr">
        <is>
          <t>Grouping / Aggregation (spreadsheet equivalent of pandas groupby)</t>
        </is>
      </c>
    </row>
    <row r="2"/>
    <row r="3">
      <c r="A3" s="2" t="inlineStr">
        <is>
          <t>Average NumStorePurchases by Kidhome (AVERAGEIF)</t>
        </is>
      </c>
    </row>
    <row r="4"/>
    <row r="5">
      <c r="A5" s="4" t="inlineStr">
        <is>
          <t>Kidhome</t>
        </is>
      </c>
      <c r="B5" s="4" t="inlineStr">
        <is>
          <t>Avg Store Purchases</t>
        </is>
      </c>
      <c r="C5" s="4" t="inlineStr">
        <is>
          <t>Count</t>
        </is>
      </c>
      <c r="D5" s="4" t="inlineStr">
        <is>
          <t>Formula (Avg)</t>
        </is>
      </c>
    </row>
    <row r="6">
      <c r="A6" s="9" t="n">
        <v>0</v>
      </c>
      <c r="B6">
        <f>AVERAGEIF('Sample Data'!$F$4:$F$23,A6,'Sample Data'!$J$4:$J$23)</f>
        <v/>
      </c>
      <c r="C6">
        <f>COUNTIF('Sample Data'!$F$4:$F$23,A6)</f>
        <v/>
      </c>
      <c r="D6" s="10">
        <f>AVERAGEIF('Sample Data'!$F$4:$F$23,A6,'Sample Data'!$J$4:$J$23)</f>
        <v/>
      </c>
    </row>
    <row r="7">
      <c r="A7" s="9" t="n">
        <v>1</v>
      </c>
      <c r="B7">
        <f>AVERAGEIF('Sample Data'!$F$4:$F$23,A7,'Sample Data'!$J$4:$J$23)</f>
        <v/>
      </c>
      <c r="C7">
        <f>COUNTIF('Sample Data'!$F$4:$F$23,A7)</f>
        <v/>
      </c>
      <c r="D7" s="10">
        <f>AVERAGEIF('Sample Data'!$F$4:$F$23,A7,'Sample Data'!$J$4:$J$23)</f>
        <v/>
      </c>
    </row>
    <row r="8">
      <c r="A8" s="9" t="n">
        <v>2</v>
      </c>
      <c r="B8">
        <f>AVERAGEIF('Sample Data'!$F$4:$F$23,A8,'Sample Data'!$J$4:$J$23)</f>
        <v/>
      </c>
      <c r="C8">
        <f>COUNTIF('Sample Data'!$F$4:$F$23,A8)</f>
        <v/>
      </c>
      <c r="D8" s="10">
        <f>AVERAGEIF('Sample Data'!$F$4:$F$23,A8,'Sample Data'!$J$4:$J$23)</f>
        <v/>
      </c>
    </row>
    <row r="9"/>
    <row r="10">
      <c r="A10" s="8" t="inlineStr">
        <is>
          <t>Tip: In Google Sheets the same AVERAGEIF / COUNTIF syntax works. For multiple metrics use QUERY or pivot tables.</t>
        </is>
      </c>
    </row>
    <row r="11"/>
    <row r="12">
      <c r="A12" s="2" t="inlineStr">
        <is>
          <t>Pivot-table style summary (manual)</t>
        </is>
      </c>
    </row>
    <row r="13">
      <c r="A13" s="4" t="inlineStr">
        <is>
          <t>Education</t>
        </is>
      </c>
      <c r="B13" s="4" t="inlineStr">
        <is>
          <t>Mean Income (from sample)</t>
        </is>
      </c>
    </row>
    <row r="14">
      <c r="A14" s="9" t="inlineStr">
        <is>
          <t>Graduation</t>
        </is>
      </c>
      <c r="B14">
        <f>AVERAGEIF('Sample Data'!$C$4:$C$23,A14,'Sample Data'!$E$4:$E$23)</f>
        <v/>
      </c>
    </row>
    <row r="15">
      <c r="A15" s="9" t="inlineStr">
        <is>
          <t>PhD</t>
        </is>
      </c>
      <c r="B15">
        <f>AVERAGEIF('Sample Data'!$C$4:$C$23,A15,'Sample Data'!$E$4:$E$23)</f>
        <v/>
      </c>
    </row>
    <row r="16">
      <c r="A16" s="9" t="inlineStr">
        <is>
          <t>Master</t>
        </is>
      </c>
      <c r="B16">
        <f>AVERAGEIF('Sample Data'!$C$4:$C$23,A16,'Sample Data'!$E$4:$E$23)</f>
        <v/>
      </c>
    </row>
    <row r="17">
      <c r="A17" s="9" t="inlineStr">
        <is>
          <t>Basic</t>
        </is>
      </c>
      <c r="B17">
        <f>AVERAGEIF('Sample Data'!$C$4:$C$23,A17,'Sample Data'!$E$4:$E$23)</f>
        <v/>
      </c>
    </row>
    <row r="18">
      <c r="A18" s="9" t="inlineStr">
        <is>
          <t>2n Cycle</t>
        </is>
      </c>
      <c r="B18">
        <f>AVERAGEIF('Sample Data'!$C$4:$C$23,A18,'Sample Data'!$E$4:$E$23)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</cols>
  <sheetData>
    <row r="1">
      <c r="A1" s="1" t="inlineStr">
        <is>
          <t>Sorting and Ranking</t>
        </is>
      </c>
    </row>
    <row r="2"/>
    <row r="3">
      <c r="A3" s="2" t="inlineStr">
        <is>
          <t>Helper rank column (RANK) – useful when you cannot rely on UI sort</t>
        </is>
      </c>
    </row>
    <row r="4"/>
    <row r="5">
      <c r="A5" s="4" t="inlineStr">
        <is>
          <t>ID</t>
        </is>
      </c>
      <c r="B5" s="4" t="inlineStr">
        <is>
          <t>NumStorePurchases</t>
        </is>
      </c>
      <c r="C5" s="4" t="inlineStr">
        <is>
          <t>Rank (desc)</t>
        </is>
      </c>
    </row>
    <row r="6">
      <c r="A6" s="11">
        <f>'Sample Data'!A4</f>
        <v/>
      </c>
      <c r="B6" s="11">
        <f>'Sample Data'!J4</f>
        <v/>
      </c>
      <c r="C6" s="11">
        <f>RANK(B6,$B$6:$B$25,0)</f>
        <v/>
      </c>
    </row>
    <row r="7">
      <c r="A7" s="11">
        <f>'Sample Data'!A5</f>
        <v/>
      </c>
      <c r="B7" s="11">
        <f>'Sample Data'!J5</f>
        <v/>
      </c>
      <c r="C7" s="11">
        <f>RANK(B7,$B$6:$B$25,0)</f>
        <v/>
      </c>
    </row>
    <row r="8">
      <c r="A8" s="11">
        <f>'Sample Data'!A6</f>
        <v/>
      </c>
      <c r="B8" s="11">
        <f>'Sample Data'!J6</f>
        <v/>
      </c>
      <c r="C8" s="11">
        <f>RANK(B8,$B$6:$B$25,0)</f>
        <v/>
      </c>
    </row>
    <row r="9">
      <c r="A9" s="11">
        <f>'Sample Data'!A7</f>
        <v/>
      </c>
      <c r="B9" s="11">
        <f>'Sample Data'!J7</f>
        <v/>
      </c>
      <c r="C9" s="11">
        <f>RANK(B9,$B$6:$B$25,0)</f>
        <v/>
      </c>
    </row>
    <row r="10">
      <c r="A10" s="11">
        <f>'Sample Data'!A8</f>
        <v/>
      </c>
      <c r="B10" s="11">
        <f>'Sample Data'!J8</f>
        <v/>
      </c>
      <c r="C10" s="11">
        <f>RANK(B10,$B$6:$B$25,0)</f>
        <v/>
      </c>
    </row>
    <row r="11">
      <c r="A11" s="11">
        <f>'Sample Data'!A9</f>
        <v/>
      </c>
      <c r="B11" s="11">
        <f>'Sample Data'!J9</f>
        <v/>
      </c>
      <c r="C11" s="11">
        <f>RANK(B11,$B$6:$B$25,0)</f>
        <v/>
      </c>
    </row>
    <row r="12">
      <c r="A12" s="11">
        <f>'Sample Data'!A10</f>
        <v/>
      </c>
      <c r="B12" s="11">
        <f>'Sample Data'!J10</f>
        <v/>
      </c>
      <c r="C12" s="11">
        <f>RANK(B12,$B$6:$B$25,0)</f>
        <v/>
      </c>
    </row>
    <row r="13">
      <c r="A13" s="11">
        <f>'Sample Data'!A11</f>
        <v/>
      </c>
      <c r="B13" s="11">
        <f>'Sample Data'!J11</f>
        <v/>
      </c>
      <c r="C13" s="11">
        <f>RANK(B13,$B$6:$B$25,0)</f>
        <v/>
      </c>
    </row>
    <row r="14">
      <c r="A14" s="11">
        <f>'Sample Data'!A12</f>
        <v/>
      </c>
      <c r="B14" s="11">
        <f>'Sample Data'!J12</f>
        <v/>
      </c>
      <c r="C14" s="11">
        <f>RANK(B14,$B$6:$B$25,0)</f>
        <v/>
      </c>
    </row>
    <row r="15">
      <c r="A15" s="11">
        <f>'Sample Data'!A13</f>
        <v/>
      </c>
      <c r="B15" s="11">
        <f>'Sample Data'!J13</f>
        <v/>
      </c>
      <c r="C15" s="11">
        <f>RANK(B15,$B$6:$B$25,0)</f>
        <v/>
      </c>
    </row>
    <row r="16">
      <c r="A16" s="11">
        <f>'Sample Data'!A14</f>
        <v/>
      </c>
      <c r="B16" s="11">
        <f>'Sample Data'!J14</f>
        <v/>
      </c>
      <c r="C16" s="11">
        <f>RANK(B16,$B$6:$B$25,0)</f>
        <v/>
      </c>
    </row>
    <row r="17">
      <c r="A17" s="11">
        <f>'Sample Data'!A15</f>
        <v/>
      </c>
      <c r="B17" s="11">
        <f>'Sample Data'!J15</f>
        <v/>
      </c>
      <c r="C17" s="11">
        <f>RANK(B17,$B$6:$B$25,0)</f>
        <v/>
      </c>
    </row>
    <row r="18">
      <c r="A18" s="11">
        <f>'Sample Data'!A16</f>
        <v/>
      </c>
      <c r="B18" s="11">
        <f>'Sample Data'!J16</f>
        <v/>
      </c>
      <c r="C18" s="11">
        <f>RANK(B18,$B$6:$B$25,0)</f>
        <v/>
      </c>
    </row>
    <row r="19">
      <c r="A19" s="11">
        <f>'Sample Data'!A17</f>
        <v/>
      </c>
      <c r="B19" s="11">
        <f>'Sample Data'!J17</f>
        <v/>
      </c>
      <c r="C19" s="11">
        <f>RANK(B19,$B$6:$B$25,0)</f>
        <v/>
      </c>
    </row>
    <row r="20">
      <c r="A20" s="11">
        <f>'Sample Data'!A18</f>
        <v/>
      </c>
      <c r="B20" s="11">
        <f>'Sample Data'!J18</f>
        <v/>
      </c>
      <c r="C20" s="11">
        <f>RANK(B20,$B$6:$B$25,0)</f>
        <v/>
      </c>
    </row>
    <row r="21">
      <c r="A21" s="11">
        <f>'Sample Data'!A19</f>
        <v/>
      </c>
      <c r="B21" s="11">
        <f>'Sample Data'!J19</f>
        <v/>
      </c>
      <c r="C21" s="11">
        <f>RANK(B21,$B$6:$B$25,0)</f>
        <v/>
      </c>
    </row>
    <row r="22">
      <c r="A22" s="11">
        <f>'Sample Data'!A20</f>
        <v/>
      </c>
      <c r="B22" s="11">
        <f>'Sample Data'!J20</f>
        <v/>
      </c>
      <c r="C22" s="11">
        <f>RANK(B22,$B$6:$B$25,0)</f>
        <v/>
      </c>
    </row>
    <row r="23">
      <c r="A23" s="11">
        <f>'Sample Data'!A21</f>
        <v/>
      </c>
      <c r="B23" s="11">
        <f>'Sample Data'!J21</f>
        <v/>
      </c>
      <c r="C23" s="11">
        <f>RANK(B23,$B$6:$B$25,0)</f>
        <v/>
      </c>
    </row>
    <row r="24">
      <c r="A24" s="11">
        <f>'Sample Data'!A22</f>
        <v/>
      </c>
      <c r="B24" s="11">
        <f>'Sample Data'!J22</f>
        <v/>
      </c>
      <c r="C24" s="11">
        <f>RANK(B24,$B$6:$B$25,0)</f>
        <v/>
      </c>
    </row>
    <row r="25">
      <c r="A25" s="11">
        <f>'Sample Data'!A23</f>
        <v/>
      </c>
      <c r="B25" s="11">
        <f>'Sample Data'!J23</f>
        <v/>
      </c>
      <c r="C25" s="11">
        <f>RANK(B25,$B$6:$B$25,0)</f>
        <v/>
      </c>
    </row>
    <row r="26"/>
    <row r="27"/>
    <row r="28">
      <c r="A28" t="inlineStr">
        <is>
          <t>In Google Sheets: Data → Sort range, or use SORT() / SORTN() array formulas.</t>
        </is>
      </c>
    </row>
    <row r="29">
      <c r="A29" t="inlineStr">
        <is>
          <t>Example array formula: =SORT('Sample Data'!A4:K23, 10, FALSE)  // sort by 10th column desc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28" customWidth="1" min="4" max="4"/>
  </cols>
  <sheetData>
    <row r="1">
      <c r="A1" s="1" t="inlineStr">
        <is>
          <t>Categorising numeric data (pd.cut equivalent)</t>
        </is>
      </c>
    </row>
    <row r="2"/>
    <row r="3">
      <c r="A3" s="2" t="inlineStr">
        <is>
          <t>Nested IF / IFS to create Low / Moderate / High from NumStorePurchases</t>
        </is>
      </c>
    </row>
    <row r="4"/>
    <row r="5">
      <c r="A5" s="4" t="inlineStr">
        <is>
          <t>ID</t>
        </is>
      </c>
      <c r="B5" s="4" t="inlineStr">
        <is>
          <t>NumStorePurchases</t>
        </is>
      </c>
      <c r="C5" s="4" t="inlineStr">
        <is>
          <t>Category</t>
        </is>
      </c>
      <c r="D5" s="4" t="inlineStr">
        <is>
          <t>Rule</t>
        </is>
      </c>
    </row>
    <row r="6">
      <c r="A6" s="11">
        <f>'Sample Data'!A4</f>
        <v/>
      </c>
      <c r="B6" s="11">
        <f>'Sample Data'!J4</f>
        <v/>
      </c>
      <c r="C6" s="11">
        <f>IF(B6&lt;=4,"Low",IF(B6&lt;=8,"Moderate","High"))</f>
        <v/>
      </c>
      <c r="D6" s="12" t="inlineStr">
        <is>
          <t>&lt;=4 Low | &lt;=8 Moderate | else High</t>
        </is>
      </c>
    </row>
    <row r="7">
      <c r="A7" s="11">
        <f>'Sample Data'!A5</f>
        <v/>
      </c>
      <c r="B7" s="11">
        <f>'Sample Data'!J5</f>
        <v/>
      </c>
      <c r="C7" s="11">
        <f>IF(B7&lt;=4,"Low",IF(B7&lt;=8,"Moderate","High"))</f>
        <v/>
      </c>
      <c r="D7" s="12" t="inlineStr">
        <is>
          <t>&lt;=4 Low | &lt;=8 Moderate | else High</t>
        </is>
      </c>
    </row>
    <row r="8">
      <c r="A8" s="11">
        <f>'Sample Data'!A6</f>
        <v/>
      </c>
      <c r="B8" s="11">
        <f>'Sample Data'!J6</f>
        <v/>
      </c>
      <c r="C8" s="11">
        <f>IF(B8&lt;=4,"Low",IF(B8&lt;=8,"Moderate","High"))</f>
        <v/>
      </c>
      <c r="D8" s="12" t="inlineStr">
        <is>
          <t>&lt;=4 Low | &lt;=8 Moderate | else High</t>
        </is>
      </c>
    </row>
    <row r="9">
      <c r="A9" s="11">
        <f>'Sample Data'!A7</f>
        <v/>
      </c>
      <c r="B9" s="11">
        <f>'Sample Data'!J7</f>
        <v/>
      </c>
      <c r="C9" s="11">
        <f>IF(B9&lt;=4,"Low",IF(B9&lt;=8,"Moderate","High"))</f>
        <v/>
      </c>
      <c r="D9" s="12" t="inlineStr">
        <is>
          <t>&lt;=4 Low | &lt;=8 Moderate | else High</t>
        </is>
      </c>
    </row>
    <row r="10">
      <c r="A10" s="11">
        <f>'Sample Data'!A8</f>
        <v/>
      </c>
      <c r="B10" s="11">
        <f>'Sample Data'!J8</f>
        <v/>
      </c>
      <c r="C10" s="11">
        <f>IF(B10&lt;=4,"Low",IF(B10&lt;=8,"Moderate","High"))</f>
        <v/>
      </c>
      <c r="D10" s="12" t="inlineStr">
        <is>
          <t>&lt;=4 Low | &lt;=8 Moderate | else High</t>
        </is>
      </c>
    </row>
    <row r="11">
      <c r="A11" s="11">
        <f>'Sample Data'!A9</f>
        <v/>
      </c>
      <c r="B11" s="11">
        <f>'Sample Data'!J9</f>
        <v/>
      </c>
      <c r="C11" s="11">
        <f>IF(B11&lt;=4,"Low",IF(B11&lt;=8,"Moderate","High"))</f>
        <v/>
      </c>
      <c r="D11" s="12" t="inlineStr">
        <is>
          <t>&lt;=4 Low | &lt;=8 Moderate | else High</t>
        </is>
      </c>
    </row>
    <row r="12">
      <c r="A12" s="11">
        <f>'Sample Data'!A10</f>
        <v/>
      </c>
      <c r="B12" s="11">
        <f>'Sample Data'!J10</f>
        <v/>
      </c>
      <c r="C12" s="11">
        <f>IF(B12&lt;=4,"Low",IF(B12&lt;=8,"Moderate","High"))</f>
        <v/>
      </c>
      <c r="D12" s="12" t="inlineStr">
        <is>
          <t>&lt;=4 Low | &lt;=8 Moderate | else High</t>
        </is>
      </c>
    </row>
    <row r="13">
      <c r="A13" s="11">
        <f>'Sample Data'!A11</f>
        <v/>
      </c>
      <c r="B13" s="11">
        <f>'Sample Data'!J11</f>
        <v/>
      </c>
      <c r="C13" s="11">
        <f>IF(B13&lt;=4,"Low",IF(B13&lt;=8,"Moderate","High"))</f>
        <v/>
      </c>
      <c r="D13" s="12" t="inlineStr">
        <is>
          <t>&lt;=4 Low | &lt;=8 Moderate | else High</t>
        </is>
      </c>
    </row>
    <row r="14">
      <c r="A14" s="11">
        <f>'Sample Data'!A12</f>
        <v/>
      </c>
      <c r="B14" s="11">
        <f>'Sample Data'!J12</f>
        <v/>
      </c>
      <c r="C14" s="11">
        <f>IF(B14&lt;=4,"Low",IF(B14&lt;=8,"Moderate","High"))</f>
        <v/>
      </c>
      <c r="D14" s="12" t="inlineStr">
        <is>
          <t>&lt;=4 Low | &lt;=8 Moderate | else High</t>
        </is>
      </c>
    </row>
    <row r="15">
      <c r="A15" s="11">
        <f>'Sample Data'!A13</f>
        <v/>
      </c>
      <c r="B15" s="11">
        <f>'Sample Data'!J13</f>
        <v/>
      </c>
      <c r="C15" s="11">
        <f>IF(B15&lt;=4,"Low",IF(B15&lt;=8,"Moderate","High"))</f>
        <v/>
      </c>
      <c r="D15" s="12" t="inlineStr">
        <is>
          <t>&lt;=4 Low | &lt;=8 Moderate | else High</t>
        </is>
      </c>
    </row>
    <row r="16">
      <c r="A16" s="11">
        <f>'Sample Data'!A14</f>
        <v/>
      </c>
      <c r="B16" s="11">
        <f>'Sample Data'!J14</f>
        <v/>
      </c>
      <c r="C16" s="11">
        <f>IF(B16&lt;=4,"Low",IF(B16&lt;=8,"Moderate","High"))</f>
        <v/>
      </c>
      <c r="D16" s="12" t="inlineStr">
        <is>
          <t>&lt;=4 Low | &lt;=8 Moderate | else High</t>
        </is>
      </c>
    </row>
    <row r="17">
      <c r="A17" s="11">
        <f>'Sample Data'!A15</f>
        <v/>
      </c>
      <c r="B17" s="11">
        <f>'Sample Data'!J15</f>
        <v/>
      </c>
      <c r="C17" s="11">
        <f>IF(B17&lt;=4,"Low",IF(B17&lt;=8,"Moderate","High"))</f>
        <v/>
      </c>
      <c r="D17" s="12" t="inlineStr">
        <is>
          <t>&lt;=4 Low | &lt;=8 Moderate | else High</t>
        </is>
      </c>
    </row>
    <row r="18">
      <c r="A18" s="11">
        <f>'Sample Data'!A16</f>
        <v/>
      </c>
      <c r="B18" s="11">
        <f>'Sample Data'!J16</f>
        <v/>
      </c>
      <c r="C18" s="11">
        <f>IF(B18&lt;=4,"Low",IF(B18&lt;=8,"Moderate","High"))</f>
        <v/>
      </c>
      <c r="D18" s="12" t="inlineStr">
        <is>
          <t>&lt;=4 Low | &lt;=8 Moderate | else High</t>
        </is>
      </c>
    </row>
    <row r="19">
      <c r="A19" s="11">
        <f>'Sample Data'!A17</f>
        <v/>
      </c>
      <c r="B19" s="11">
        <f>'Sample Data'!J17</f>
        <v/>
      </c>
      <c r="C19" s="11">
        <f>IF(B19&lt;=4,"Low",IF(B19&lt;=8,"Moderate","High"))</f>
        <v/>
      </c>
      <c r="D19" s="12" t="inlineStr">
        <is>
          <t>&lt;=4 Low | &lt;=8 Moderate | else High</t>
        </is>
      </c>
    </row>
    <row r="20">
      <c r="A20" s="11">
        <f>'Sample Data'!A18</f>
        <v/>
      </c>
      <c r="B20" s="11">
        <f>'Sample Data'!J18</f>
        <v/>
      </c>
      <c r="C20" s="11">
        <f>IF(B20&lt;=4,"Low",IF(B20&lt;=8,"Moderate","High"))</f>
        <v/>
      </c>
      <c r="D20" s="12" t="inlineStr">
        <is>
          <t>&lt;=4 Low | &lt;=8 Moderate | else High</t>
        </is>
      </c>
    </row>
    <row r="21">
      <c r="A21" s="11">
        <f>'Sample Data'!A19</f>
        <v/>
      </c>
      <c r="B21" s="11">
        <f>'Sample Data'!J19</f>
        <v/>
      </c>
      <c r="C21" s="11">
        <f>IF(B21&lt;=4,"Low",IF(B21&lt;=8,"Moderate","High"))</f>
        <v/>
      </c>
      <c r="D21" s="12" t="inlineStr">
        <is>
          <t>&lt;=4 Low | &lt;=8 Moderate | else High</t>
        </is>
      </c>
    </row>
    <row r="22">
      <c r="A22" s="11">
        <f>'Sample Data'!A20</f>
        <v/>
      </c>
      <c r="B22" s="11">
        <f>'Sample Data'!J20</f>
        <v/>
      </c>
      <c r="C22" s="11">
        <f>IF(B22&lt;=4,"Low",IF(B22&lt;=8,"Moderate","High"))</f>
        <v/>
      </c>
      <c r="D22" s="12" t="inlineStr">
        <is>
          <t>&lt;=4 Low | &lt;=8 Moderate | else High</t>
        </is>
      </c>
    </row>
    <row r="23">
      <c r="A23" s="11">
        <f>'Sample Data'!A21</f>
        <v/>
      </c>
      <c r="B23" s="11">
        <f>'Sample Data'!J21</f>
        <v/>
      </c>
      <c r="C23" s="11">
        <f>IF(B23&lt;=4,"Low",IF(B23&lt;=8,"Moderate","High"))</f>
        <v/>
      </c>
      <c r="D23" s="12" t="inlineStr">
        <is>
          <t>&lt;=4 Low | &lt;=8 Moderate | else High</t>
        </is>
      </c>
    </row>
    <row r="24">
      <c r="A24" s="11">
        <f>'Sample Data'!A22</f>
        <v/>
      </c>
      <c r="B24" s="11">
        <f>'Sample Data'!J22</f>
        <v/>
      </c>
      <c r="C24" s="11">
        <f>IF(B24&lt;=4,"Low",IF(B24&lt;=8,"Moderate","High"))</f>
        <v/>
      </c>
      <c r="D24" s="12" t="inlineStr">
        <is>
          <t>&lt;=4 Low | &lt;=8 Moderate | else High</t>
        </is>
      </c>
    </row>
    <row r="25">
      <c r="A25" s="11">
        <f>'Sample Data'!A23</f>
        <v/>
      </c>
      <c r="B25" s="11">
        <f>'Sample Data'!J23</f>
        <v/>
      </c>
      <c r="C25" s="11">
        <f>IF(B25&lt;=4,"Low",IF(B25&lt;=8,"Moderate","High"))</f>
        <v/>
      </c>
      <c r="D25" s="12" t="inlineStr">
        <is>
          <t>&lt;=4 Low | &lt;=8 Moderate | else High</t>
        </is>
      </c>
    </row>
    <row r="26"/>
    <row r="27"/>
    <row r="28">
      <c r="A28" t="inlineStr">
        <is>
          <t>Google Sheets also supports IFS: =IFS(B6&lt;=4,"Low",B6&lt;=8,"Moderate",TRUE,"High")</t>
        </is>
      </c>
    </row>
    <row r="29">
      <c r="A29" t="inlineStr">
        <is>
          <t>For equal-frequency bins pre-compute quantile cut-points (PERCENTILE) then apply IFS.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26" customWidth="1" min="4" max="4"/>
    <col width="23" customWidth="1" min="5" max="5"/>
  </cols>
  <sheetData>
    <row r="1">
      <c r="A1" s="1" t="inlineStr">
        <is>
          <t>Detecting and counting duplicates</t>
        </is>
      </c>
    </row>
    <row r="2"/>
    <row r="3">
      <c r="A3" s="2" t="inlineStr">
        <is>
          <t>COUNTIF-based duplicate flag on Education + Marital_Status (illustration on sample)</t>
        </is>
      </c>
    </row>
    <row r="4"/>
    <row r="5">
      <c r="A5" s="4" t="inlineStr">
        <is>
          <t>Education</t>
        </is>
      </c>
      <c r="B5" s="4" t="inlineStr">
        <is>
          <t>Marital_Status</t>
        </is>
      </c>
      <c r="C5" s="4" t="inlineStr">
        <is>
          <t>Combo key</t>
        </is>
      </c>
      <c r="D5" s="4" t="inlineStr">
        <is>
          <t>Count of combo</t>
        </is>
      </c>
      <c r="E5" s="4" t="inlineStr">
        <is>
          <t>Is Duplicate?</t>
        </is>
      </c>
    </row>
    <row r="6">
      <c r="A6" s="11">
        <f>'Sample Data'!C4</f>
        <v/>
      </c>
      <c r="B6" s="11">
        <f>'Sample Data'!D4</f>
        <v/>
      </c>
      <c r="C6" s="11">
        <f>A6&amp;"|"&amp;B6</f>
        <v/>
      </c>
      <c r="D6" s="11">
        <f>COUNTIF($C$6:$C$25,C6)</f>
        <v/>
      </c>
      <c r="E6" s="11">
        <f>IF(D6&gt;1,"Yes","No")</f>
        <v/>
      </c>
    </row>
    <row r="7">
      <c r="A7" s="11">
        <f>'Sample Data'!C5</f>
        <v/>
      </c>
      <c r="B7" s="11">
        <f>'Sample Data'!D5</f>
        <v/>
      </c>
      <c r="C7" s="11">
        <f>A7&amp;"|"&amp;B7</f>
        <v/>
      </c>
      <c r="D7" s="11">
        <f>COUNTIF($C$6:$C$25,C7)</f>
        <v/>
      </c>
      <c r="E7" s="11">
        <f>IF(D7&gt;1,"Yes","No")</f>
        <v/>
      </c>
    </row>
    <row r="8">
      <c r="A8" s="11">
        <f>'Sample Data'!C6</f>
        <v/>
      </c>
      <c r="B8" s="11">
        <f>'Sample Data'!D6</f>
        <v/>
      </c>
      <c r="C8" s="11">
        <f>A8&amp;"|"&amp;B8</f>
        <v/>
      </c>
      <c r="D8" s="11">
        <f>COUNTIF($C$6:$C$25,C8)</f>
        <v/>
      </c>
      <c r="E8" s="11">
        <f>IF(D8&gt;1,"Yes","No")</f>
        <v/>
      </c>
    </row>
    <row r="9">
      <c r="A9" s="11">
        <f>'Sample Data'!C7</f>
        <v/>
      </c>
      <c r="B9" s="11">
        <f>'Sample Data'!D7</f>
        <v/>
      </c>
      <c r="C9" s="11">
        <f>A9&amp;"|"&amp;B9</f>
        <v/>
      </c>
      <c r="D9" s="11">
        <f>COUNTIF($C$6:$C$25,C9)</f>
        <v/>
      </c>
      <c r="E9" s="11">
        <f>IF(D9&gt;1,"Yes","No")</f>
        <v/>
      </c>
    </row>
    <row r="10">
      <c r="A10" s="11">
        <f>'Sample Data'!C8</f>
        <v/>
      </c>
      <c r="B10" s="11">
        <f>'Sample Data'!D8</f>
        <v/>
      </c>
      <c r="C10" s="11">
        <f>A10&amp;"|"&amp;B10</f>
        <v/>
      </c>
      <c r="D10" s="11">
        <f>COUNTIF($C$6:$C$25,C10)</f>
        <v/>
      </c>
      <c r="E10" s="11">
        <f>IF(D10&gt;1,"Yes","No")</f>
        <v/>
      </c>
    </row>
    <row r="11">
      <c r="A11" s="11">
        <f>'Sample Data'!C9</f>
        <v/>
      </c>
      <c r="B11" s="11">
        <f>'Sample Data'!D9</f>
        <v/>
      </c>
      <c r="C11" s="11">
        <f>A11&amp;"|"&amp;B11</f>
        <v/>
      </c>
      <c r="D11" s="11">
        <f>COUNTIF($C$6:$C$25,C11)</f>
        <v/>
      </c>
      <c r="E11" s="11">
        <f>IF(D11&gt;1,"Yes","No")</f>
        <v/>
      </c>
    </row>
    <row r="12">
      <c r="A12" s="11">
        <f>'Sample Data'!C10</f>
        <v/>
      </c>
      <c r="B12" s="11">
        <f>'Sample Data'!D10</f>
        <v/>
      </c>
      <c r="C12" s="11">
        <f>A12&amp;"|"&amp;B12</f>
        <v/>
      </c>
      <c r="D12" s="11">
        <f>COUNTIF($C$6:$C$25,C12)</f>
        <v/>
      </c>
      <c r="E12" s="11">
        <f>IF(D12&gt;1,"Yes","No")</f>
        <v/>
      </c>
    </row>
    <row r="13">
      <c r="A13" s="11">
        <f>'Sample Data'!C11</f>
        <v/>
      </c>
      <c r="B13" s="11">
        <f>'Sample Data'!D11</f>
        <v/>
      </c>
      <c r="C13" s="11">
        <f>A13&amp;"|"&amp;B13</f>
        <v/>
      </c>
      <c r="D13" s="11">
        <f>COUNTIF($C$6:$C$25,C13)</f>
        <v/>
      </c>
      <c r="E13" s="11">
        <f>IF(D13&gt;1,"Yes","No")</f>
        <v/>
      </c>
    </row>
    <row r="14">
      <c r="A14" s="11">
        <f>'Sample Data'!C12</f>
        <v/>
      </c>
      <c r="B14" s="11">
        <f>'Sample Data'!D12</f>
        <v/>
      </c>
      <c r="C14" s="11">
        <f>A14&amp;"|"&amp;B14</f>
        <v/>
      </c>
      <c r="D14" s="11">
        <f>COUNTIF($C$6:$C$25,C14)</f>
        <v/>
      </c>
      <c r="E14" s="11">
        <f>IF(D14&gt;1,"Yes","No")</f>
        <v/>
      </c>
    </row>
    <row r="15">
      <c r="A15" s="11">
        <f>'Sample Data'!C13</f>
        <v/>
      </c>
      <c r="B15" s="11">
        <f>'Sample Data'!D13</f>
        <v/>
      </c>
      <c r="C15" s="11">
        <f>A15&amp;"|"&amp;B15</f>
        <v/>
      </c>
      <c r="D15" s="11">
        <f>COUNTIF($C$6:$C$25,C15)</f>
        <v/>
      </c>
      <c r="E15" s="11">
        <f>IF(D15&gt;1,"Yes","No")</f>
        <v/>
      </c>
    </row>
    <row r="16">
      <c r="A16" s="11">
        <f>'Sample Data'!C14</f>
        <v/>
      </c>
      <c r="B16" s="11">
        <f>'Sample Data'!D14</f>
        <v/>
      </c>
      <c r="C16" s="11">
        <f>A16&amp;"|"&amp;B16</f>
        <v/>
      </c>
      <c r="D16" s="11">
        <f>COUNTIF($C$6:$C$25,C16)</f>
        <v/>
      </c>
      <c r="E16" s="11">
        <f>IF(D16&gt;1,"Yes","No")</f>
        <v/>
      </c>
    </row>
    <row r="17">
      <c r="A17" s="11">
        <f>'Sample Data'!C15</f>
        <v/>
      </c>
      <c r="B17" s="11">
        <f>'Sample Data'!D15</f>
        <v/>
      </c>
      <c r="C17" s="11">
        <f>A17&amp;"|"&amp;B17</f>
        <v/>
      </c>
      <c r="D17" s="11">
        <f>COUNTIF($C$6:$C$25,C17)</f>
        <v/>
      </c>
      <c r="E17" s="11">
        <f>IF(D17&gt;1,"Yes","No")</f>
        <v/>
      </c>
    </row>
    <row r="18">
      <c r="A18" s="11">
        <f>'Sample Data'!C16</f>
        <v/>
      </c>
      <c r="B18" s="11">
        <f>'Sample Data'!D16</f>
        <v/>
      </c>
      <c r="C18" s="11">
        <f>A18&amp;"|"&amp;B18</f>
        <v/>
      </c>
      <c r="D18" s="11">
        <f>COUNTIF($C$6:$C$25,C18)</f>
        <v/>
      </c>
      <c r="E18" s="11">
        <f>IF(D18&gt;1,"Yes","No")</f>
        <v/>
      </c>
    </row>
    <row r="19">
      <c r="A19" s="11">
        <f>'Sample Data'!C17</f>
        <v/>
      </c>
      <c r="B19" s="11">
        <f>'Sample Data'!D17</f>
        <v/>
      </c>
      <c r="C19" s="11">
        <f>A19&amp;"|"&amp;B19</f>
        <v/>
      </c>
      <c r="D19" s="11">
        <f>COUNTIF($C$6:$C$25,C19)</f>
        <v/>
      </c>
      <c r="E19" s="11">
        <f>IF(D19&gt;1,"Yes","No")</f>
        <v/>
      </c>
    </row>
    <row r="20">
      <c r="A20" s="11">
        <f>'Sample Data'!C18</f>
        <v/>
      </c>
      <c r="B20" s="11">
        <f>'Sample Data'!D18</f>
        <v/>
      </c>
      <c r="C20" s="11">
        <f>A20&amp;"|"&amp;B20</f>
        <v/>
      </c>
      <c r="D20" s="11">
        <f>COUNTIF($C$6:$C$25,C20)</f>
        <v/>
      </c>
      <c r="E20" s="11">
        <f>IF(D20&gt;1,"Yes","No")</f>
        <v/>
      </c>
    </row>
    <row r="21">
      <c r="A21" s="11">
        <f>'Sample Data'!C19</f>
        <v/>
      </c>
      <c r="B21" s="11">
        <f>'Sample Data'!D19</f>
        <v/>
      </c>
      <c r="C21" s="11">
        <f>A21&amp;"|"&amp;B21</f>
        <v/>
      </c>
      <c r="D21" s="11">
        <f>COUNTIF($C$6:$C$25,C21)</f>
        <v/>
      </c>
      <c r="E21" s="11">
        <f>IF(D21&gt;1,"Yes","No")</f>
        <v/>
      </c>
    </row>
    <row r="22">
      <c r="A22" s="11">
        <f>'Sample Data'!C20</f>
        <v/>
      </c>
      <c r="B22" s="11">
        <f>'Sample Data'!D20</f>
        <v/>
      </c>
      <c r="C22" s="11">
        <f>A22&amp;"|"&amp;B22</f>
        <v/>
      </c>
      <c r="D22" s="11">
        <f>COUNTIF($C$6:$C$25,C22)</f>
        <v/>
      </c>
      <c r="E22" s="11">
        <f>IF(D22&gt;1,"Yes","No")</f>
        <v/>
      </c>
    </row>
    <row r="23">
      <c r="A23" s="11">
        <f>'Sample Data'!C21</f>
        <v/>
      </c>
      <c r="B23" s="11">
        <f>'Sample Data'!D21</f>
        <v/>
      </c>
      <c r="C23" s="11">
        <f>A23&amp;"|"&amp;B23</f>
        <v/>
      </c>
      <c r="D23" s="11">
        <f>COUNTIF($C$6:$C$25,C23)</f>
        <v/>
      </c>
      <c r="E23" s="11">
        <f>IF(D23&gt;1,"Yes","No")</f>
        <v/>
      </c>
    </row>
    <row r="24">
      <c r="A24" s="11">
        <f>'Sample Data'!C22</f>
        <v/>
      </c>
      <c r="B24" s="11">
        <f>'Sample Data'!D22</f>
        <v/>
      </c>
      <c r="C24" s="11">
        <f>A24&amp;"|"&amp;B24</f>
        <v/>
      </c>
      <c r="D24" s="11">
        <f>COUNTIF($C$6:$C$25,C24)</f>
        <v/>
      </c>
      <c r="E24" s="11">
        <f>IF(D24&gt;1,"Yes","No")</f>
        <v/>
      </c>
    </row>
    <row r="25">
      <c r="A25" s="11">
        <f>'Sample Data'!C23</f>
        <v/>
      </c>
      <c r="B25" s="11">
        <f>'Sample Data'!D23</f>
        <v/>
      </c>
      <c r="C25" s="11">
        <f>A25&amp;"|"&amp;B25</f>
        <v/>
      </c>
      <c r="D25" s="11">
        <f>COUNTIF($C$6:$C$25,C25)</f>
        <v/>
      </c>
      <c r="E25" s="11">
        <f>IF(D25&gt;1,"Yes","No")</f>
        <v/>
      </c>
    </row>
    <row r="26"/>
    <row r="27"/>
    <row r="28">
      <c r="A28" t="inlineStr">
        <is>
          <t>Conditional formatting can highlight Yes rows. In Google Sheets: Format → Conditional formatting → Text is exactly "Yes".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28" customWidth="1" min="4" max="4"/>
    <col width="10" customWidth="1" min="5" max="5"/>
    <col width="23" customWidth="1" min="6" max="6"/>
    <col width="10" customWidth="1" min="7" max="7"/>
  </cols>
  <sheetData>
    <row r="1">
      <c r="A1" s="1" t="inlineStr">
        <is>
          <t>Missing-value detection and simple fill</t>
        </is>
      </c>
    </row>
    <row r="2"/>
    <row r="3">
      <c r="A3" s="2" t="inlineStr">
        <is>
          <t>Income column from sample</t>
        </is>
      </c>
    </row>
    <row r="4"/>
    <row r="5">
      <c r="A5" s="4" t="inlineStr">
        <is>
          <t>Row</t>
        </is>
      </c>
      <c r="B5" s="4" t="inlineStr">
        <is>
          <t>Income (raw)</t>
        </is>
      </c>
      <c r="C5" s="4" t="inlineStr">
        <is>
          <t>Is Missing?</t>
        </is>
      </c>
      <c r="D5" s="4" t="inlineStr">
        <is>
          <t>Filled (median of non-blank)</t>
        </is>
      </c>
      <c r="F5" s="2" t="inlineStr">
        <is>
          <t>Sample median (input)</t>
        </is>
      </c>
      <c r="G5" s="13" t="n">
        <v>51844</v>
      </c>
    </row>
    <row r="6">
      <c r="A6" s="11" t="n">
        <v>0</v>
      </c>
      <c r="B6" s="11">
        <f>'Sample Data'!E4</f>
        <v/>
      </c>
      <c r="C6" s="11">
        <f>IF(B6="","Yes","No")</f>
        <v/>
      </c>
      <c r="D6" s="14">
        <f>IF(B6="",$G$5,B6)</f>
        <v/>
      </c>
    </row>
    <row r="7">
      <c r="A7" s="11" t="n">
        <v>1</v>
      </c>
      <c r="B7" s="11">
        <f>'Sample Data'!E5</f>
        <v/>
      </c>
      <c r="C7" s="11">
        <f>IF(B7="","Yes","No")</f>
        <v/>
      </c>
      <c r="D7" s="14">
        <f>IF(B7="",$G$5,B7)</f>
        <v/>
      </c>
    </row>
    <row r="8">
      <c r="A8" s="11" t="n">
        <v>2</v>
      </c>
      <c r="B8" s="11">
        <f>'Sample Data'!E6</f>
        <v/>
      </c>
      <c r="C8" s="11">
        <f>IF(B8="","Yes","No")</f>
        <v/>
      </c>
      <c r="D8" s="14">
        <f>IF(B8="",$G$5,B8)</f>
        <v/>
      </c>
    </row>
    <row r="9">
      <c r="A9" s="11" t="n">
        <v>3</v>
      </c>
      <c r="B9" s="11">
        <f>'Sample Data'!E7</f>
        <v/>
      </c>
      <c r="C9" s="11">
        <f>IF(B9="","Yes","No")</f>
        <v/>
      </c>
      <c r="D9" s="14">
        <f>IF(B9="",$G$5,B9)</f>
        <v/>
      </c>
    </row>
    <row r="10">
      <c r="A10" s="11" t="n">
        <v>4</v>
      </c>
      <c r="B10" s="11">
        <f>'Sample Data'!E8</f>
        <v/>
      </c>
      <c r="C10" s="11">
        <f>IF(B10="","Yes","No")</f>
        <v/>
      </c>
      <c r="D10" s="14">
        <f>IF(B10="",$G$5,B10)</f>
        <v/>
      </c>
    </row>
    <row r="11">
      <c r="A11" s="11" t="n">
        <v>5</v>
      </c>
      <c r="B11" s="11">
        <f>'Sample Data'!E9</f>
        <v/>
      </c>
      <c r="C11" s="11">
        <f>IF(B11="","Yes","No")</f>
        <v/>
      </c>
      <c r="D11" s="14">
        <f>IF(B11="",$G$5,B11)</f>
        <v/>
      </c>
    </row>
    <row r="12">
      <c r="A12" s="11" t="n">
        <v>6</v>
      </c>
      <c r="B12" s="11">
        <f>'Sample Data'!E10</f>
        <v/>
      </c>
      <c r="C12" s="11">
        <f>IF(B12="","Yes","No")</f>
        <v/>
      </c>
      <c r="D12" s="14">
        <f>IF(B12="",$G$5,B12)</f>
        <v/>
      </c>
    </row>
    <row r="13">
      <c r="A13" s="11" t="n">
        <v>7</v>
      </c>
      <c r="B13" s="11">
        <f>'Sample Data'!E11</f>
        <v/>
      </c>
      <c r="C13" s="11">
        <f>IF(B13="","Yes","No")</f>
        <v/>
      </c>
      <c r="D13" s="14">
        <f>IF(B13="",$G$5,B13)</f>
        <v/>
      </c>
    </row>
    <row r="14">
      <c r="A14" s="11" t="n">
        <v>8</v>
      </c>
      <c r="B14" s="11">
        <f>'Sample Data'!E12</f>
        <v/>
      </c>
      <c r="C14" s="11">
        <f>IF(B14="","Yes","No")</f>
        <v/>
      </c>
      <c r="D14" s="14">
        <f>IF(B14="",$G$5,B14)</f>
        <v/>
      </c>
    </row>
    <row r="15">
      <c r="A15" s="11" t="n">
        <v>9</v>
      </c>
      <c r="B15" s="11">
        <f>'Sample Data'!E13</f>
        <v/>
      </c>
      <c r="C15" s="11">
        <f>IF(B15="","Yes","No")</f>
        <v/>
      </c>
      <c r="D15" s="14">
        <f>IF(B15="",$G$5,B15)</f>
        <v/>
      </c>
    </row>
    <row r="16">
      <c r="A16" s="11" t="n">
        <v>10</v>
      </c>
      <c r="B16" s="11">
        <f>'Sample Data'!E14</f>
        <v/>
      </c>
      <c r="C16" s="11">
        <f>IF(B16="","Yes","No")</f>
        <v/>
      </c>
      <c r="D16" s="14">
        <f>IF(B16="",$G$5,B16)</f>
        <v/>
      </c>
    </row>
    <row r="17">
      <c r="A17" s="11" t="n">
        <v>11</v>
      </c>
      <c r="B17" s="11">
        <f>'Sample Data'!E15</f>
        <v/>
      </c>
      <c r="C17" s="11">
        <f>IF(B17="","Yes","No")</f>
        <v/>
      </c>
      <c r="D17" s="14">
        <f>IF(B17="",$G$5,B17)</f>
        <v/>
      </c>
    </row>
    <row r="18">
      <c r="A18" s="11" t="n">
        <v>12</v>
      </c>
      <c r="B18" s="11">
        <f>'Sample Data'!E16</f>
        <v/>
      </c>
      <c r="C18" s="11">
        <f>IF(B18="","Yes","No")</f>
        <v/>
      </c>
      <c r="D18" s="14">
        <f>IF(B18="",$G$5,B18)</f>
        <v/>
      </c>
    </row>
    <row r="19">
      <c r="A19" s="11" t="n">
        <v>13</v>
      </c>
      <c r="B19" s="11">
        <f>'Sample Data'!E17</f>
        <v/>
      </c>
      <c r="C19" s="11">
        <f>IF(B19="","Yes","No")</f>
        <v/>
      </c>
      <c r="D19" s="14">
        <f>IF(B19="",$G$5,B19)</f>
        <v/>
      </c>
    </row>
    <row r="20">
      <c r="A20" s="11" t="n">
        <v>14</v>
      </c>
      <c r="B20" s="11">
        <f>'Sample Data'!E18</f>
        <v/>
      </c>
      <c r="C20" s="11">
        <f>IF(B20="","Yes","No")</f>
        <v/>
      </c>
      <c r="D20" s="14">
        <f>IF(B20="",$G$5,B20)</f>
        <v/>
      </c>
    </row>
    <row r="21">
      <c r="A21" s="11" t="n">
        <v>15</v>
      </c>
      <c r="B21" s="11">
        <f>'Sample Data'!E19</f>
        <v/>
      </c>
      <c r="C21" s="11">
        <f>IF(B21="","Yes","No")</f>
        <v/>
      </c>
      <c r="D21" s="14">
        <f>IF(B21="",$G$5,B21)</f>
        <v/>
      </c>
    </row>
    <row r="22">
      <c r="A22" s="11" t="n">
        <v>16</v>
      </c>
      <c r="B22" s="11">
        <f>'Sample Data'!E20</f>
        <v/>
      </c>
      <c r="C22" s="11">
        <f>IF(B22="","Yes","No")</f>
        <v/>
      </c>
      <c r="D22" s="14">
        <f>IF(B22="",$G$5,B22)</f>
        <v/>
      </c>
    </row>
    <row r="23">
      <c r="A23" s="11" t="n">
        <v>17</v>
      </c>
      <c r="B23" s="11">
        <f>'Sample Data'!E21</f>
        <v/>
      </c>
      <c r="C23" s="11">
        <f>IF(B23="","Yes","No")</f>
        <v/>
      </c>
      <c r="D23" s="14">
        <f>IF(B23="",$G$5,B23)</f>
        <v/>
      </c>
    </row>
    <row r="24">
      <c r="A24" s="11" t="n">
        <v>18</v>
      </c>
      <c r="B24" s="11">
        <f>'Sample Data'!E22</f>
        <v/>
      </c>
      <c r="C24" s="11">
        <f>IF(B24="","Yes","No")</f>
        <v/>
      </c>
      <c r="D24" s="14">
        <f>IF(B24="",$G$5,B24)</f>
        <v/>
      </c>
    </row>
    <row r="25">
      <c r="A25" s="11" t="n">
        <v>19</v>
      </c>
      <c r="B25" s="11">
        <f>'Sample Data'!E23</f>
        <v/>
      </c>
      <c r="C25" s="11">
        <f>IF(B25="","Yes","No")</f>
        <v/>
      </c>
      <c r="D25" s="14">
        <f>IF(B25="",$G$5,B25)</f>
        <v/>
      </c>
    </row>
    <row r="26"/>
    <row r="27"/>
    <row r="28">
      <c r="A28" t="inlineStr">
        <is>
          <t>Count of missing in the 20-row sample: =COUNTBLANK(B6:B25)</t>
        </is>
      </c>
    </row>
    <row r="29">
      <c r="A29" t="inlineStr">
        <is>
          <t>Full-dataset missing count is 24 (see Python missing_report).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  <col width="28" customWidth="1" min="5" max="5"/>
    <col width="16" customWidth="1" min="6" max="6"/>
    <col width="10" customWidth="1" min="7" max="7"/>
  </cols>
  <sheetData>
    <row r="1">
      <c r="A1" s="1" t="inlineStr">
        <is>
          <t>Merging two tables (VLOOKUP / XLOOKUP equivalent of pd.merge)</t>
        </is>
      </c>
    </row>
    <row r="2"/>
    <row r="3">
      <c r="A3" s="2" t="inlineStr">
        <is>
          <t>Left table (ID, Year_Birth, Education)</t>
        </is>
      </c>
      <c r="E3" s="2" t="inlineStr">
        <is>
          <t>Right table (ID, Marital_Status, Income)</t>
        </is>
      </c>
    </row>
    <row r="4">
      <c r="A4" s="4" t="inlineStr">
        <is>
          <t>ID</t>
        </is>
      </c>
      <c r="B4" s="4" t="inlineStr">
        <is>
          <t>Year_Birth</t>
        </is>
      </c>
      <c r="C4" s="4" t="inlineStr">
        <is>
          <t>Education</t>
        </is>
      </c>
      <c r="E4" s="4" t="inlineStr">
        <is>
          <t>ID</t>
        </is>
      </c>
      <c r="F4" s="4" t="inlineStr">
        <is>
          <t>Marital_Status</t>
        </is>
      </c>
      <c r="G4" s="4" t="inlineStr">
        <is>
          <t>Income</t>
        </is>
      </c>
    </row>
    <row r="5">
      <c r="A5" s="7" t="n">
        <v>5524</v>
      </c>
      <c r="B5" s="7" t="n">
        <v>1957</v>
      </c>
      <c r="C5" s="7" t="inlineStr">
        <is>
          <t>Graduation</t>
        </is>
      </c>
      <c r="E5" s="7" t="n">
        <v>5524</v>
      </c>
      <c r="F5" s="7" t="inlineStr">
        <is>
          <t>Single</t>
        </is>
      </c>
      <c r="G5" s="6" t="n">
        <v>58138</v>
      </c>
    </row>
    <row r="6">
      <c r="A6" s="7" t="n">
        <v>2174</v>
      </c>
      <c r="B6" s="7" t="n">
        <v>1954</v>
      </c>
      <c r="C6" s="7" t="inlineStr">
        <is>
          <t>Graduation</t>
        </is>
      </c>
      <c r="E6" s="7" t="n">
        <v>2174</v>
      </c>
      <c r="F6" s="7" t="inlineStr">
        <is>
          <t>Single</t>
        </is>
      </c>
      <c r="G6" s="6" t="n">
        <v>46344</v>
      </c>
    </row>
    <row r="7">
      <c r="A7" s="7" t="n">
        <v>4141</v>
      </c>
      <c r="B7" s="7" t="n">
        <v>1965</v>
      </c>
      <c r="C7" s="7" t="inlineStr">
        <is>
          <t>Graduation</t>
        </is>
      </c>
      <c r="E7" s="7" t="n">
        <v>4141</v>
      </c>
      <c r="F7" s="7" t="inlineStr">
        <is>
          <t>Together</t>
        </is>
      </c>
      <c r="G7" s="6" t="n">
        <v>71613</v>
      </c>
    </row>
    <row r="8">
      <c r="A8" s="7" t="n">
        <v>6182</v>
      </c>
      <c r="B8" s="7" t="n">
        <v>1984</v>
      </c>
      <c r="C8" s="7" t="inlineStr">
        <is>
          <t>Graduation</t>
        </is>
      </c>
      <c r="E8" s="7" t="n">
        <v>6182</v>
      </c>
      <c r="F8" s="7" t="inlineStr">
        <is>
          <t>Together</t>
        </is>
      </c>
      <c r="G8" s="6" t="n">
        <v>26646</v>
      </c>
    </row>
    <row r="9">
      <c r="A9" s="7" t="n">
        <v>5324</v>
      </c>
      <c r="B9" s="7" t="n">
        <v>1981</v>
      </c>
      <c r="C9" s="7" t="inlineStr">
        <is>
          <t>PhD</t>
        </is>
      </c>
      <c r="E9" s="7" t="n">
        <v>5324</v>
      </c>
      <c r="F9" s="7" t="inlineStr">
        <is>
          <t>Married</t>
        </is>
      </c>
      <c r="G9" s="6" t="n">
        <v>58293</v>
      </c>
    </row>
    <row r="10">
      <c r="A10" s="7" t="n">
        <v>1001</v>
      </c>
      <c r="B10" s="7" t="n">
        <v>1947</v>
      </c>
      <c r="C10" s="7" t="inlineStr">
        <is>
          <t>Master</t>
        </is>
      </c>
      <c r="E10" s="7" t="n">
        <v>1001</v>
      </c>
      <c r="F10" s="7" t="inlineStr">
        <is>
          <t>Divorced</t>
        </is>
      </c>
      <c r="G10" s="6" t="n">
        <v>82443.5</v>
      </c>
    </row>
    <row r="11">
      <c r="A11" s="7" t="n">
        <v>1002</v>
      </c>
      <c r="B11" s="7" t="n">
        <v>1960</v>
      </c>
      <c r="C11" s="7" t="inlineStr">
        <is>
          <t>Graduation</t>
        </is>
      </c>
      <c r="E11" s="7" t="n">
        <v>1002</v>
      </c>
      <c r="F11" s="7" t="inlineStr">
        <is>
          <t>Together</t>
        </is>
      </c>
      <c r="G11" s="6" t="n">
        <v>25269.6</v>
      </c>
    </row>
    <row r="12">
      <c r="A12" s="7" t="n">
        <v>1003</v>
      </c>
      <c r="B12" s="7" t="n">
        <v>1978</v>
      </c>
      <c r="C12" s="7" t="inlineStr">
        <is>
          <t>Graduation</t>
        </is>
      </c>
      <c r="E12" s="7" t="n">
        <v>1003</v>
      </c>
      <c r="F12" s="7" t="inlineStr">
        <is>
          <t>Together</t>
        </is>
      </c>
      <c r="G12" s="6" t="n">
        <v>63510.2</v>
      </c>
    </row>
    <row r="13">
      <c r="A13" s="7" t="n">
        <v>1004</v>
      </c>
      <c r="B13" s="7" t="n">
        <v>1997</v>
      </c>
      <c r="C13" s="7" t="inlineStr">
        <is>
          <t>2n Cycle</t>
        </is>
      </c>
      <c r="E13" s="7" t="n">
        <v>1004</v>
      </c>
      <c r="F13" s="7" t="inlineStr">
        <is>
          <t>Single</t>
        </is>
      </c>
      <c r="G13" s="6" t="n">
        <v>59437.2</v>
      </c>
    </row>
    <row r="14">
      <c r="A14" s="7" t="n">
        <v>1005</v>
      </c>
      <c r="B14" s="7" t="n">
        <v>1958</v>
      </c>
      <c r="C14" s="7" t="inlineStr">
        <is>
          <t>Graduation</t>
        </is>
      </c>
      <c r="E14" s="7" t="n">
        <v>1005</v>
      </c>
      <c r="F14" s="7" t="inlineStr">
        <is>
          <t>Married</t>
        </is>
      </c>
      <c r="G14" s="6" t="n">
        <v>32340.7</v>
      </c>
    </row>
    <row r="15"/>
    <row r="16"/>
    <row r="17">
      <c r="A17" s="2" t="inlineStr">
        <is>
          <t>Merged result (VLOOKUP)</t>
        </is>
      </c>
    </row>
    <row r="18">
      <c r="A18" s="4" t="inlineStr">
        <is>
          <t>ID</t>
        </is>
      </c>
      <c r="B18" s="4" t="inlineStr">
        <is>
          <t>Year_Birth</t>
        </is>
      </c>
      <c r="C18" s="4" t="inlineStr">
        <is>
          <t>Education</t>
        </is>
      </c>
      <c r="D18" s="4" t="inlineStr">
        <is>
          <t>Marital_Status</t>
        </is>
      </c>
      <c r="E18" s="4" t="inlineStr">
        <is>
          <t>Income</t>
        </is>
      </c>
    </row>
    <row r="19">
      <c r="A19" s="11">
        <f>A5</f>
        <v/>
      </c>
      <c r="B19" s="11">
        <f>B5</f>
        <v/>
      </c>
      <c r="C19" s="11">
        <f>C5</f>
        <v/>
      </c>
      <c r="D19" s="11">
        <f>VLOOKUP(A19,$E$5:$G$14,2,FALSE)</f>
        <v/>
      </c>
      <c r="E19" s="14">
        <f>VLOOKUP(A19,$E$5:$G$14,3,FALSE)</f>
        <v/>
      </c>
    </row>
    <row r="20">
      <c r="A20" s="11">
        <f>A6</f>
        <v/>
      </c>
      <c r="B20" s="11">
        <f>B6</f>
        <v/>
      </c>
      <c r="C20" s="11">
        <f>C6</f>
        <v/>
      </c>
      <c r="D20" s="11">
        <f>VLOOKUP(A20,$E$5:$G$14,2,FALSE)</f>
        <v/>
      </c>
      <c r="E20" s="14">
        <f>VLOOKUP(A20,$E$5:$G$14,3,FALSE)</f>
        <v/>
      </c>
    </row>
    <row r="21">
      <c r="A21" s="11">
        <f>A7</f>
        <v/>
      </c>
      <c r="B21" s="11">
        <f>B7</f>
        <v/>
      </c>
      <c r="C21" s="11">
        <f>C7</f>
        <v/>
      </c>
      <c r="D21" s="11">
        <f>VLOOKUP(A21,$E$5:$G$14,2,FALSE)</f>
        <v/>
      </c>
      <c r="E21" s="14">
        <f>VLOOKUP(A21,$E$5:$G$14,3,FALSE)</f>
        <v/>
      </c>
    </row>
    <row r="22">
      <c r="A22" s="11">
        <f>A8</f>
        <v/>
      </c>
      <c r="B22" s="11">
        <f>B8</f>
        <v/>
      </c>
      <c r="C22" s="11">
        <f>C8</f>
        <v/>
      </c>
      <c r="D22" s="11">
        <f>VLOOKUP(A22,$E$5:$G$14,2,FALSE)</f>
        <v/>
      </c>
      <c r="E22" s="14">
        <f>VLOOKUP(A22,$E$5:$G$14,3,FALSE)</f>
        <v/>
      </c>
    </row>
    <row r="23">
      <c r="A23" s="11">
        <f>A9</f>
        <v/>
      </c>
      <c r="B23" s="11">
        <f>B9</f>
        <v/>
      </c>
      <c r="C23" s="11">
        <f>C9</f>
        <v/>
      </c>
      <c r="D23" s="11">
        <f>VLOOKUP(A23,$E$5:$G$14,2,FALSE)</f>
        <v/>
      </c>
      <c r="E23" s="14">
        <f>VLOOKUP(A23,$E$5:$G$14,3,FALSE)</f>
        <v/>
      </c>
    </row>
    <row r="24">
      <c r="A24" s="11">
        <f>A10</f>
        <v/>
      </c>
      <c r="B24" s="11">
        <f>B10</f>
        <v/>
      </c>
      <c r="C24" s="11">
        <f>C10</f>
        <v/>
      </c>
      <c r="D24" s="11">
        <f>VLOOKUP(A24,$E$5:$G$14,2,FALSE)</f>
        <v/>
      </c>
      <c r="E24" s="14">
        <f>VLOOKUP(A24,$E$5:$G$14,3,FALSE)</f>
        <v/>
      </c>
    </row>
    <row r="25">
      <c r="A25" s="11">
        <f>A11</f>
        <v/>
      </c>
      <c r="B25" s="11">
        <f>B11</f>
        <v/>
      </c>
      <c r="C25" s="11">
        <f>C11</f>
        <v/>
      </c>
      <c r="D25" s="11">
        <f>VLOOKUP(A25,$E$5:$G$14,2,FALSE)</f>
        <v/>
      </c>
      <c r="E25" s="14">
        <f>VLOOKUP(A25,$E$5:$G$14,3,FALSE)</f>
        <v/>
      </c>
    </row>
    <row r="26">
      <c r="A26" s="11">
        <f>A12</f>
        <v/>
      </c>
      <c r="B26" s="11">
        <f>B12</f>
        <v/>
      </c>
      <c r="C26" s="11">
        <f>C12</f>
        <v/>
      </c>
      <c r="D26" s="11">
        <f>VLOOKUP(A26,$E$5:$G$14,2,FALSE)</f>
        <v/>
      </c>
      <c r="E26" s="14">
        <f>VLOOKUP(A26,$E$5:$G$14,3,FALSE)</f>
        <v/>
      </c>
    </row>
    <row r="27">
      <c r="A27" s="11">
        <f>A13</f>
        <v/>
      </c>
      <c r="B27" s="11">
        <f>B13</f>
        <v/>
      </c>
      <c r="C27" s="11">
        <f>C13</f>
        <v/>
      </c>
      <c r="D27" s="11">
        <f>VLOOKUP(A27,$E$5:$G$14,2,FALSE)</f>
        <v/>
      </c>
      <c r="E27" s="14">
        <f>VLOOKUP(A27,$E$5:$G$14,3,FALSE)</f>
        <v/>
      </c>
    </row>
    <row r="28">
      <c r="A28" s="11">
        <f>A14</f>
        <v/>
      </c>
      <c r="B28" s="11">
        <f>B14</f>
        <v/>
      </c>
      <c r="C28" s="11">
        <f>C14</f>
        <v/>
      </c>
      <c r="D28" s="11">
        <f>VLOOKUP(A28,$E$5:$G$14,2,FALSE)</f>
        <v/>
      </c>
      <c r="E28" s="14">
        <f>VLOOKUP(A28,$E$5:$G$14,3,FALSE)</f>
        <v/>
      </c>
    </row>
    <row r="29"/>
    <row r="30"/>
    <row r="31">
      <c r="A31" t="inlineStr">
        <is>
          <t>Google Sheets: VLOOKUP works the same; XLOOKUP is also available and more flexible.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0" customWidth="1" min="3" max="3"/>
  </cols>
  <sheetData>
    <row r="1">
      <c r="A1" s="1" t="inlineStr">
        <is>
          <t>Python (pandas) to Spreadsheet formula mapping</t>
        </is>
      </c>
    </row>
    <row r="2"/>
    <row r="3">
      <c r="A3" s="4" t="inlineStr">
        <is>
          <t>pandas operation</t>
        </is>
      </c>
      <c r="B3" s="4" t="inlineStr">
        <is>
          <t>Spreadsheet equivalent</t>
        </is>
      </c>
      <c r="C3" s="4" t="inlineStr">
        <is>
          <t>Notes</t>
        </is>
      </c>
    </row>
    <row r="4">
      <c r="A4" s="15" t="inlineStr">
        <is>
          <t>df.groupby('col')['val'].mean()</t>
        </is>
      </c>
      <c r="B4" s="5" t="inlineStr">
        <is>
          <t>AVERAGEIF(range, criteria, avg_range)</t>
        </is>
      </c>
      <c r="C4" s="16" t="inlineStr">
        <is>
          <t>Also AVERAGEIFS for multi-criteria</t>
        </is>
      </c>
    </row>
    <row r="5">
      <c r="A5" s="15" t="inlineStr">
        <is>
          <t>df.groupby(...).agg(...)</t>
        </is>
      </c>
      <c r="B5" s="5" t="inlineStr">
        <is>
          <t>Pivot table / QUERY</t>
        </is>
      </c>
      <c r="C5" s="16" t="inlineStr">
        <is>
          <t>Sheets QUERY is powerful</t>
        </is>
      </c>
    </row>
    <row r="6">
      <c r="A6" s="15" t="inlineStr">
        <is>
          <t>pd.concat([df1, df2], axis=0)</t>
        </is>
      </c>
      <c r="B6" s="5" t="inlineStr">
        <is>
          <t>Copy-paste / array literals</t>
        </is>
      </c>
      <c r="C6" s="16" t="inlineStr">
        <is>
          <t>Or Apps Script</t>
        </is>
      </c>
    </row>
    <row r="7">
      <c r="A7" s="15" t="inlineStr">
        <is>
          <t>pd.concat([df1, df2], axis=1)</t>
        </is>
      </c>
      <c r="B7" s="5" t="inlineStr">
        <is>
          <t>Side-by-side ranges + INDEX</t>
        </is>
      </c>
      <c r="C7" s="16" t="inlineStr"/>
    </row>
    <row r="8">
      <c r="A8" s="15" t="inlineStr">
        <is>
          <t>pd.merge(left, right, on='ID')</t>
        </is>
      </c>
      <c r="B8" s="5" t="inlineStr">
        <is>
          <t>VLOOKUP / XLOOKUP / INDEX-MATCH</t>
        </is>
      </c>
      <c r="C8" s="16" t="inlineStr">
        <is>
          <t>XLOOKUP preferred when available</t>
        </is>
      </c>
    </row>
    <row r="9">
      <c r="A9" s="15" t="inlineStr">
        <is>
          <t>df.sort_values('col')</t>
        </is>
      </c>
      <c r="B9" s="5" t="inlineStr">
        <is>
          <t>Data → Sort / SORT() function</t>
        </is>
      </c>
      <c r="C9" s="16" t="inlineStr">
        <is>
          <t>SORTN for top-N</t>
        </is>
      </c>
    </row>
    <row r="10">
      <c r="A10" s="15" t="inlineStr">
        <is>
          <t>pd.cut(series, bins, labels)</t>
        </is>
      </c>
      <c r="B10" s="5" t="inlineStr">
        <is>
          <t>Nested IF / IFS</t>
        </is>
      </c>
      <c r="C10" s="16" t="inlineStr">
        <is>
          <t>Pre-compute edges with PERCENTILE for quantiles</t>
        </is>
      </c>
    </row>
    <row r="11">
      <c r="A11" s="15" t="inlineStr">
        <is>
          <t>df.drop_duplicates()</t>
        </is>
      </c>
      <c r="B11" s="5" t="inlineStr">
        <is>
          <t>UNIQUE() function / Remove duplicates UI</t>
        </is>
      </c>
      <c r="C11" s="16" t="inlineStr">
        <is>
          <t>COUNTIF to flag</t>
        </is>
      </c>
    </row>
    <row r="12">
      <c r="A12" s="15" t="inlineStr">
        <is>
          <t>df.drop(columns=...)</t>
        </is>
      </c>
      <c r="B12" s="5" t="inlineStr">
        <is>
          <t>Delete column</t>
        </is>
      </c>
      <c r="C12" s="16" t="inlineStr"/>
    </row>
    <row r="13">
      <c r="A13" s="15" t="inlineStr">
        <is>
          <t>df.astype('int')</t>
        </is>
      </c>
      <c r="B13" s="5" t="inlineStr">
        <is>
          <t>INT() / VALUE() / Format → Number</t>
        </is>
      </c>
      <c r="C13" s="16" t="inlineStr"/>
    </row>
    <row r="14">
      <c r="A14" s="15" t="inlineStr">
        <is>
          <t>series.replace({0: 'no', 1: 'yes'})</t>
        </is>
      </c>
      <c r="B14" s="5" t="inlineStr">
        <is>
          <t>Nested IF / SWITCH / IFS</t>
        </is>
      </c>
      <c r="C14" s="16" t="inlineStr"/>
    </row>
    <row r="15">
      <c r="A15" s="15" t="inlineStr">
        <is>
          <t>df.dropna()</t>
        </is>
      </c>
      <c r="B15" s="5" t="inlineStr">
        <is>
          <t>Filter out blanks / FILTER()</t>
        </is>
      </c>
      <c r="C15" s="16" t="inlineStr"/>
    </row>
    <row r="16">
      <c r="A16" s="15" t="inlineStr">
        <is>
          <t>df.fillna(value)</t>
        </is>
      </c>
      <c r="B16" s="5" t="inlineStr">
        <is>
          <t>IF(cell="", value, cell)</t>
        </is>
      </c>
      <c r="C16" s="16" t="inlineStr">
        <is>
          <t>Or IFNA / IFERROR</t>
        </is>
      </c>
    </row>
    <row r="17">
      <c r="A17" s="15" t="inlineStr">
        <is>
          <t>df.isnull().sum()</t>
        </is>
      </c>
      <c r="B17" s="5" t="inlineStr">
        <is>
          <t>COUNTBLANK(range)</t>
        </is>
      </c>
      <c r="C17" s="16" t="inlineStr"/>
    </row>
    <row r="18"/>
    <row r="19"/>
    <row r="20">
      <c r="A20" s="2" t="inlineStr">
        <is>
          <t>When to prefer Python</t>
        </is>
      </c>
    </row>
    <row r="21">
      <c r="A21" t="inlineStr">
        <is>
          <t>• Datasets larger than a few thousand rows</t>
        </is>
      </c>
    </row>
    <row r="22">
      <c r="A22" t="inlineStr">
        <is>
          <t>• Reproducible, version-controlled pipelines</t>
        </is>
      </c>
    </row>
    <row r="23">
      <c r="A23" t="inlineStr">
        <is>
          <t>• Complex multi-step cleaning that must be audited</t>
        </is>
      </c>
    </row>
    <row r="24">
      <c r="A24" t="inlineStr">
        <is>
          <t>Use the scripts/ and notebooks/ in this project for production work; use this spreadsheet for teaching and quick checks.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2026-08-02T04:48:56Z</dcterms:created>
  <dcterms:modified xmlns:dcterms="http://purl.org/dc/terms/" xmlns:xsi="http://www.w3.org/2001/XMLSchema-instance" xsi:type="dcterms:W3CDTF">2026-08-02T04:48:57Z</dcterms:modified>
</cp:coreProperties>
</file>